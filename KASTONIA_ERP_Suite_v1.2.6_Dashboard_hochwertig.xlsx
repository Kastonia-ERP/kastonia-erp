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044b5ec36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nstellungen" sheetId="1" r:id="R84440f342e574816"/>
    <x:sheet xmlns:r="http://schemas.openxmlformats.org/officeDocument/2006/relationships" name="Steuerkalender" sheetId="2" r:id="Rce13d8de2fe0476f"/>
    <x:sheet xmlns:r="http://schemas.openxmlformats.org/officeDocument/2006/relationships" name="Eingangsrechnungen" sheetId="3" r:id="R77870e9bfbf54193"/>
    <x:sheet xmlns:r="http://schemas.openxmlformats.org/officeDocument/2006/relationships" name="Ausgangsrechnungen" sheetId="4" r:id="R52f8b820fcef4116"/>
    <x:sheet xmlns:r="http://schemas.openxmlformats.org/officeDocument/2006/relationships" name="Projekte" sheetId="5" r:id="Rbf974ff8421c4cdd"/>
    <x:sheet xmlns:r="http://schemas.openxmlformats.org/officeDocument/2006/relationships" name="Liquiditätsplan" sheetId="6" r:id="Ra303864f3be44e30"/>
    <x:sheet xmlns:r="http://schemas.openxmlformats.org/officeDocument/2006/relationships" name="Dashboard" sheetId="7" r:id="Rf1964b9abb4d4902"/>
    <x:sheet xmlns:r="http://schemas.openxmlformats.org/officeDocument/2006/relationships" name="USt-Monatsübersicht" sheetId="8" r:id="R38ea40abcf6046d5"/>
    <x:sheet xmlns:r="http://schemas.openxmlformats.org/officeDocument/2006/relationships" name="Gewinnübersicht" sheetId="9" r:id="R976db9a0020c4523"/>
    <x:sheet xmlns:r="http://schemas.openxmlformats.org/officeDocument/2006/relationships" name="Ausgaben gesamt" sheetId="10" r:id="R592d131f5b4f43da"/>
    <x:sheet xmlns:r="http://schemas.openxmlformats.org/officeDocument/2006/relationships" name="ERP_Daten" sheetId="11" r:id="R23853e6df69d4de6"/>
    <x:sheet xmlns:r="http://schemas.openxmlformats.org/officeDocument/2006/relationships" name="Finanzstatus" sheetId="12" r:id="R48fd039ec3e34d0d"/>
    <x:sheet xmlns:r="http://schemas.openxmlformats.org/officeDocument/2006/relationships" name="Projektstatus" sheetId="13" r:id="R95d4e86034bd48f5"/>
    <x:sheet xmlns:r="http://schemas.openxmlformats.org/officeDocument/2006/relationships" name="Release-Historie" sheetId="14" r:id="Ra99169fbccfd4545"/>
  </x:sheets>
</x:workbook>
</file>

<file path=xl/sharedStrings.xml><?xml version="1.0" encoding="utf-8"?>
<x:sst xmlns:x="http://schemas.openxmlformats.org/spreadsheetml/2006/main">
  <x:si>
    <x:t xml:space="preserve">Status Zahlung</x:t>
  </x:si>
  <x:si>
    <x:t xml:space="preserve">Projektstatus</x:t>
  </x:si>
  <x:si>
    <x:t xml:space="preserve">Kategorie</x:t>
  </x:si>
  <x:si>
    <x:t xml:space="preserve">Ja/Nein</x:t>
  </x:si>
  <x:si>
    <x:t xml:space="preserve">Einstellung</x:t>
  </x:si>
  <x:si>
    <x:t xml:space="preserve">Wert</x:t>
  </x:si>
  <x:si>
    <x:t xml:space="preserve">Fortschritt %</x:t>
  </x:si>
  <x:si>
    <x:t xml:space="preserve">Offen</x:t>
  </x:si>
  <x:si>
    <x:t xml:space="preserve">Lead</x:t>
  </x:si>
  <x:si>
    <x:t xml:space="preserve">Material</x:t>
  </x:si>
  <x:si>
    <x:t xml:space="preserve">Ja</x:t>
  </x:si>
  <x:si>
    <x:t xml:space="preserve">Warnschwelle Liquidität</x:t>
  </x:si>
  <x:si>
    <x:t xml:space="preserve">Bezahlt</x:t>
  </x:si>
  <x:si>
    <x:t xml:space="preserve">Angebot</x:t>
  </x:si>
  <x:si>
    <x:t xml:space="preserve">Montage</x:t>
  </x:si>
  <x:si>
    <x:t xml:space="preserve">Nein</x:t>
  </x:si>
  <x:si>
    <x:t xml:space="preserve">Kritische Liquidität</x:t>
  </x:si>
  <x:si>
    <x:t xml:space="preserve">Teilbezahlt</x:t>
  </x:si>
  <x:si>
    <x:t xml:space="preserve">Auftrag</x:t>
  </x:si>
  <x:si>
    <x:t xml:space="preserve">Fahrzeug</x:t>
  </x:si>
  <x:si>
    <x:t xml:space="preserve">Planstart</x:t>
  </x:si>
  <x:si>
    <x:t xml:space="preserve">Material bestellt</x:t>
  </x:si>
  <x:si>
    <x:t xml:space="preserve">Werkzeug</x:t>
  </x:si>
  <x:si>
    <x:t xml:space="preserve">Planende</x:t>
  </x:si>
  <x:si>
    <x:t xml:space="preserve">Montage geplant</x:t>
  </x:si>
  <x:si>
    <x:t xml:space="preserve">Versicherung</x:t>
  </x:si>
  <x:si>
    <x:t xml:space="preserve">Dauerfristverlängerung</x:t>
  </x:si>
  <x:si>
    <x:t xml:space="preserve">Montage erledigt</x:t>
  </x:si>
  <x:si>
    <x:t xml:space="preserve">Steuer</x:t>
  </x:si>
  <x:si>
    <x:t xml:space="preserve">Rechnung offen</x:t>
  </x:si>
  <x:si>
    <x:t xml:space="preserve">Büro</x:t>
  </x:si>
  <x:si>
    <x:t xml:space="preserve">USt-Versteuerung</x:t>
  </x:si>
  <x:si>
    <x:t xml:space="preserve">Soll (nach Rechnungsdatum)</x:t>
  </x:si>
  <x:si>
    <x:t xml:space="preserve">Abgeschlossen</x:t>
  </x:si>
  <x:si>
    <x:t xml:space="preserve">Werbung</x:t>
  </x:si>
  <x:si>
    <x:t xml:space="preserve">USt-VA Start</x:t>
  </x:si>
  <x:si>
    <x:t xml:space="preserve">Juli 2026</x:t>
  </x:si>
  <x:si>
    <x:t xml:space="preserve">Sonstiges</x:t>
  </x:si>
  <x:si>
    <x:t xml:space="preserve">1 Monat</x:t>
  </x:si>
  <x:si>
    <x:t xml:space="preserve">Version</x:t>
  </x:si>
  <x:si>
    <x:t xml:space="preserve">1.2.1 FINAL</x:t>
  </x:si>
  <x:si>
    <x:t xml:space="preserve">Freigabedatum</x:t>
  </x:si>
  <x:si>
    <x:t xml:space="preserve">Status</x:t>
  </x:si>
  <x:si>
    <x:t xml:space="preserve">Produktiv nutzbar</x:t>
  </x:si>
  <x:si>
    <x:t xml:space="preserve">Planzeitraum</x:t>
  </x:si>
  <x:si>
    <x:t xml:space="preserve">2026–2035</x:t>
  </x:si>
  <x:si>
    <x:t xml:space="preserve">Hinweis</x:t>
  </x:si>
  <x:si>
    <x:t xml:space="preserve">Blau = Eingabe | Grau = Automatik | Grün = Ergebnis</x:t>
  </x:si>
  <x:si>
    <x:t xml:space="preserve">Projektmodul</x:t>
  </x:si>
  <x:si>
    <x:t xml:space="preserve">Aktive Steuerung + Soll/Ist</x:t>
  </x:si>
  <x:si>
    <x:t xml:space="preserve">Projektwarnung</x:t>
  </x:si>
  <x:si>
    <x:t xml:space="preserve">Termin &lt; 14 Tage</x:t>
  </x:si>
  <x:si>
    <x:t xml:space="preserve">Projektmarge Warnung</x:t>
  </x:si>
  <x:si>
    <x:t xml:space="preserve">ERP-Version</x:t>
  </x:si>
  <x:si>
    <x:t xml:space="preserve">1.1.2</x:t>
  </x:si>
  <x:si>
    <x:t xml:space="preserve">Monat</x:t>
  </x:si>
  <x:si>
    <x:t xml:space="preserve">Fälligkeit</x:t>
  </x:si>
  <x:si>
    <x:t xml:space="preserve">Art</x:t>
  </x:si>
  <x:si>
    <x:t xml:space="preserve">Betrag</x:t>
  </x:si>
  <x:si>
    <x:t xml:space="preserve">Bezahlt am</x:t>
  </x:si>
  <x:si>
    <x:t xml:space="preserve">Nächste offene Fälligkeit</x:t>
  </x:si>
  <x:si>
    <x:t xml:space="preserve">August 2026</x:t>
  </x:si>
  <x:si>
    <x:t xml:space="preserve">ESt-Nachzahlung 2024</x:t>
  </x:si>
  <x:si>
    <x:t xml:space="preserve">Festsetzung 2024</x:t>
  </x:si>
  <x:si>
    <x:t xml:space="preserve">Rate ESt-VZ 2025</x:t>
  </x:si>
  <x:si>
    <x:t xml:space="preserve">Genehmigte Stundung</x:t>
  </x:si>
  <x:si>
    <x:t xml:space="preserve">Gewerbesteuer-Vorauszahlung 2026</x:t>
  </x:si>
  <x:si>
    <x:t xml:space="preserve">Gemeinde Meckenbeuren; 1. Vorauszahlung laut Bescheid vom 16.07.2026</x:t>
  </x:si>
  <x:si>
    <x:t xml:space="preserve">Gewerbesteuer 2024 + Vorauszahlung 2026</x:t>
  </x:si>
  <x:si>
    <x:t xml:space="preserve">1.746,00 € Gewerbesteuer 2024 + 870,00 € Vorauszahlung 2026</x:t>
  </x:si>
  <x:si>
    <x:t xml:space="preserve">September 2026</x:t>
  </x:si>
  <x:si>
    <x:t xml:space="preserve">ESt-Vorauszahlung 2026</x:t>
  </x:si>
  <x:si>
    <x:t xml:space="preserve">Quartalszahlung</x:t>
  </x:si>
  <x:si>
    <x:t xml:space="preserve">Oktober 2026</x:t>
  </x:si>
  <x:si>
    <x:t xml:space="preserve">November 2026</x:t>
  </x:si>
  <x:si>
    <x:t xml:space="preserve">Gemeinde Meckenbeuren; 2. Vorauszahlung laut Bescheid vom 16.07.2026</x:t>
  </x:si>
  <x:si>
    <x:t xml:space="preserve">Dezember 2026</x:t>
  </x:si>
  <x:si>
    <x:t xml:space="preserve">Januar 2027</x:t>
  </x:si>
  <x:si>
    <x:t xml:space="preserve">Letzte Rate ESt-VZ 2025 inkl. Zinsen</x:t>
  </x:si>
  <x:si>
    <x:t xml:space="preserve">1.915 € Rate + 143 € Zinsen</x:t>
  </x:si>
  <x:si>
    <x:t xml:space="preserve">März 2027</x:t>
  </x:si>
  <x:si>
    <x:t xml:space="preserve">ESt-Vorauszahlung 2027</x:t>
  </x:si>
  <x:si>
    <x:t xml:space="preserve">Juni 2027</x:t>
  </x:si>
  <x:si>
    <x:t xml:space="preserve">September 2027</x:t>
  </x:si>
  <x:si>
    <x:t xml:space="preserve">Dezember 2027</x:t>
  </x:si>
  <x:si>
    <x:t xml:space="preserve">Rechnungsdatum</x:t>
  </x:si>
  <x:si>
    <x:t xml:space="preserve">Lieferant</x:t>
  </x:si>
  <x:si>
    <x:t xml:space="preserve">Projekt</x:t>
  </x:si>
  <x:si>
    <x:t xml:space="preserve">Rechnungs-Nr.</x:t>
  </x:si>
  <x:si>
    <x:t xml:space="preserve">Fällig am</x:t>
  </x:si>
  <x:si>
    <x:t xml:space="preserve">Netto</x:t>
  </x:si>
  <x:si>
    <x:t xml:space="preserve">MwSt</x:t>
  </x:si>
  <x:si>
    <x:t xml:space="preserve">Brutto</x:t>
  </x:si>
  <x:si>
    <x:t xml:space="preserve">Skonto %</x:t>
  </x:si>
  <x:si>
    <x:t xml:space="preserve">Skontofrist</x:t>
  </x:si>
  <x:si>
    <x:t xml:space="preserve">Zahlbetrag geplant</x:t>
  </x:si>
  <x:si>
    <x:t xml:space="preserve">Notiz</x:t>
  </x:si>
  <x:si>
    <x:t xml:space="preserve">MB</x:t>
  </x:si>
  <x:si>
    <x:t xml:space="preserve">Wenger</x:t>
  </x:si>
  <x:si>
    <x:t xml:space="preserve">F48219</x:t>
  </x:si>
  <x:si>
    <x:t xml:space="preserve">Huber</x:t>
  </x:si>
  <x:si>
    <x:t xml:space="preserve">F48220</x:t>
  </x:si>
  <x:si>
    <x:t xml:space="preserve">Lewens</x:t>
  </x:si>
  <x:si>
    <x:t xml:space="preserve">Rau rechts</x:t>
  </x:si>
  <x:si>
    <x:t xml:space="preserve">RE240409164</x:t>
  </x:si>
  <x:si>
    <x:t xml:space="preserve">Rau links</x:t>
  </x:si>
  <x:si>
    <x:t xml:space="preserve">RE240409229</x:t>
  </x:si>
  <x:si>
    <x:t xml:space="preserve">Michal Huber</x:t>
  </x:si>
  <x:si>
    <x:t xml:space="preserve">RE240409230</x:t>
  </x:si>
  <x:si>
    <x:t xml:space="preserve">Gebhard</x:t>
  </x:si>
  <x:si>
    <x:t xml:space="preserve">RE240409231</x:t>
  </x:si>
  <x:si>
    <x:t xml:space="preserve">Volker Beck</x:t>
  </x:si>
  <x:si>
    <x:t xml:space="preserve">RE240409305</x:t>
  </x:si>
  <x:si>
    <x:t xml:space="preserve">RE240409555</x:t>
  </x:si>
  <x:si>
    <x:t xml:space="preserve">Larissa Novak</x:t>
  </x:si>
  <x:si>
    <x:t xml:space="preserve">RE240410100</x:t>
  </x:si>
  <x:si>
    <x:t xml:space="preserve">OBI</x:t>
  </x:si>
  <x:si>
    <x:t xml:space="preserve">Provision</x:t>
  </x:si>
  <x:si>
    <x:t xml:space="preserve">Alu Prof</x:t>
  </x:si>
  <x:si>
    <x:t xml:space="preserve">Rau Senkrechtmarkisen</x:t>
  </x:si>
  <x:si>
    <x:t xml:space="preserve">2026/4/070228</x:t>
  </x:si>
  <x:si>
    <x:t xml:space="preserve">Kunde</x:t>
  </x:si>
  <x:si>
    <x:t xml:space="preserve">Zahlungseingang</x:t>
  </x:si>
  <x:si>
    <x:t xml:space="preserve">Offener Betrag</x:t>
  </x:si>
  <x:si>
    <x:t xml:space="preserve">Mahnstufe</x:t>
  </x:si>
  <x:si>
    <x:t xml:space="preserve">MwSt-Satz</x:t>
  </x:si>
  <x:si>
    <x:t xml:space="preserve">Umsatzsteuer</x:t>
  </x:si>
  <x:si>
    <x:t xml:space="preserve">Julian Schneider</x:t>
  </x:si>
  <x:si>
    <x:t xml:space="preserve">Haslach</x:t>
  </x:si>
  <x:si>
    <x:t xml:space="preserve">RE12763</x:t>
  </x:si>
  <x:si>
    <x:t xml:space="preserve">Gebhard, Karl-Heinz</x:t>
  </x:si>
  <x:si>
    <x:t xml:space="preserve">Inselstr.3</x:t>
  </x:si>
  <x:si>
    <x:t xml:space="preserve">AB</x:t>
  </x:si>
  <x:si>
    <x:t xml:space="preserve">Oberteuringen</x:t>
  </x:si>
  <x:si>
    <x:t xml:space="preserve">AB 3 x</x:t>
  </x:si>
  <x:si>
    <x:t xml:space="preserve">Rau Martin</x:t>
  </x:si>
  <x:si>
    <x:t xml:space="preserve">Ittendorf</x:t>
  </x:si>
  <x:si>
    <x:t xml:space="preserve">AB 2 x </x:t>
  </x:si>
  <x:si>
    <x:t xml:space="preserve">Wenger Heidi</x:t>
  </x:si>
  <x:si>
    <x:t xml:space="preserve">Meckenbeuren</x:t>
  </x:si>
  <x:si>
    <x:t xml:space="preserve">Huber Senior</x:t>
  </x:si>
  <x:si>
    <x:t xml:space="preserve">Kar-Heinz Fuchs</x:t>
  </x:si>
  <x:si>
    <x:t xml:space="preserve">Uhldingen</x:t>
  </x:si>
  <x:si>
    <x:t xml:space="preserve">Karl-Heinz Fuchs</x:t>
  </x:si>
  <x:si>
    <x:t xml:space="preserve">Projekt-ID</x:t>
  </x:si>
  <x:si>
    <x:t xml:space="preserve">Ort</x:t>
  </x:si>
  <x:si>
    <x:t xml:space="preserve">Projektart</x:t>
  </x:si>
  <x:si>
    <x:t xml:space="preserve">Auftragswert brutto</x:t>
  </x:si>
  <x:si>
    <x:t xml:space="preserve">Materialbudget netto</x:t>
  </x:si>
  <x:si>
    <x:t xml:space="preserve">Geplanter Montagetermin</x:t>
  </x:si>
  <x:si>
    <x:t xml:space="preserve">Rechnung gestellt</x:t>
  </x:si>
  <x:si>
    <x:t xml:space="preserve">Zahlung vollständig</x:t>
  </x:si>
  <x:si>
    <x:t xml:space="preserve">Verantwortlich</x:t>
  </x:si>
  <x:si>
    <x:t xml:space="preserve">Fortschritt</x:t>
  </x:si>
  <x:si>
    <x:t xml:space="preserve">Ist-Kosten netto</x:t>
  </x:si>
  <x:si>
    <x:t xml:space="preserve">Rechnungswert netto</x:t>
  </x:si>
  <x:si>
    <x:t xml:space="preserve">Zahlungseingang brutto</x:t>
  </x:si>
  <x:si>
    <x:t xml:space="preserve">Offene Forderung brutto</x:t>
  </x:si>
  <x:si>
    <x:t xml:space="preserve">Plan-Gewinn netto</x:t>
  </x:si>
  <x:si>
    <x:t xml:space="preserve">Ist-Gewinn netto</x:t>
  </x:si>
  <x:si>
    <x:t xml:space="preserve">Ist-Marge</x:t>
  </x:si>
  <x:si>
    <x:t xml:space="preserve">Terminstatus</x:t>
  </x:si>
  <x:si>
    <x:t xml:space="preserve">Nächste Aktion</x:t>
  </x:si>
  <x:si>
    <x:t xml:space="preserve">Kontostand Anfang</x:t>
  </x:si>
  <x:si>
    <x:t xml:space="preserve">Kundenzahlungen Ist + Prognose</x:t>
  </x:si>
  <x:si>
    <x:t xml:space="preserve">Sonstige Einnahmen</x:t>
  </x:si>
  <x:si>
    <x:t xml:space="preserve">Eingangsrechnungen Ist + Prognose</x:t>
  </x:si>
  <x:si>
    <x:t xml:space="preserve">Steuern Ist + Prognose</x:t>
  </x:si>
  <x:si>
    <x:t xml:space="preserve">Personal</x:t>
  </x:si>
  <x:si>
    <x:t xml:space="preserve">Versicherungen</x:t>
  </x:si>
  <x:si>
    <x:t xml:space="preserve">Finanzierung Sprinter</x:t>
  </x:si>
  <x:si>
    <x:t xml:space="preserve">Miete</x:t>
  </x:si>
  <x:si>
    <x:t xml:space="preserve">Privatentnahmen</x:t>
  </x:si>
  <x:si>
    <x:t xml:space="preserve">Sonstige Kosten</x:t>
  </x:si>
  <x:si>
    <x:t xml:space="preserve">Kontostand Ende</x:t>
  </x:si>
  <x:si>
    <x:t xml:space="preserve">Warnung</x:t>
  </x:si>
  <x:si>
    <x:t xml:space="preserve">KASTONIA ERP SUITE – BUSINESS COCKPIT</x:t>
  </x:si>
  <x:si>
    <x:t xml:space="preserve">Startjahr</x:t>
  </x:si>
  <x:si>
    <x:t xml:space="preserve">Vergleichsjahr</x:t>
  </x:si>
  <x:si>
    <x:t xml:space="preserve">OFFENE EINGANGSRECHNUNGEN</x:t>
  </x:si>
  <x:si>
    <x:t xml:space="preserve">OFFENE KUNDENFORDERUNGEN</x:t>
  </x:si>
  <x:si>
    <x:t xml:space="preserve">AKTIVE PROJEKTE</x:t>
  </x:si>
  <x:si>
    <x:t xml:space="preserve">OFFENE STEUERN</x:t>
  </x:si>
  <x:si>
    <x:t xml:space="preserve">Finanzstatus</x:t>
  </x:si>
  <x:si>
    <x:t xml:space="preserve">PROJEKTSTATUS – SCHNELLÜBERSICHT</x:t>
  </x:si>
  <x:si>
    <x:t xml:space="preserve">Angebote</x:t>
  </x:si>
  <x:si>
    <x:t xml:space="preserve">Aufträge</x:t>
  </x:si>
  <x:si>
    <x:t xml:space="preserve">Überfällig</x:t>
  </x:si>
  <x:si>
    <x:t xml:space="preserve">BEDIENHINWEIS</x:t>
  </x:si>
  <x:si>
    <x:t xml:space="preserve">Im hellblauen Feld C3 das gewünschte Startjahr auswählen. Das Vergleichsjahr wird automatisch als Folgejahr gesetzt. Alle Kontostände, Privatentnahmen, Umsätze, Gewinne und beide Diagramme wechseln anschließend auf den ausgewählten 24-Monats-Zeitraum.</x:t>
  </x:si>
  <x:si>
    <x:t xml:space="preserve">USt-Monat</x:t>
  </x:si>
  <x:si>
    <x:t xml:space="preserve">Abgabe/Zahlung mit DFV</x:t>
  </x:si>
  <x:si>
    <x:t xml:space="preserve">Umsatzsteuer Ausgang</x:t>
  </x:si>
  <x:si>
    <x:t xml:space="preserve">Vorsteuer Eingang</x:t>
  </x:si>
  <x:si>
    <x:t xml:space="preserve">Zahllast / Erstattung</x:t>
  </x:si>
  <x:si>
    <x:t xml:space="preserve">Zahlbetrag</x:t>
  </x:si>
  <x:si>
    <x:t xml:space="preserve">Fehlende Vorsteuerangaben</x:t>
  </x:si>
  <x:si>
    <x:t xml:space="preserve">KASTONIA – Gewinnübersicht 2026–2035</x:t>
  </x:si>
  <x:si>
    <x:t xml:space="preserve">Netto-Umsatz</x:t>
  </x:si>
  <x:si>
    <x:t xml:space="preserve">Eingangsrechnungen netto</x:t>
  </x:si>
  <x:si>
    <x:t xml:space="preserve">Gesamtausgaben</x:t>
  </x:si>
  <x:si>
    <x:t xml:space="preserve">Gewinn vor Steuern</x:t>
  </x:si>
  <x:si>
    <x:t xml:space="preserve">Gewinnmarge</x:t>
  </x:si>
  <x:si>
    <x:t xml:space="preserve">Jahresübersicht 2026–2035</x:t>
  </x:si>
  <x:si>
    <x:t xml:space="preserve">Jahr</x:t>
  </x:si>
  <x:si>
    <x:t xml:space="preserve">2026</x:t>
  </x:si>
  <x:si>
    <x:t xml:space="preserve">2027</x:t>
  </x:si>
  <x:si>
    <x:t xml:space="preserve">2028</x:t>
  </x:si>
  <x:si>
    <x:t xml:space="preserve">2029</x:t>
  </x:si>
  <x:si>
    <x:t xml:space="preserve">2030</x:t>
  </x:si>
  <x:si>
    <x:t xml:space="preserve">2031</x:t>
  </x:si>
  <x:si>
    <x:t xml:space="preserve">2032</x:t>
  </x:si>
  <x:si>
    <x:t xml:space="preserve">2033</x:t>
  </x:si>
  <x:si>
    <x:t xml:space="preserve">2034</x:t>
  </x:si>
  <x:si>
    <x:t xml:space="preserve">2035</x:t>
  </x:si>
  <x:si>
    <x:t xml:space="preserve">KASTONIA – Ausgaben gesamt 2026–2035</x:t>
  </x:si>
  <x:si>
    <x:t xml:space="preserve">Eingangsrechnungen bezahlt</x:t>
  </x:si>
  <x:si>
    <x:t xml:space="preserve">Sprinter-Finanzierung</x:t>
  </x:si>
  <x:si>
    <x:t xml:space="preserve">ESt / sonstige Steuern</x:t>
  </x:si>
  <x:si>
    <x:t xml:space="preserve">USt-Zahlung</x:t>
  </x:si>
  <x:si>
    <x:t xml:space="preserve">Betriebsausgaben gesamt</x:t>
  </x:si>
  <x:si>
    <x:t xml:space="preserve">Gesamter Geldabfluss</x:t>
  </x:si>
  <x:si>
    <x:t xml:space="preserve">Dashboard-Jahre</x:t>
  </x:si>
  <x:si>
    <x:t xml:space="preserve">KPI</x:t>
  </x:si>
  <x:si>
    <x:t xml:space="preserve">Formelquelle</x:t>
  </x:si>
  <x:si>
    <x:t xml:space="preserve">Kontostand</x:t>
  </x:si>
  <x:si>
    <x:t xml:space="preserve">Liquiditätsplan Spalte M</x:t>
  </x:si>
  <x:si>
    <x:t xml:space="preserve">Liquiditätsplan Spalte K</x:t>
  </x:si>
  <x:si>
    <x:t xml:space="preserve">Gewinn</x:t>
  </x:si>
  <x:si>
    <x:t xml:space="preserve">Gewinnübersicht Spalte J</x:t>
  </x:si>
  <x:si>
    <x:t xml:space="preserve">Gewinnübersicht Spalte B</x:t>
  </x:si>
  <x:si>
    <x:t xml:space="preserve">Zeitraum</x:t>
  </x:si>
  <x:si>
    <x:t xml:space="preserve">24 Monate ab Startjahr</x:t>
  </x:si>
  <x:si>
    <x:t xml:space="preserve">KASTONIA – FINANZSTATUS &amp; 90-TAGE-PROGNOSE</x:t>
  </x:si>
  <x:si>
    <x:t xml:space="preserve">Kennzahl</x:t>
  </x:si>
  <x:si>
    <x:t xml:space="preserve">Bewertung</x:t>
  </x:si>
  <x:si>
    <x:t xml:space="preserve">Liquidität Monatsende</x:t>
  </x:si>
  <x:si>
    <x:t xml:space="preserve">Aktueller Planmonat</x:t>
  </x:si>
  <x:si>
    <x:t xml:space="preserve">Liquidität +30 Tage</x:t>
  </x:si>
  <x:si>
    <x:t xml:space="preserve">Nächster Monat</x:t>
  </x:si>
  <x:si>
    <x:t xml:space="preserve">Liquidität +60 Tage</x:t>
  </x:si>
  <x:si>
    <x:t xml:space="preserve">Übernächster Monat</x:t>
  </x:si>
  <x:si>
    <x:t xml:space="preserve">Liquidität +90 Tage</x:t>
  </x:si>
  <x:si>
    <x:t xml:space="preserve">Drei Monate voraus</x:t>
  </x:si>
  <x:si>
    <x:t xml:space="preserve">Offene Kundenforderungen</x:t>
  </x:si>
  <x:si>
    <x:t xml:space="preserve">Noch nicht erhalten</x:t>
  </x:si>
  <x:si>
    <x:t xml:space="preserve">Offene Eingangsrechnungen</x:t>
  </x:si>
  <x:si>
    <x:t xml:space="preserve">Noch nicht bezahlt</x:t>
  </x:si>
  <x:si>
    <x:t xml:space="preserve">Überfällige Kundenforderungen</x:t>
  </x:si>
  <x:si>
    <x:t xml:space="preserve">Fälligkeit überschritten</x:t>
  </x:si>
  <x:si>
    <x:t xml:space="preserve">Steuern nächste 30 Tage</x:t>
  </x:si>
  <x:si>
    <x:t xml:space="preserve">Fällige Steuerabflüsse</x:t>
  </x:si>
  <x:si>
    <x:t xml:space="preserve">KASTONIA – PROJEKTSTEUERUNG</x:t>
  </x:si>
  <x:si>
    <x:t xml:space="preserve">Aktive Projekte</x:t>
  </x:si>
  <x:si>
    <x:t xml:space="preserve">Überfällige Termine</x:t>
  </x:si>
  <x:si>
    <x:t xml:space="preserve">Offene Forderungen</x:t>
  </x:si>
  <x:si>
    <x:t xml:space="preserve">Anzahl</x:t>
  </x:si>
  <x:si>
    <x:t xml:space="preserve">Offene Forderung</x:t>
  </x:si>
  <x:si>
    <x:t xml:space="preserve">TERMIN- UND HANDLUNGSÜBERSICHT</x:t>
  </x:si>
  <x:si>
    <x:t xml:space="preserve">Montagetermin</x:t>
  </x:si>
  <x:si>
    <x:t xml:space="preserve">KASTONIA ERP Suite – Release-Historie</x:t>
  </x:si>
  <x:si>
    <x:t xml:space="preserve">Datum</x:t>
  </x:si>
  <x:si>
    <x:t xml:space="preserve">Änderungen</x:t>
  </x:si>
  <x:si>
    <x:t xml:space="preserve">1.0</x:t>
  </x:si>
  <x:si>
    <x:t xml:space="preserve">Basis</x:t>
  </x:si>
  <x:si>
    <x:t xml:space="preserve">Grundstruktur Business Cockpit</x:t>
  </x:si>
  <x:si>
    <x:t xml:space="preserve">1.1</x:t>
  </x:si>
  <x:si>
    <x:t xml:space="preserve">18.07.2026</x:t>
  </x:si>
  <x:si>
    <x:t xml:space="preserve">Erweitert</x:t>
  </x:si>
  <x:si>
    <x:t xml:space="preserve">Dynamisches Dashboard 2026–2035</x:t>
  </x:si>
  <x:si>
    <x:t xml:space="preserve">1.1.1</x:t>
  </x:si>
  <x:si>
    <x:t xml:space="preserve">Finanzlogik und 30/60/90-Tage-Prognose</x:t>
  </x:si>
  <x:si>
    <x:t xml:space="preserve">1.2 STABLE</x:t>
  </x:si>
  <x:si>
    <x:t xml:space="preserve">Freigegeben</x:t>
  </x:si>
  <x:si>
    <x:t xml:space="preserve">Qualitätsprüfung, Jahresübersichten, Formate und Stabilisierung</x:t>
  </x:si>
  <x:si>
    <x:t xml:space="preserve">Jahresübersichten vollständig neu aufgebaut; 2028-Ausrichtung und mobile Excel-Darstellung korrigiert.</x:t>
  </x:si>
  <x:si>
    <x:t xml:space="preserve">1.2.2</x:t>
  </x:si>
  <x:si>
    <x:t xml:space="preserve">Aktualisiert</x:t>
  </x:si>
  <x:si>
    <x:t xml:space="preserve">Gewerbesteuerbescheid Meckenbeuren ergänzt: 15.08.2026 435 €, 20.08.2026 2.616 €, 15.11.2026 435 €.</x:t>
  </x:si>
</x:sst>
</file>

<file path=xl/styles.xml><?xml version="1.0" encoding="utf-8"?>
<x:styleSheet xmlns:x="http://schemas.openxmlformats.org/spreadsheetml/2006/main">
  <x:numFmts count="11">
    <x:numFmt numFmtId="164" formatCode="#,##0.00\ [$€-407];[Red]\-#,##0.00\ [$€-407]"/>
    <x:numFmt numFmtId="165" formatCode="dd\.mm\.yyyy"/>
    <x:numFmt numFmtId="166" formatCode="mmmm\ yyyy"/>
    <x:numFmt numFmtId="167" formatCode="#,##0.00;[Red]\(#,##0.00\);\-"/>
    <x:numFmt numFmtId="169" formatCode="0.0%;[Red]\(0.0%\);\-"/>
    <x:numFmt numFmtId="170" formatCode="0.0%"/>
    <x:numFmt numFmtId="171" formatCode="#,##0.00\ [$€-407]"/>
    <x:numFmt numFmtId="172" formatCode="[$-407]mmmm\ yyyy"/>
    <x:numFmt numFmtId="173" formatCode="#,##0.00\ \€;[Red]\-#,##0.00\ \€"/>
    <x:numFmt numFmtId="174" formatCode="yyyy\-mm\-dd"/>
    <x:numFmt numFmtId="200" formatCode="#,##0.00 €;[Red]-#,##0.00 €"/>
  </x:numFmts>
  <x:fonts count="3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name val="Carlito"/>
    </x:font>
    <x:font>
      <x:b/>
      <x:sz val="16"/>
      <x:color rgb="FFFFFFFF"/>
      <x:name val="Carlito"/>
    </x:font>
    <x:font>
      <x:b/>
      <x:sz val="12"/>
      <x:color rgb="FFFFFFFF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name val="Carlito"/>
    </x:font>
    <x:font>
      <x:sz val="10"/>
      <x:color rgb="FF0B57D0"/>
      <x:name val="Carlito"/>
    </x:font>
    <x:font>
      <x:sz val="10"/>
      <x:color rgb="FF0000FF"/>
      <x:name val="Carlito"/>
    </x:font>
    <x:font>
      <x:sz val="10"/>
      <x:color rgb="FF0000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000000"/>
      <x:name val="Carlito"/>
    </x:font>
    <x:font>
      <x:b/>
      <x:sz val="20"/>
      <x:color rgb="FFFFFFFF"/>
      <x:name val="Aptos"/>
    </x:font>
    <x:font>
      <x:b/>
      <x:sz val="20"/>
      <x:color rgb="FFFFFFFF"/>
      <x:name val="Carlito"/>
    </x:font>
    <x:font>
      <x:b/>
      <x:sz val="10"/>
      <x:color rgb="FF1F1F1F"/>
      <x:name val="Aptos"/>
    </x:font>
    <x:font>
      <x:b/>
      <x:sz val="11"/>
      <x:color rgb="FF1F1F1F"/>
      <x:name val="Carlito"/>
    </x:font>
    <x:font>
      <x:b/>
      <x:sz val="12"/>
      <x:color rgb="FF17365D"/>
      <x:name val="Aptos"/>
    </x:font>
    <x:font>
      <x:b/>
      <x:sz val="17"/>
      <x:color rgb="FF17365D"/>
      <x:name val="Aptos"/>
    </x:font>
    <x:font>
      <x:b/>
      <x:sz val="17"/>
      <x:color rgb="FF17365D"/>
      <x:name val="Carlito"/>
    </x:font>
    <x:font>
      <x:b/>
      <x:sz val="9"/>
      <x:color rgb="FFFFFFFF"/>
      <x:name val="Aptos"/>
    </x:font>
    <x:font>
      <x:b/>
      <x:sz val="13"/>
      <x:color rgb="FF17365D"/>
      <x:name val="Aptos"/>
    </x:font>
    <x:font>
      <x:b/>
      <x:sz val="9"/>
      <x:color rgb="FFFFFFFF"/>
      <x:name val="Carlito"/>
    </x:font>
    <x:font>
      <x:b/>
      <x:sz val="13"/>
      <x:color rgb="FF17365D"/>
      <x:name val="Carlito"/>
    </x:font>
    <x:font>
      <x:sz val="10"/>
      <x:color rgb="FF1F1F1F"/>
      <x:name val="Carlito"/>
    </x:font>
    <x:font>
      <x:sz val="11"/>
      <x:color rgb="FF1F1F1F"/>
      <x:name val="Carlito"/>
    </x:font>
    <x:font>
      <x:b/>
      <x:sz val="18"/>
      <x:color rgb="FF1F1F1F"/>
      <x:name val="Carlito"/>
    </x:font>
    <x:font>
      <x:b/>
      <x:sz val="11"/>
      <x:color rgb="FF17365D"/>
      <x:name val="Carlito"/>
    </x:font>
    <x:font>
      <x:b/>
      <x:sz val="10"/>
      <x:color rgb="FF17365D"/>
      <x:name val="Carlito"/>
    </x:font>
    <x:font>
      <x:sz val="1"/>
      <x:color rgb="FFFFFFFF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FFE8F0FE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73A5E"/>
      </x:patternFill>
    </x:fill>
    <x:fill>
      <x:patternFill patternType="solid">
        <x:fgColor rgb="FFF4F7FA"/>
      </x:patternFill>
    </x:fill>
    <x:fill>
      <x:patternFill patternType="solid">
        <x:fgColor rgb="FFEAF4FF"/>
      </x:patternFill>
    </x:fill>
    <x:fill>
      <x:patternFill patternType="solid">
        <x:fgColor rgb="FF2F746E"/>
      </x:patternFill>
    </x:fill>
    <x:fill>
      <x:patternFill patternType="solid">
        <x:fgColor rgb="FF173A5E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2F75B5"/>
      </x:patternFill>
    </x:fill>
    <x:fill>
      <x:patternFill patternType="solid">
        <x:fgColor rgb="FFF4B183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173F67"/>
      </x:patternFill>
    </x:fill>
    <x:fill>
      <x:patternFill patternType="solid">
        <x:fgColor rgb="FF2F7F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2F7F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</x:fills>
  <x:borders count="48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bottom style="thin">
        <x:color rgb="FFB7C9D6"/>
      </x:bottom>
    </x:border>
    <x:border/>
    <x:border/>
    <x:border/>
    <x:border/>
    <x:border/>
    <x:border/>
    <x:border/>
    <x:border/>
    <x:border/>
    <x:border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/>
    <x:border/>
    <x:border/>
    <x:border/>
    <x:border/>
    <x:border/>
    <x:border/>
    <x:border/>
    <x:border/>
    <x:border/>
    <x:border/>
    <x:border/>
    <x:border>
      <x:left style="thin">
        <x:color rgb="FFB7C9D6"/>
      </x:left>
    </x:border>
    <x:border>
      <x:right style="thin">
        <x:color rgb="FFB7C9D6"/>
      </x:right>
    </x:border>
    <x:border/>
    <x:border/>
    <x:border/>
    <x:border/>
    <x:border/>
    <x:border/>
    <x:border/>
    <x:border/>
    <x:border>
      <x:bottom style="thin">
        <x:color rgb="FFD9E2F3"/>
      </x:bottom>
    </x:border>
    <x:border/>
    <x:border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bottom style="thin">
        <x:color rgb="FFD9E2F3"/>
      </x:bottom>
    </x:border>
  </x:borders>
  <x:cellStyleXfs count="2">
    <x:xf numFmtId="0" fontId="0" fillId="0" borderId="0"/>
    <x:xf numFmtId="0" fontId="3" fillId="0" borderId="0"/>
  </x:cellStyleXfs>
  <x:cellXfs count="515">
    <x:xf numFmtId="0" fontId="0" fillId="0" borderId="0" xfId="0"/>
    <x:xf numFmtId="0" fontId="0" fillId="0" borderId="0" xfId="1" applyFont="1" applyAlignment="1">
      <x:alignment wrapText="1"/>
    </x:xf>
    <x:xf numFmtId="165" fontId="0" fillId="0" borderId="0" xfId="0" applyNumberFormat="1"/>
    <x:xf numFmtId="167" fontId="0" fillId="0" borderId="0" xfId="0" applyNumberFormat="1"/>
    <x:xf numFmtId="165" fontId="0" fillId="0" borderId="0" xfId="0" applyNumberForma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170" fontId="0" fillId="0" borderId="0" xfId="0" applyNumberFormat="1"/>
    <x:xf numFmtId="0" fontId="7" fillId="7" borderId="5" xfId="0" applyFont="1" applyFill="1" applyBorder="1" applyAlignment="1">
      <x:alignment horizontal="center" vertical="center" wrapText="1"/>
    </x:xf>
    <x:xf numFmtId="0" fontId="8" fillId="0" borderId="9" xfId="0" applyFont="1" applyBorder="1" applyAlignment="1">
      <x:alignment vertical="center" wrapText="1"/>
    </x:xf>
    <x:xf numFmtId="0" fontId="8" fillId="0" borderId="0" xfId="0" applyFont="1" applyAlignment="1">
      <x:alignment vertical="center" wrapText="1"/>
    </x:xf>
    <x:xf numFmtId="164" fontId="8" fillId="0" borderId="10" xfId="0" applyNumberFormat="1" applyFont="1" applyBorder="1" applyAlignment="1">
      <x:alignment vertical="center" wrapText="1"/>
    </x:xf>
    <x:xf numFmtId="165" fontId="8" fillId="0" borderId="10" xfId="0" applyNumberFormat="1" applyFont="1" applyBorder="1" applyAlignment="1">
      <x:alignment vertical="center" wrapText="1"/>
    </x:xf>
    <x:xf numFmtId="0" fontId="8" fillId="0" borderId="10" xfId="0" applyFont="1" applyBorder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8" fillId="5" borderId="10" xfId="0" applyFont="1" applyFill="1" applyBorder="1" applyAlignment="1">
      <x:alignment vertical="center" wrapText="1"/>
    </x:xf>
    <x:xf numFmtId="0" fontId="8" fillId="8" borderId="6" xfId="0" applyFont="1" applyFill="1" applyBorder="1" applyAlignment="1">
      <x:alignment vertical="center" wrapText="1"/>
    </x:xf>
    <x:xf numFmtId="0" fontId="8" fillId="8" borderId="7" xfId="0" applyFont="1" applyFill="1" applyBorder="1" applyAlignment="1">
      <x:alignment vertical="center" wrapText="1"/>
    </x:xf>
    <x:xf numFmtId="164" fontId="8" fillId="8" borderId="8" xfId="0" applyNumberFormat="1" applyFont="1" applyFill="1" applyBorder="1" applyAlignment="1">
      <x:alignment vertical="center" wrapText="1"/>
    </x:xf>
    <x:xf numFmtId="0" fontId="8" fillId="8" borderId="9" xfId="0" applyFont="1" applyFill="1" applyBorder="1" applyAlignment="1">
      <x:alignment vertical="center" wrapText="1"/>
    </x:xf>
    <x:xf numFmtId="0" fontId="8" fillId="8" borderId="0" xfId="0" applyFont="1" applyFill="1" applyAlignment="1">
      <x:alignment vertical="center" wrapText="1"/>
    </x:xf>
    <x:xf numFmtId="165" fontId="8" fillId="8" borderId="10" xfId="0" applyNumberFormat="1" applyFont="1" applyFill="1" applyBorder="1" applyAlignment="1">
      <x:alignment vertical="center" wrapText="1"/>
    </x:xf>
    <x:xf numFmtId="0" fontId="8" fillId="8" borderId="10" xfId="0" applyFont="1" applyFill="1" applyBorder="1" applyAlignment="1">
      <x:alignment vertical="center" wrapText="1"/>
    </x:xf>
    <x:xf numFmtId="0" fontId="9" fillId="8" borderId="0" xfId="0" applyFont="1" applyFill="1" applyAlignment="1">
      <x:alignment vertical="center" wrapText="1"/>
    </x:xf>
    <x:xf numFmtId="0" fontId="8" fillId="8" borderId="11" xfId="0" applyFont="1" applyFill="1" applyBorder="1" applyAlignment="1">
      <x:alignment vertical="center" wrapText="1"/>
    </x:xf>
    <x:xf numFmtId="0" fontId="8" fillId="8" borderId="12" xfId="0" applyFont="1" applyFill="1" applyBorder="1" applyAlignment="1">
      <x:alignment vertical="center" wrapText="1"/>
    </x:xf>
    <x:xf numFmtId="0" fontId="9" fillId="8" borderId="12" xfId="0" applyFont="1" applyFill="1" applyBorder="1" applyAlignment="1">
      <x:alignment vertical="center" wrapText="1"/>
    </x:xf>
    <x:xf numFmtId="0" fontId="8" fillId="8" borderId="13" xfId="0" applyFont="1" applyFill="1" applyBorder="1" applyAlignment="1">
      <x:alignment vertical="center" wrapText="1"/>
    </x:xf>
    <x:xf numFmtId="165" fontId="8" fillId="0" borderId="0" xfId="0" applyNumberFormat="1" applyFont="1" applyAlignment="1">
      <x:alignment vertical="center" wrapText="1"/>
    </x:xf>
    <x:xf numFmtId="165" fontId="8" fillId="0" borderId="2" xfId="0" applyNumberFormat="1" applyFont="1" applyBorder="1" applyAlignment="1">
      <x:alignment vertical="center" wrapText="1"/>
    </x:xf>
    <x:xf numFmtId="0" fontId="8" fillId="0" borderId="2" xfId="0" applyFont="1" applyBorder="1" applyAlignment="1">
      <x:alignment vertical="center" wrapText="1"/>
    </x:xf>
    <x:xf numFmtId="165" fontId="8" fillId="0" borderId="14" xfId="0" applyNumberFormat="1" applyFont="1" applyBorder="1" applyAlignment="1">
      <x:alignment vertical="center" wrapText="1"/>
    </x:xf>
    <x:xf numFmtId="165" fontId="8" fillId="8" borderId="7" xfId="0" applyNumberFormat="1" applyFont="1" applyFill="1" applyBorder="1" applyAlignment="1">
      <x:alignment vertical="center" wrapText="1"/>
    </x:xf>
    <x:xf numFmtId="165" fontId="8" fillId="8" borderId="8" xfId="0" applyNumberFormat="1" applyFont="1" applyFill="1" applyBorder="1" applyAlignment="1">
      <x:alignment vertical="center" wrapText="1"/>
    </x:xf>
    <x:xf numFmtId="165" fontId="8" fillId="8" borderId="0" xfId="0" applyNumberFormat="1" applyFont="1" applyFill="1" applyAlignment="1">
      <x:alignment vertical="center" wrapText="1"/>
    </x:xf>
    <x:xf numFmtId="165" fontId="8" fillId="8" borderId="12" xfId="0" applyNumberFormat="1" applyFont="1" applyFill="1" applyBorder="1" applyAlignment="1">
      <x:alignment vertical="center" wrapText="1"/>
    </x:xf>
    <x:xf numFmtId="165" fontId="8" fillId="8" borderId="13" xfId="0" applyNumberFormat="1" applyFont="1" applyFill="1" applyBorder="1" applyAlignment="1">
      <x:alignment vertical="center" wrapText="1"/>
    </x:xf>
    <x:xf numFmtId="171" fontId="8" fillId="8" borderId="7" xfId="0" applyNumberFormat="1" applyFont="1" applyFill="1" applyBorder="1" applyAlignment="1">
      <x:alignment vertical="center" wrapText="1"/>
    </x:xf>
    <x:xf numFmtId="171" fontId="8" fillId="0" borderId="0" xfId="0" applyNumberFormat="1" applyFont="1" applyAlignment="1">
      <x:alignment vertical="center" wrapText="1"/>
    </x:xf>
    <x:xf numFmtId="171" fontId="8" fillId="8" borderId="0" xfId="0" applyNumberFormat="1" applyFont="1" applyFill="1" applyAlignment="1">
      <x:alignment vertical="center" wrapText="1"/>
    </x:xf>
    <x:xf numFmtId="171" fontId="8" fillId="0" borderId="2" xfId="0" applyNumberFormat="1" applyFont="1" applyBorder="1" applyAlignment="1">
      <x:alignment vertical="center" wrapText="1"/>
    </x:xf>
    <x:xf numFmtId="165" fontId="10" fillId="2" borderId="0" xfId="0" applyNumberFormat="1" applyFont="1" applyFill="1" applyAlignment="1">
      <x:alignment vertical="center" wrapText="1"/>
    </x:xf>
    <x:xf numFmtId="0" fontId="10" fillId="2" borderId="10" xfId="0" applyFont="1" applyFill="1" applyBorder="1" applyAlignment="1">
      <x:alignment vertical="center" wrapText="1"/>
    </x:xf>
    <x:xf numFmtId="0" fontId="8" fillId="0" borderId="10" xfId="0" applyFont="1" applyBorder="1" applyAlignment="1">
      <x:alignment vertical="center"/>
    </x:xf>
    <x:xf numFmtId="165" fontId="10" fillId="8" borderId="7" xfId="0" applyNumberFormat="1" applyFont="1" applyFill="1" applyBorder="1" applyAlignment="1">
      <x:alignment vertical="center" wrapText="1"/>
    </x:xf>
    <x:xf numFmtId="0" fontId="10" fillId="8" borderId="8" xfId="0" applyFont="1" applyFill="1" applyBorder="1" applyAlignment="1">
      <x:alignment vertical="center" wrapText="1"/>
    </x:xf>
    <x:xf numFmtId="165" fontId="10" fillId="8" borderId="0" xfId="0" applyNumberFormat="1" applyFont="1" applyFill="1" applyAlignment="1">
      <x:alignment vertical="center" wrapText="1"/>
    </x:xf>
    <x:xf numFmtId="0" fontId="10" fillId="8" borderId="10" xfId="0" applyFont="1" applyFill="1" applyBorder="1" applyAlignment="1">
      <x:alignment vertical="center" wrapText="1"/>
    </x:xf>
    <x:xf numFmtId="0" fontId="8" fillId="8" borderId="10" xfId="0" applyFont="1" applyFill="1" applyBorder="1" applyAlignment="1">
      <x:alignment vertical="center"/>
    </x:xf>
    <x:xf numFmtId="0" fontId="8" fillId="8" borderId="13" xfId="0" applyFont="1" applyFill="1" applyBorder="1" applyAlignment="1">
      <x:alignment vertical="center"/>
    </x:xf>
    <x:xf numFmtId="165" fontId="8" fillId="0" borderId="0" xfId="0" applyNumberFormat="1" applyFont="1" applyAlignment="1">
      <x:alignment vertical="center"/>
    </x:xf>
    <x:xf numFmtId="165" fontId="8" fillId="8" borderId="0" xfId="0" applyNumberFormat="1" applyFont="1" applyFill="1" applyAlignment="1">
      <x:alignment vertical="center"/>
    </x:xf>
    <x:xf numFmtId="165" fontId="8" fillId="8" borderId="12" xfId="0" applyNumberFormat="1" applyFont="1" applyFill="1" applyBorder="1" applyAlignment="1">
      <x:alignment vertical="center"/>
    </x:xf>
    <x:xf numFmtId="165" fontId="10" fillId="9" borderId="6" xfId="0" applyNumberFormat="1" applyFont="1" applyFill="1" applyBorder="1" applyAlignment="1">
      <x:alignment vertical="center" wrapText="1"/>
    </x:xf>
    <x:xf numFmtId="165" fontId="10" fillId="9" borderId="9" xfId="0" applyNumberFormat="1" applyFont="1" applyFill="1" applyBorder="1" applyAlignment="1">
      <x:alignment vertical="center" wrapText="1"/>
    </x:xf>
    <x:xf numFmtId="165" fontId="8" fillId="9" borderId="9" xfId="0" applyNumberFormat="1" applyFont="1" applyFill="1" applyBorder="1" applyAlignment="1">
      <x:alignment vertical="center" wrapText="1"/>
    </x:xf>
    <x:xf numFmtId="165" fontId="8" fillId="9" borderId="9" xfId="0" applyNumberFormat="1" applyFont="1" applyFill="1" applyBorder="1" applyAlignment="1">
      <x:alignment vertical="center"/>
    </x:xf>
    <x:xf numFmtId="165" fontId="8" fillId="9" borderId="11" xfId="0" applyNumberFormat="1" applyFont="1" applyFill="1" applyBorder="1" applyAlignment="1">
      <x:alignment vertical="center"/>
    </x:xf>
    <x:xf numFmtId="0" fontId="10" fillId="9" borderId="7" xfId="0" applyFont="1" applyFill="1" applyBorder="1" applyAlignment="1">
      <x:alignment vertical="center" wrapText="1"/>
    </x:xf>
    <x:xf numFmtId="0" fontId="10" fillId="9" borderId="0" xfId="0" applyFont="1" applyFill="1" applyAlignment="1">
      <x:alignment vertical="center" wrapText="1"/>
    </x:xf>
    <x:xf numFmtId="0" fontId="8" fillId="9" borderId="0" xfId="0" applyFont="1" applyFill="1" applyAlignment="1">
      <x:alignment vertical="center" wrapText="1"/>
    </x:xf>
    <x:xf numFmtId="0" fontId="8" fillId="9" borderId="0" xfId="0" applyFont="1" applyFill="1" applyAlignment="1">
      <x:alignment vertical="center"/>
    </x:xf>
    <x:xf numFmtId="0" fontId="8" fillId="9" borderId="12" xfId="0" applyFont="1" applyFill="1" applyBorder="1" applyAlignment="1">
      <x:alignment vertical="center"/>
    </x:xf>
    <x:xf numFmtId="165" fontId="10" fillId="9" borderId="7" xfId="0" applyNumberFormat="1" applyFont="1" applyFill="1" applyBorder="1" applyAlignment="1">
      <x:alignment vertical="center" wrapText="1"/>
    </x:xf>
    <x:xf numFmtId="165" fontId="10" fillId="9" borderId="0" xfId="0" applyNumberFormat="1" applyFont="1" applyFill="1" applyAlignment="1">
      <x:alignment vertical="center" wrapText="1"/>
    </x:xf>
    <x:xf numFmtId="165" fontId="8" fillId="9" borderId="0" xfId="0" applyNumberFormat="1" applyFont="1" applyFill="1" applyAlignment="1">
      <x:alignment vertical="center" wrapText="1"/>
    </x:xf>
    <x:xf numFmtId="165" fontId="8" fillId="9" borderId="0" xfId="0" applyNumberFormat="1" applyFont="1" applyFill="1" applyAlignment="1">
      <x:alignment vertical="center"/>
    </x:xf>
    <x:xf numFmtId="165" fontId="8" fillId="9" borderId="12" xfId="0" applyNumberFormat="1" applyFont="1" applyFill="1" applyBorder="1" applyAlignment="1">
      <x:alignment vertical="center"/>
    </x:xf>
    <x:xf numFmtId="171" fontId="10" fillId="8" borderId="7" xfId="0" applyNumberFormat="1" applyFont="1" applyFill="1" applyBorder="1" applyAlignment="1">
      <x:alignment vertical="center" wrapText="1"/>
    </x:xf>
    <x:xf numFmtId="171" fontId="10" fillId="2" borderId="0" xfId="0" applyNumberFormat="1" applyFont="1" applyFill="1" applyAlignment="1">
      <x:alignment vertical="center" wrapText="1"/>
    </x:xf>
    <x:xf numFmtId="171" fontId="10" fillId="8" borderId="0" xfId="0" applyNumberFormat="1" applyFont="1" applyFill="1" applyAlignment="1">
      <x:alignment vertical="center" wrapText="1"/>
    </x:xf>
    <x:xf numFmtId="171" fontId="8" fillId="0" borderId="0" xfId="0" applyNumberFormat="1" applyFont="1" applyAlignment="1">
      <x:alignment vertical="center"/>
    </x:xf>
    <x:xf numFmtId="171" fontId="8" fillId="8" borderId="0" xfId="0" applyNumberFormat="1" applyFont="1" applyFill="1" applyAlignment="1">
      <x:alignment vertical="center"/>
    </x:xf>
    <x:xf numFmtId="171" fontId="8" fillId="8" borderId="12" xfId="0" applyNumberFormat="1" applyFont="1" applyFill="1" applyBorder="1" applyAlignment="1">
      <x:alignment vertical="center"/>
    </x:xf>
    <x:xf numFmtId="170" fontId="10" fillId="9" borderId="7" xfId="0" applyNumberFormat="1" applyFont="1" applyFill="1" applyBorder="1" applyAlignment="1">
      <x:alignment vertical="center" wrapText="1"/>
    </x:xf>
    <x:xf numFmtId="170" fontId="10" fillId="9" borderId="0" xfId="0" applyNumberFormat="1" applyFont="1" applyFill="1" applyAlignment="1">
      <x:alignment vertical="center" wrapText="1"/>
    </x:xf>
    <x:xf numFmtId="170" fontId="8" fillId="9" borderId="0" xfId="0" applyNumberFormat="1" applyFont="1" applyFill="1" applyAlignment="1">
      <x:alignment vertical="center" wrapText="1"/>
    </x:xf>
    <x:xf numFmtId="170" fontId="8" fillId="9" borderId="0" xfId="0" applyNumberFormat="1" applyFont="1" applyFill="1" applyAlignment="1">
      <x:alignment vertical="center"/>
    </x:xf>
    <x:xf numFmtId="170" fontId="8" fillId="9" borderId="12" xfId="0" applyNumberFormat="1" applyFont="1" applyFill="1" applyBorder="1" applyAlignment="1">
      <x:alignment vertical="center"/>
    </x:xf>
    <x:xf numFmtId="0" fontId="8" fillId="9" borderId="7" xfId="0" applyFont="1" applyFill="1" applyBorder="1" applyAlignment="1">
      <x:alignment vertical="center" wrapText="1"/>
    </x:xf>
    <x:xf numFmtId="9" fontId="11" fillId="9" borderId="7" xfId="0" applyNumberFormat="1" applyFont="1" applyFill="1" applyBorder="1" applyAlignment="1">
      <x:alignment vertical="center" wrapText="1"/>
    </x:xf>
    <x:xf numFmtId="9" fontId="11" fillId="9" borderId="0" xfId="0" applyNumberFormat="1" applyFont="1" applyFill="1" applyAlignment="1">
      <x:alignment vertical="center" wrapText="1"/>
    </x:xf>
    <x:xf numFmtId="171" fontId="10" fillId="9" borderId="7" xfId="0" applyNumberFormat="1" applyFont="1" applyFill="1" applyBorder="1" applyAlignment="1">
      <x:alignment vertical="center" wrapText="1"/>
    </x:xf>
    <x:xf numFmtId="171" fontId="10" fillId="9" borderId="0" xfId="0" applyNumberFormat="1" applyFont="1" applyFill="1" applyAlignment="1">
      <x:alignment vertical="center" wrapText="1"/>
    </x:xf>
    <x:xf numFmtId="171" fontId="8" fillId="9" borderId="0" xfId="0" applyNumberFormat="1" applyFont="1" applyFill="1" applyAlignment="1">
      <x:alignment vertical="center" wrapText="1"/>
    </x:xf>
    <x:xf numFmtId="171" fontId="8" fillId="9" borderId="0" xfId="0" applyNumberFormat="1" applyFont="1" applyFill="1" applyAlignment="1">
      <x:alignment vertical="center"/>
    </x:xf>
    <x:xf numFmtId="171" fontId="8" fillId="9" borderId="12" xfId="0" applyNumberFormat="1" applyFont="1" applyFill="1" applyBorder="1" applyAlignment="1">
      <x:alignment vertical="center"/>
    </x:xf>
    <x:xf numFmtId="171" fontId="12" fillId="8" borderId="7" xfId="0" applyNumberFormat="1" applyFont="1" applyFill="1" applyBorder="1" applyAlignment="1">
      <x:alignment vertical="center" wrapText="1"/>
    </x:xf>
    <x:xf numFmtId="171" fontId="12" fillId="0" borderId="0" xfId="0" applyNumberFormat="1" applyFont="1" applyAlignment="1">
      <x:alignment vertical="center" wrapText="1"/>
    </x:xf>
    <x:xf numFmtId="171" fontId="12" fillId="8" borderId="0" xfId="0" applyNumberFormat="1" applyFont="1" applyFill="1" applyAlignment="1">
      <x:alignment vertical="center" wrapText="1"/>
    </x:xf>
    <x:xf numFmtId="171" fontId="12" fillId="8" borderId="8" xfId="0" applyNumberFormat="1" applyFont="1" applyFill="1" applyBorder="1" applyAlignment="1">
      <x:alignment vertical="center" wrapText="1"/>
    </x:xf>
    <x:xf numFmtId="171" fontId="12" fillId="0" borderId="10" xfId="0" applyNumberFormat="1" applyFont="1" applyBorder="1" applyAlignment="1">
      <x:alignment vertical="center" wrapText="1"/>
    </x:xf>
    <x:xf numFmtId="171" fontId="12" fillId="8" borderId="10" xfId="0" applyNumberFormat="1" applyFont="1" applyFill="1" applyBorder="1" applyAlignment="1">
      <x:alignment vertical="center" wrapText="1"/>
    </x:xf>
    <x:xf numFmtId="171" fontId="8" fillId="8" borderId="10" xfId="0" applyNumberFormat="1" applyFont="1" applyFill="1" applyBorder="1" applyAlignment="1">
      <x:alignment vertical="center" wrapText="1"/>
    </x:xf>
    <x:xf numFmtId="171" fontId="8" fillId="0" borderId="10" xfId="0" applyNumberFormat="1" applyFont="1" applyBorder="1" applyAlignment="1">
      <x:alignment vertical="center" wrapText="1"/>
    </x:xf>
    <x:xf numFmtId="171" fontId="8" fillId="0" borderId="10" xfId="0" applyNumberFormat="1" applyFont="1" applyBorder="1" applyAlignment="1">
      <x:alignment vertical="center"/>
    </x:xf>
    <x:xf numFmtId="171" fontId="8" fillId="8" borderId="10" xfId="0" applyNumberFormat="1" applyFont="1" applyFill="1" applyBorder="1" applyAlignment="1">
      <x:alignment vertical="center"/>
    </x:xf>
    <x:xf numFmtId="171" fontId="8" fillId="8" borderId="13" xfId="0" applyNumberFormat="1" applyFont="1" applyFill="1" applyBorder="1" applyAlignment="1">
      <x:alignment vertical="center"/>
    </x:xf>
    <x:xf numFmtId="9" fontId="8" fillId="9" borderId="0" xfId="0" applyNumberFormat="1" applyFont="1" applyFill="1" applyAlignment="1">
      <x:alignment vertical="center" wrapText="1"/>
    </x:xf>
    <x:xf numFmtId="9" fontId="8" fillId="9" borderId="0" xfId="0" applyNumberFormat="1" applyFont="1" applyFill="1" applyAlignment="1">
      <x:alignment vertical="center"/>
    </x:xf>
    <x:xf numFmtId="9" fontId="8" fillId="9" borderId="12" xfId="0" applyNumberFormat="1" applyFont="1" applyFill="1" applyBorder="1" applyAlignment="1">
      <x:alignment vertical="center"/>
    </x:xf>
    <x:xf numFmtId="0" fontId="10" fillId="9" borderId="9" xfId="0" applyFont="1" applyFill="1" applyBorder="1" applyAlignment="1">
      <x:alignment vertical="center" wrapText="1"/>
    </x:xf>
    <x:xf numFmtId="0" fontId="10" fillId="9" borderId="10" xfId="0" applyFont="1" applyFill="1" applyBorder="1" applyAlignment="1">
      <x:alignment vertical="center" wrapText="1"/>
    </x:xf>
    <x:xf numFmtId="0" fontId="8" fillId="9" borderId="9" xfId="0" applyFont="1" applyFill="1" applyBorder="1" applyAlignment="1">
      <x:alignment vertical="center" wrapText="1"/>
    </x:xf>
    <x:xf numFmtId="0" fontId="8" fillId="9" borderId="10" xfId="0" applyFont="1" applyFill="1" applyBorder="1" applyAlignment="1">
      <x:alignment vertical="center" wrapText="1"/>
    </x:xf>
    <x:xf numFmtId="0" fontId="8" fillId="9" borderId="9" xfId="0" applyFont="1" applyFill="1" applyBorder="1" applyAlignment="1">
      <x:alignment vertical="center"/>
    </x:xf>
    <x:xf numFmtId="0" fontId="8" fillId="9" borderId="10" xfId="0" applyFont="1" applyFill="1" applyBorder="1" applyAlignment="1">
      <x:alignment vertical="center"/>
    </x:xf>
    <x:xf numFmtId="0" fontId="8" fillId="9" borderId="11" xfId="0" applyFont="1" applyFill="1" applyBorder="1" applyAlignment="1">
      <x:alignment vertical="center"/>
    </x:xf>
    <x:xf numFmtId="0" fontId="8" fillId="9" borderId="13" xfId="0" applyFont="1" applyFill="1" applyBorder="1" applyAlignment="1">
      <x:alignment vertical="center"/>
    </x:xf>
    <x:xf numFmtId="0" fontId="7" fillId="7" borderId="15" xfId="0" applyFont="1" applyFill="1" applyBorder="1" applyAlignment="1">
      <x:alignment horizontal="center" vertical="center" wrapText="1"/>
    </x:xf>
    <x:xf numFmtId="0" fontId="7" fillId="7" borderId="16" xfId="0" applyFont="1" applyFill="1" applyBorder="1" applyAlignment="1">
      <x:alignment horizontal="center" vertical="center" wrapText="1"/>
    </x:xf>
    <x:xf numFmtId="171" fontId="8" fillId="0" borderId="4" xfId="0" applyNumberFormat="1" applyFont="1" applyBorder="1" applyAlignment="1">
      <x:alignment vertical="center"/>
    </x:xf>
    <x:xf numFmtId="166" fontId="7" fillId="7" borderId="5" xfId="0" applyNumberFormat="1" applyFont="1" applyFill="1" applyBorder="1" applyAlignment="1">
      <x:alignment horizontal="center" vertical="center" wrapText="1"/>
    </x:xf>
    <x:xf numFmtId="166" fontId="12" fillId="6" borderId="0" xfId="0" applyNumberFormat="1" applyFont="1" applyFill="1" applyAlignment="1">
      <x:alignment horizontal="left" vertical="center" wrapText="1"/>
    </x:xf>
    <x:xf numFmtId="166" fontId="12" fillId="6" borderId="0" xfId="0" applyNumberFormat="1" applyFont="1" applyFill="1" applyAlignment="1">
      <x:alignment horizontal="left" vertical="center"/>
    </x:xf>
    <x:xf numFmtId="171" fontId="12" fillId="8" borderId="0" xfId="0" applyNumberFormat="1" applyFont="1" applyFill="1" applyAlignment="1">
      <x:alignment horizontal="right" vertical="center"/>
    </x:xf>
    <x:xf numFmtId="171" fontId="12" fillId="6" borderId="0" xfId="0" applyNumberFormat="1" applyFont="1" applyFill="1" applyAlignment="1">
      <x:alignment horizontal="right" vertical="center"/>
    </x:xf>
    <x:xf numFmtId="171" fontId="12" fillId="6" borderId="0" xfId="0" applyNumberFormat="1" applyFont="1" applyFill="1" applyAlignment="1">
      <x:alignment horizontal="right" vertical="center" wrapText="1"/>
    </x:xf>
    <x:xf numFmtId="171" fontId="12" fillId="8" borderId="0" xfId="0" applyNumberFormat="1" applyFont="1" applyFill="1" applyAlignment="1">
      <x:alignment horizontal="right" vertical="center" wrapText="1"/>
    </x:xf>
    <x:xf numFmtId="170" fontId="8" fillId="0" borderId="10" xfId="0" applyNumberFormat="1" applyFont="1" applyBorder="1" applyAlignment="1">
      <x:alignment vertical="center"/>
    </x:xf>
    <x:xf numFmtId="170" fontId="8" fillId="8" borderId="10" xfId="0" applyNumberFormat="1" applyFont="1" applyFill="1" applyBorder="1" applyAlignment="1">
      <x:alignment vertical="center"/>
    </x:xf>
    <x:xf numFmtId="0" fontId="14" fillId="0" borderId="0" xfId="0" applyFont="1" applyAlignment="1">
      <x:alignment wrapText="1"/>
    </x:xf>
    <x:xf numFmtId="0" fontId="13" fillId="10" borderId="0" xfId="0" applyFont="1" applyFill="1" applyAlignment="1">
      <x:alignment horizontal="center" vertical="center" wrapText="1"/>
    </x:xf>
    <x:xf numFmtId="0" fontId="13" fillId="10" borderId="0" xfId="0" applyFont="1" applyFill="1" applyAlignment="1">
      <x:alignment horizontal="center" wrapText="1"/>
    </x:xf>
    <x:xf numFmtId="0" fontId="15" fillId="0" borderId="0" xfId="0" applyFont="1" applyAlignment="1">
      <x:alignment wrapText="1"/>
    </x:xf>
    <x:xf numFmtId="167" fontId="14" fillId="0" borderId="0" xfId="0" applyNumberFormat="1" applyFont="1" applyAlignment="1">
      <x:alignment wrapText="1"/>
    </x:xf>
    <x:xf numFmtId="0" fontId="14" fillId="4" borderId="1" xfId="0" applyFont="1" applyFill="1" applyBorder="1" applyAlignment="1">
      <x:alignment wrapText="1"/>
    </x:xf>
    <x:xf numFmtId="167" fontId="14" fillId="4" borderId="3" xfId="0" applyNumberFormat="1" applyFont="1" applyFill="1" applyBorder="1" applyAlignment="1">
      <x:alignment wrapText="1"/>
    </x:xf>
    <x:xf numFmtId="0" fontId="14" fillId="5" borderId="1" xfId="0" applyFont="1" applyFill="1" applyBorder="1" applyAlignment="1">
      <x:alignment wrapText="1"/>
    </x:xf>
    <x:xf numFmtId="167" fontId="14" fillId="5" borderId="3" xfId="0" applyNumberFormat="1" applyFont="1" applyFill="1" applyBorder="1" applyAlignment="1">
      <x:alignment wrapText="1"/>
    </x:xf>
    <x:xf numFmtId="0" fontId="14" fillId="3" borderId="0" xfId="0" applyFont="1" applyFill="1" applyAlignment="1">
      <x:alignment vertical="top" wrapText="1"/>
    </x:xf>
    <x:xf numFmtId="169" fontId="14" fillId="0" borderId="0" xfId="0" applyNumberFormat="1" applyFont="1" applyAlignment="1">
      <x:alignment wrapText="1"/>
    </x:xf>
    <x:xf numFmtId="0" fontId="14" fillId="5" borderId="0" xfId="0" applyFont="1" applyFill="1" applyAlignment="1">
      <x:alignment vertical="center" wrapText="1"/>
    </x:xf>
    <x:xf numFmtId="166" fontId="8" fillId="0" borderId="0" xfId="0" applyNumberFormat="1" applyFont="1" applyAlignment="1">
      <x:alignment vertical="center"/>
    </x:xf>
    <x:xf numFmtId="166" fontId="8" fillId="0" borderId="4" xfId="0" applyNumberFormat="1" applyFont="1" applyBorder="1" applyAlignment="1">
      <x:alignment vertical="center"/>
    </x:xf>
    <x:xf numFmtId="166" fontId="8" fillId="8" borderId="0" xfId="0" applyNumberFormat="1" applyFont="1" applyFill="1" applyAlignment="1">
      <x:alignment vertical="center"/>
    </x:xf>
    <x:xf numFmtId="166" fontId="12" fillId="8" borderId="0" xfId="0" applyNumberFormat="1" applyFont="1" applyFill="1" applyAlignment="1">
      <x:alignment horizontal="left" vertical="center"/>
    </x:xf>
    <x:xf numFmtId="166" fontId="12" fillId="8" borderId="0" xfId="0" applyNumberFormat="1" applyFont="1" applyFill="1" applyAlignment="1">
      <x:alignment horizontal="left" vertical="center" wrapText="1"/>
    </x:xf>
    <x:xf numFmtId="170" fontId="12" fillId="6" borderId="0" xfId="0" applyNumberFormat="1" applyFont="1" applyFill="1" applyAlignment="1">
      <x:alignment horizontal="right" vertical="center" wrapText="1"/>
    </x:xf>
    <x:xf numFmtId="170" fontId="12" fillId="8" borderId="0" xfId="0" applyNumberFormat="1" applyFont="1" applyFill="1" applyAlignment="1">
      <x:alignment horizontal="right" vertical="center"/>
    </x:xf>
    <x:xf numFmtId="170" fontId="12" fillId="6" borderId="0" xfId="0" applyNumberFormat="1" applyFont="1" applyFill="1" applyAlignment="1">
      <x:alignment horizontal="right" vertical="center"/>
    </x:xf>
    <x:xf numFmtId="170" fontId="12" fillId="8" borderId="0" xfId="0" applyNumberFormat="1" applyFont="1" applyFill="1" applyAlignment="1">
      <x:alignment horizontal="right" vertical="center" wrapText="1"/>
    </x:xf>
    <x:xf numFmtId="172" fontId="8" fillId="0" borderId="9" xfId="0" applyNumberFormat="1" applyFont="1" applyBorder="1" applyAlignment="1">
      <x:alignment vertical="center"/>
    </x:xf>
    <x:xf numFmtId="172" fontId="8" fillId="8" borderId="9" xfId="0" applyNumberFormat="1" applyFont="1" applyFill="1" applyBorder="1" applyAlignment="1">
      <x:alignment vertical="center"/>
    </x:xf>
    <x:xf numFmtId="166" fontId="7" fillId="11" borderId="0" xfId="0" applyNumberFormat="1" applyFont="1" applyFill="1" applyAlignment="1">
      <x:alignment horizontal="center" vertical="center" wrapText="1"/>
    </x:xf>
    <x:xf numFmtId="0" fontId="7" fillId="11" borderId="0" xfId="0" applyFont="1" applyFill="1" applyAlignment="1">
      <x:alignment horizontal="center" vertical="center" wrapText="1"/>
    </x:xf>
    <x:xf numFmtId="171" fontId="12" fillId="6" borderId="0" xfId="0" applyNumberFormat="1" applyFont="1" applyFill="1" applyAlignment="1">
      <x:alignment vertical="center"/>
    </x:xf>
    <x:xf numFmtId="171" fontId="12" fillId="8" borderId="0" xfId="0" applyNumberFormat="1" applyFont="1" applyFill="1" applyAlignment="1">
      <x:alignment vertical="center"/>
    </x:xf>
    <x:xf numFmtId="171" fontId="12" fillId="8" borderId="0" xfId="0" applyNumberFormat="1" applyFont="1" applyFill="1" applyAlignment="1">
      <x:alignment horizontal="center" vertical="center" wrapText="1"/>
    </x:xf>
    <x:xf numFmtId="171" fontId="12" fillId="6" borderId="0" xfId="0" applyNumberFormat="1" applyFont="1" applyFill="1" applyAlignment="1">
      <x:alignment horizontal="left" vertical="center"/>
    </x:xf>
    <x:xf numFmtId="0" fontId="1" fillId="12" borderId="0" xfId="0" applyFont="1" applyFill="1"/>
    <x:xf numFmtId="0" fontId="1" fillId="12" borderId="17" xfId="0" applyFont="1" applyFill="1" applyBorder="1" applyAlignment="1">
      <x:alignment horizontal="center" vertical="center"/>
    </x:xf>
    <x:xf numFmtId="171" fontId="0" fillId="0" borderId="0" xfId="0" applyNumberFormat="1"/>
    <x:xf numFmtId="0" fontId="21" fillId="14" borderId="19" xfId="0" applyFont="1" applyFill="1" applyBorder="1" applyAlignment="1">
      <x:alignment horizontal="center" vertical="center" wrapText="1"/>
    </x:xf>
    <x:xf numFmtId="0" fontId="21" fillId="15" borderId="18" xfId="0" applyFont="1" applyFill="1" applyBorder="1" applyAlignment="1">
      <x:alignment horizontal="center" vertical="center" wrapText="1"/>
    </x:xf>
    <x:xf numFmtId="0" fontId="29" fillId="4" borderId="0" xfId="0" applyFont="1" applyFill="1" applyAlignment="1">
      <x:alignment wrapText="1"/>
    </x:xf>
    <x:xf numFmtId="0" fontId="1" fillId="21" borderId="0" xfId="0" applyFont="1" applyFill="1" applyAlignment="1">
      <x:alignment horizontal="center"/>
    </x:xf>
    <x:xf numFmtId="0" fontId="2" fillId="22" borderId="0" xfId="0" applyFont="1" applyFill="1" applyAlignment="1">
      <x:alignment horizontal="center"/>
    </x:xf>
    <x:xf numFmtId="0" fontId="0" fillId="0" borderId="38" xfId="0" applyBorder="1"/>
    <x:xf numFmtId="0" fontId="2" fillId="22" borderId="38" xfId="0" applyFont="1" applyFill="1" applyBorder="1" applyAlignment="1">
      <x:alignment horizontal="center"/>
    </x:xf>
    <x:xf numFmtId="0" fontId="13" fillId="21" borderId="0" xfId="0" applyFont="1" applyFill="1" applyAlignment="1">
      <x:alignment horizontal="center" vertical="top" wrapText="1"/>
    </x:xf>
    <x:xf numFmtId="167" fontId="13" fillId="21" borderId="0" xfId="0" applyNumberFormat="1" applyFont="1" applyFill="1" applyAlignment="1">
      <x:alignment horizontal="center" vertical="top" wrapText="1"/>
    </x:xf>
    <x:xf numFmtId="173" fontId="13" fillId="21" borderId="0" xfId="0" applyNumberFormat="1" applyFont="1" applyFill="1" applyAlignment="1">
      <x:alignment horizontal="center" vertical="top" wrapText="1"/>
    </x:xf>
    <x:xf numFmtId="0" fontId="1" fillId="23" borderId="0" xfId="0" applyFont="1" applyFill="1" applyAlignment="1">
      <x:alignment horizontal="center" wrapText="1"/>
    </x:xf>
    <x:xf numFmtId="0" fontId="0" fillId="24" borderId="0" xfId="0" applyFill="1" applyAlignment="1">
      <x:alignment wrapText="1"/>
    </x:xf>
    <x:xf numFmtId="9" fontId="0" fillId="0" borderId="0" xfId="0" applyNumberFormat="1" applyAlignment="1">
      <x:alignment wrapText="1"/>
    </x:xf>
    <x:xf numFmtId="0" fontId="7" fillId="23" borderId="0" xfId="0" applyFont="1" applyFill="1" applyAlignment="1">
      <x:alignment horizontal="center" vertical="center" wrapText="1"/>
    </x:xf>
    <x:xf numFmtId="0" fontId="1" fillId="23" borderId="0" xfId="0" applyFont="1" applyFill="1" applyAlignment="1">
      <x:alignment horizontal="center" vertical="center" wrapText="1"/>
    </x:xf>
    <x:xf numFmtId="0" fontId="10" fillId="24" borderId="0" xfId="0" applyFont="1" applyFill="1" applyAlignment="1">
      <x:alignment vertical="center" wrapText="1"/>
    </x:xf>
    <x:xf numFmtId="171" fontId="10" fillId="24" borderId="0" xfId="0" applyNumberFormat="1" applyFont="1" applyFill="1" applyAlignment="1">
      <x:alignment vertical="center" wrapText="1"/>
    </x:xf>
    <x:xf numFmtId="165" fontId="10" fillId="24" borderId="0" xfId="0" applyNumberFormat="1" applyFont="1" applyFill="1" applyAlignment="1">
      <x:alignment vertical="center" wrapText="1"/>
    </x:xf>
    <x:xf numFmtId="0" fontId="0" fillId="25" borderId="0" xfId="0" applyFill="1" applyAlignment="1">
      <x:alignment wrapText="1"/>
    </x:xf>
    <x:xf numFmtId="0" fontId="0" fillId="25" borderId="0" xfId="0" applyFill="1"/>
    <x:xf numFmtId="9" fontId="0" fillId="25" borderId="0" xfId="0" applyNumberFormat="1" applyFill="1" applyAlignment="1">
      <x:alignment wrapText="1"/>
    </x:xf>
    <x:xf numFmtId="171" fontId="0" fillId="25" borderId="0" xfId="0" applyNumberFormat="1" applyFill="1" applyAlignment="1">
      <x:alignment wrapText="1"/>
    </x:xf>
    <x:xf numFmtId="171" fontId="0" fillId="25" borderId="0" xfId="0" applyNumberFormat="1" applyFill="1"/>
    <x:xf numFmtId="170" fontId="0" fillId="25" borderId="0" xfId="0" applyNumberFormat="1" applyFill="1"/>
    <x:xf numFmtId="0" fontId="1" fillId="23" borderId="0" xfId="0" applyFont="1" applyFill="1" applyAlignment="1">
      <x:alignment horizontal="center"/>
    </x:xf>
    <x:xf numFmtId="0" fontId="0" fillId="24" borderId="0" xfId="0" applyFill="1"/>
    <x:xf numFmtId="0" fontId="1" fillId="26" borderId="0" xfId="0" applyFont="1" applyFill="1" applyAlignment="1">
      <x:alignment horizontal="center" wrapText="1"/>
    </x:xf>
    <x:xf numFmtId="0" fontId="15" fillId="25" borderId="0" xfId="0" applyFont="1" applyFill="1" applyAlignment="1">
      <x:alignment horizontal="center" wrapText="1"/>
    </x:xf>
    <x:xf numFmtId="167" fontId="15" fillId="25" borderId="0" xfId="0" applyNumberFormat="1" applyFont="1" applyFill="1" applyAlignment="1">
      <x:alignment horizontal="center" wrapText="1"/>
    </x:xf>
    <x:xf numFmtId="0" fontId="1" fillId="27" borderId="0" xfId="0" applyFont="1" applyFill="1" applyAlignment="1">
      <x:alignment horizontal="center" wrapText="1"/>
    </x:xf>
    <x:xf numFmtId="0" fontId="31" fillId="28" borderId="0" xfId="0" applyFont="1" applyFill="1" applyAlignment="1">
      <x:alignment wrapText="1"/>
    </x:xf>
    <x:xf numFmtId="165" fontId="29" fillId="4" borderId="0" xfId="0" applyNumberFormat="1" applyFont="1" applyFill="1" applyAlignment="1">
      <x:alignment wrapText="1"/>
    </x:xf>
    <x:xf numFmtId="166" fontId="12" fillId="8" borderId="0" xfId="0" applyNumberFormat="1" applyFont="1" applyFill="1" applyAlignment="1">
      <x:alignment horizontal="center" vertical="center" wrapText="1"/>
    </x:xf>
    <x:xf numFmtId="166" fontId="12" fillId="6" borderId="0" xfId="0" applyNumberFormat="1" applyFont="1" applyFill="1" applyAlignment="1">
      <x:alignment vertical="center"/>
    </x:xf>
    <x:xf numFmtId="166" fontId="12" fillId="8" borderId="0" xfId="0" applyNumberFormat="1" applyFont="1" applyFill="1" applyAlignment="1">
      <x:alignment vertical="center"/>
    </x:xf>
    <x:xf numFmtId="1" fontId="0" fillId="0" borderId="0" xfId="0" applyNumberFormat="1"/>
    <x:xf numFmtId="166" fontId="12" fillId="30" borderId="0" xfId="0" applyNumberFormat="1" applyFont="1" applyFill="1" applyAlignment="1">
      <x:alignment vertical="center" wrapText="1"/>
    </x:xf>
    <x:xf numFmtId="171" fontId="12" fillId="30" borderId="0" xfId="0" applyNumberFormat="1" applyFont="1" applyFill="1" applyAlignment="1">
      <x:alignment vertical="center" wrapText="1"/>
    </x:xf>
    <x:xf numFmtId="171" fontId="12" fillId="31" borderId="0" xfId="0" applyNumberFormat="1" applyFont="1" applyFill="1" applyAlignment="1">
      <x:alignment vertical="center" wrapText="1"/>
    </x:xf>
    <x:xf numFmtId="0" fontId="16" fillId="30" borderId="0" xfId="0" applyFont="1" applyFill="1" applyAlignment="1">
      <x:alignment horizontal="center" vertical="center" wrapText="1"/>
    </x:xf>
    <x:xf numFmtId="174" fontId="0" fillId="0" borderId="0" xfId="0" applyNumberFormat="1"/>
    <x:xf numFmtId="1" fontId="15" fillId="25" borderId="0" xfId="0" applyNumberFormat="1" applyFont="1" applyFill="1" applyAlignment="1">
      <x:alignment horizontal="center" wrapText="1"/>
    </x:xf>
    <x:xf numFmtId="171" fontId="1" fillId="21" borderId="0" xfId="0" applyNumberFormat="1" applyFont="1" applyFill="1" applyAlignment="1">
      <x:alignment horizontal="center"/>
    </x:xf>
    <x:xf numFmtId="171" fontId="1" fillId="12" borderId="0" xfId="0" applyNumberFormat="1" applyFont="1" applyFill="1" applyAlignment="1">
      <x:alignment horizontal="center"/>
    </x:xf>
    <x:xf numFmtId="0" fontId="1" fillId="29" borderId="0" xfId="0" applyFont="1" applyFill="1" applyAlignment="1">
      <x:alignment horizontal="center"/>
    </x:xf>
    <x:xf numFmtId="0" fontId="0" fillId="0" borderId="0" xfId="0" applyAlignment="1">
      <x:alignment vertical="top" wrapText="1"/>
    </x:xf>
    <x:xf numFmtId="0" fontId="0" fillId="0" borderId="39" xfId="0" applyBorder="1" applyAlignment="1">
      <x:alignment vertical="top" wrapText="1"/>
    </x:xf>
    <x:xf numFmtId="172" fontId="26" fillId="33" borderId="0" xfId="0" applyNumberFormat="1" applyFont="1" applyFill="1" applyAlignment="1">
      <x:alignment horizontal="center" vertical="center" wrapText="1"/>
    </x:xf>
    <x:xf numFmtId="171" fontId="26" fillId="33" borderId="0" xfId="0" applyNumberFormat="1" applyFont="1" applyFill="1" applyAlignment="1">
      <x:alignment horizontal="center" vertical="center" wrapText="1"/>
    </x:xf>
    <x:xf numFmtId="171" fontId="12" fillId="34" borderId="0" xfId="0" applyNumberFormat="1" applyFont="1" applyFill="1" applyAlignment="1">
      <x:alignment horizontal="right" vertical="center"/>
    </x:xf>
    <x:xf numFmtId="171" fontId="12" fillId="34" borderId="39" xfId="0" applyNumberFormat="1" applyFont="1" applyFill="1" applyBorder="1" applyAlignment="1">
      <x:alignment horizontal="right" vertical="center"/>
    </x:xf>
    <x:xf numFmtId="171" fontId="12" fillId="35" borderId="0" xfId="0" applyNumberFormat="1" applyFont="1" applyFill="1" applyAlignment="1">
      <x:alignment horizontal="right" vertical="center"/>
    </x:xf>
    <x:xf numFmtId="171" fontId="12" fillId="35" borderId="39" xfId="0" applyNumberFormat="1" applyFont="1" applyFill="1" applyBorder="1" applyAlignment="1">
      <x:alignment horizontal="right" vertical="center"/>
    </x:xf>
    <x:xf numFmtId="170" fontId="26" fillId="33" borderId="0" xfId="0" applyNumberFormat="1" applyFont="1" applyFill="1" applyAlignment="1">
      <x:alignment horizontal="center" vertical="center" wrapText="1"/>
    </x:xf>
    <x:xf numFmtId="171" fontId="8" fillId="34" borderId="0" xfId="0" applyNumberFormat="1" applyFont="1" applyFill="1" applyAlignment="1">
      <x:alignment horizontal="right" vertical="center"/>
    </x:xf>
    <x:xf numFmtId="171" fontId="8" fillId="34" borderId="39" xfId="0" applyNumberFormat="1" applyFont="1" applyFill="1" applyBorder="1" applyAlignment="1">
      <x:alignment horizontal="right" vertical="center"/>
    </x:xf>
    <x:xf numFmtId="171" fontId="9" fillId="35" borderId="0" xfId="0" applyNumberFormat="1" applyFont="1" applyFill="1" applyAlignment="1">
      <x:alignment horizontal="right" vertical="center"/>
    </x:xf>
    <x:xf numFmtId="171" fontId="9" fillId="35" borderId="39" xfId="0" applyNumberFormat="1" applyFont="1" applyFill="1" applyBorder="1" applyAlignment="1">
      <x:alignment horizontal="right" vertical="center"/>
    </x:xf>
    <x:xf numFmtId="170" fontId="9" fillId="35" borderId="0" xfId="0" applyNumberFormat="1" applyFont="1" applyFill="1" applyAlignment="1">
      <x:alignment horizontal="right" vertical="center"/>
    </x:xf>
    <x:xf numFmtId="170" fontId="9" fillId="35" borderId="39" xfId="0" applyNumberFormat="1" applyFont="1" applyFill="1" applyBorder="1" applyAlignment="1">
      <x:alignment horizontal="right" vertical="center"/>
    </x:xf>
    <x:xf numFmtId="165" fontId="8" fillId="35" borderId="0" xfId="0" applyNumberFormat="1" applyFont="1" applyFill="1" applyAlignment="1">
      <x:alignment vertical="center" wrapText="1"/>
    </x:xf>
    <x:xf numFmtId="0" fontId="8" fillId="35" borderId="0" xfId="0" applyFont="1" applyFill="1" applyAlignment="1">
      <x:alignment vertical="center" wrapText="1"/>
    </x:xf>
    <x:xf numFmtId="49" fontId="32" fillId="8" borderId="0" xfId="0" applyNumberFormat="1" applyFont="1" applyFill="1" applyAlignment="1">
      <x:alignment horizontal="left" vertical="center"/>
    </x:xf>
    <x:xf numFmtId="49" fontId="32" fillId="8" borderId="39" xfId="0" applyNumberFormat="1" applyFont="1" applyFill="1" applyBorder="1" applyAlignment="1">
      <x:alignment horizontal="left" vertical="center"/>
    </x:xf>
    <x:xf numFmtId="171" fontId="12" fillId="36" borderId="0" xfId="0" applyNumberFormat="1" applyFont="1" applyFill="1" applyAlignment="1">
      <x:alignment horizontal="right" vertical="center"/>
    </x:xf>
    <x:xf numFmtId="171" fontId="16" fillId="37" borderId="0" xfId="0" applyNumberFormat="1" applyFont="1" applyFill="1" applyAlignment="1">
      <x:alignment horizontal="right" vertical="center"/>
    </x:xf>
    <x:xf numFmtId="170" fontId="16" fillId="37" borderId="0" xfId="0" applyNumberFormat="1" applyFont="1" applyFill="1" applyAlignment="1">
      <x:alignment horizontal="right" vertical="center"/>
    </x:xf>
    <x:xf numFmtId="0" fontId="26" fillId="39" borderId="0" xfId="0" applyFont="1" applyFill="1" applyAlignment="1">
      <x:alignment horizontal="center" vertical="center" wrapText="1"/>
    </x:xf>
    <x:xf numFmtId="167" fontId="26" fillId="39" borderId="0" xfId="0" applyNumberFormat="1" applyFont="1" applyFill="1" applyAlignment="1">
      <x:alignment horizontal="center" vertical="center" wrapText="1"/>
    </x:xf>
    <x:xf numFmtId="49" fontId="32" fillId="40" borderId="0" xfId="0" applyNumberFormat="1" applyFont="1" applyFill="1" applyAlignment="1">
      <x:alignment horizontal="left" vertical="center"/>
    </x:xf>
    <x:xf numFmtId="171" fontId="12" fillId="40" borderId="0" xfId="0" applyNumberFormat="1" applyFont="1" applyFill="1" applyAlignment="1">
      <x:alignment horizontal="right" vertical="center"/>
    </x:xf>
    <x:xf numFmtId="171" fontId="12" fillId="41" borderId="0" xfId="0" applyNumberFormat="1" applyFont="1" applyFill="1" applyAlignment="1">
      <x:alignment horizontal="right" vertical="center"/>
    </x:xf>
    <x:xf numFmtId="170" fontId="26" fillId="39" borderId="0" xfId="0" applyNumberFormat="1" applyFont="1" applyFill="1" applyAlignment="1">
      <x:alignment horizontal="center" vertical="center" wrapText="1"/>
    </x:xf>
    <x:xf numFmtId="171" fontId="16" fillId="41" borderId="0" xfId="0" applyNumberFormat="1" applyFont="1" applyFill="1" applyAlignment="1">
      <x:alignment horizontal="right"/>
    </x:xf>
    <x:xf numFmtId="170" fontId="16" fillId="41" borderId="0" xfId="0" applyNumberFormat="1" applyFont="1" applyFill="1" applyAlignment="1">
      <x:alignment horizontal="right"/>
    </x:xf>
    <x:xf numFmtId="171" fontId="0" fillId="0" borderId="0" xfId="0" applyNumberFormat="1" applyAlignment="1">
      <x:alignment wrapText="1"/>
    </x:xf>
    <x:xf numFmtId="0" fontId="17" fillId="12" borderId="0" xfId="0" applyFont="1" applyFill="1" applyAlignment="1">
      <x:alignment horizontal="center" vertical="center" wrapText="1"/>
    </x:xf>
    <x:xf numFmtId="0" fontId="18" fillId="12" borderId="0" xfId="0" applyFont="1" applyFill="1" applyAlignment="1">
      <x:alignment horizontal="center" vertical="center" wrapText="1"/>
    </x:xf>
    <x:xf numFmtId="0" fontId="19" fillId="13" borderId="18" xfId="0" applyFont="1" applyFill="1" applyBorder="1" applyAlignment="1">
      <x:alignment vertical="center" wrapText="1"/>
    </x:xf>
    <x:xf numFmtId="0" fontId="20" fillId="13" borderId="18" xfId="0" applyFont="1" applyFill="1" applyBorder="1" applyAlignment="1">
      <x:alignment vertical="center" wrapText="1"/>
    </x:xf>
    <x:xf numFmtId="0" fontId="13" fillId="16" borderId="20" xfId="0" applyFont="1" applyFill="1" applyBorder="1" applyAlignment="1">
      <x:alignment horizontal="center" vertical="center" wrapText="1"/>
    </x:xf>
    <x:xf numFmtId="167" fontId="13" fillId="16" borderId="20" xfId="0" applyNumberFormat="1" applyFont="1" applyFill="1" applyBorder="1" applyAlignment="1">
      <x:alignment horizontal="center" vertical="center" wrapText="1"/>
    </x:xf>
    <x:xf numFmtId="171" fontId="22" fillId="13" borderId="0" xfId="0" applyNumberFormat="1" applyFont="1" applyFill="1" applyAlignment="1">
      <x:alignment horizontal="center" vertical="center" wrapText="1"/>
    </x:xf>
    <x:xf numFmtId="171" fontId="22" fillId="13" borderId="21" xfId="0" applyNumberFormat="1" applyFont="1" applyFill="1" applyBorder="1" applyAlignment="1">
      <x:alignment horizontal="center" vertical="center" wrapText="1"/>
    </x:xf>
    <x:xf numFmtId="171" fontId="22" fillId="13" borderId="22" xfId="0" applyNumberFormat="1" applyFont="1" applyFill="1" applyBorder="1" applyAlignment="1">
      <x:alignment horizontal="center" vertical="center" wrapText="1"/>
    </x:xf>
    <x:xf numFmtId="171" fontId="22" fillId="13" borderId="23" xfId="0" applyNumberFormat="1" applyFont="1" applyFill="1" applyBorder="1" applyAlignment="1">
      <x:alignment horizontal="center" vertical="center" wrapText="1"/>
    </x:xf>
    <x:xf numFmtId="171" fontId="22" fillId="13" borderId="24" xfId="0" applyNumberFormat="1" applyFont="1" applyFill="1" applyBorder="1" applyAlignment="1">
      <x:alignment horizontal="center" vertical="center" wrapText="1"/>
    </x:xf>
    <x:xf numFmtId="0" fontId="13" fillId="17" borderId="20" xfId="0" applyFont="1" applyFill="1" applyBorder="1" applyAlignment="1">
      <x:alignment horizontal="center" vertical="center" wrapText="1"/>
    </x:xf>
    <x:xf numFmtId="167" fontId="13" fillId="17" borderId="20" xfId="0" applyNumberFormat="1" applyFont="1" applyFill="1" applyBorder="1" applyAlignment="1">
      <x:alignment horizontal="center" vertical="center" wrapText="1"/>
    </x:xf>
    <x:xf numFmtId="171" fontId="22" fillId="13" borderId="25" xfId="0" applyNumberFormat="1" applyFont="1" applyFill="1" applyBorder="1" applyAlignment="1">
      <x:alignment horizontal="center" vertical="center" wrapText="1"/>
    </x:xf>
    <x:xf numFmtId="171" fontId="22" fillId="13" borderId="26" xfId="0" applyNumberFormat="1" applyFont="1" applyFill="1" applyBorder="1" applyAlignment="1">
      <x:alignment horizontal="center" vertical="center" wrapText="1"/>
    </x:xf>
    <x:xf numFmtId="171" fontId="22" fillId="13" borderId="27" xfId="0" applyNumberFormat="1" applyFont="1" applyFill="1" applyBorder="1" applyAlignment="1">
      <x:alignment horizontal="center" vertical="center" wrapText="1"/>
    </x:xf>
    <x:xf numFmtId="171" fontId="22" fillId="13" borderId="28" xfId="0" applyNumberFormat="1" applyFont="1" applyFill="1" applyBorder="1" applyAlignment="1">
      <x:alignment horizontal="center" vertical="center" wrapText="1"/>
    </x:xf>
    <x:xf numFmtId="0" fontId="7" fillId="17" borderId="20" xfId="0" applyFont="1" applyFill="1" applyBorder="1" applyAlignment="1">
      <x:alignment horizontal="center" vertical="center" wrapText="1"/>
    </x:xf>
    <x:xf numFmtId="171" fontId="23" fillId="13" borderId="25" xfId="0" applyNumberFormat="1" applyFont="1" applyFill="1" applyBorder="1" applyAlignment="1">
      <x:alignment horizontal="center" vertical="center" wrapText="1"/>
    </x:xf>
    <x:xf numFmtId="171" fontId="23" fillId="13" borderId="28" xfId="0" applyNumberFormat="1" applyFont="1" applyFill="1" applyBorder="1" applyAlignment="1">
      <x:alignment horizontal="center" vertical="center" wrapText="1"/>
    </x:xf>
    <x:xf numFmtId="0" fontId="13" fillId="18" borderId="29" xfId="0" applyFont="1" applyFill="1" applyBorder="1" applyAlignment="1">
      <x:alignment horizontal="center" vertical="center" wrapText="1"/>
    </x:xf>
    <x:xf numFmtId="167" fontId="13" fillId="18" borderId="30" xfId="0" applyNumberFormat="1" applyFont="1" applyFill="1" applyBorder="1" applyAlignment="1">
      <x:alignment horizontal="center" vertical="center" wrapText="1"/>
    </x:xf>
    <x:xf numFmtId="0" fontId="13" fillId="18" borderId="20" xfId="0" applyFont="1" applyFill="1" applyBorder="1" applyAlignment="1">
      <x:alignment horizontal="center" vertical="center" wrapText="1"/>
    </x:xf>
    <x:xf numFmtId="171" fontId="22" fillId="13" borderId="31" xfId="0" applyNumberFormat="1" applyFont="1" applyFill="1" applyBorder="1" applyAlignment="1">
      <x:alignment horizontal="center" vertical="center" wrapText="1"/>
    </x:xf>
    <x:xf numFmtId="171" fontId="22" fillId="13" borderId="32" xfId="0" applyNumberFormat="1" applyFont="1" applyFill="1" applyBorder="1" applyAlignment="1">
      <x:alignment horizontal="center" vertical="center" wrapText="1"/>
    </x:xf>
    <x:xf numFmtId="171" fontId="22" fillId="13" borderId="33" xfId="0" applyNumberFormat="1" applyFont="1" applyFill="1" applyBorder="1" applyAlignment="1">
      <x:alignment horizontal="center" vertical="center" wrapText="1"/>
    </x:xf>
    <x:xf numFmtId="171" fontId="22" fillId="13" borderId="34" xfId="0" applyNumberFormat="1" applyFont="1" applyFill="1" applyBorder="1" applyAlignment="1">
      <x:alignment horizontal="center" vertical="center" wrapText="1"/>
    </x:xf>
    <x:xf numFmtId="0" fontId="13" fillId="12" borderId="29" xfId="0" applyFont="1" applyFill="1" applyBorder="1" applyAlignment="1">
      <x:alignment horizontal="center" vertical="center" wrapText="1"/>
    </x:xf>
    <x:xf numFmtId="167" fontId="13" fillId="12" borderId="30" xfId="0" applyNumberFormat="1" applyFont="1" applyFill="1" applyBorder="1" applyAlignment="1">
      <x:alignment horizontal="center" vertical="center" wrapText="1"/>
    </x:xf>
    <x:xf numFmtId="0" fontId="13" fillId="12" borderId="20" xfId="0" applyFont="1" applyFill="1" applyBorder="1" applyAlignment="1">
      <x:alignment horizontal="center" vertical="center" wrapText="1"/>
    </x:xf>
    <x:xf numFmtId="171" fontId="22" fillId="13" borderId="35" xfId="0" applyNumberFormat="1" applyFont="1" applyFill="1" applyBorder="1" applyAlignment="1">
      <x:alignment horizontal="center" vertical="center" wrapText="1"/>
    </x:xf>
    <x:xf numFmtId="171" fontId="22" fillId="13" borderId="36" xfId="0" applyNumberFormat="1" applyFont="1" applyFill="1" applyBorder="1" applyAlignment="1">
      <x:alignment horizontal="center" vertical="center" wrapText="1"/>
    </x:xf>
    <x:xf numFmtId="171" fontId="22" fillId="13" borderId="17" xfId="0" applyNumberFormat="1" applyFont="1" applyFill="1" applyBorder="1" applyAlignment="1">
      <x:alignment horizontal="center" vertical="center" wrapText="1"/>
    </x:xf>
    <x:xf numFmtId="171" fontId="22" fillId="13" borderId="37" xfId="0" applyNumberFormat="1" applyFont="1" applyFill="1" applyBorder="1" applyAlignment="1">
      <x:alignment horizontal="center" vertical="center" wrapText="1"/>
    </x:xf>
    <x:xf numFmtId="0" fontId="7" fillId="12" borderId="20" xfId="0" applyFont="1" applyFill="1" applyBorder="1" applyAlignment="1">
      <x:alignment horizontal="center" vertical="center" wrapText="1"/>
    </x:xf>
    <x:xf numFmtId="171" fontId="23" fillId="13" borderId="35" xfId="0" applyNumberFormat="1" applyFont="1" applyFill="1" applyBorder="1" applyAlignment="1">
      <x:alignment horizontal="center" vertical="center" wrapText="1"/>
    </x:xf>
    <x:xf numFmtId="171" fontId="23" fillId="13" borderId="37" xfId="0" applyNumberFormat="1" applyFont="1" applyFill="1" applyBorder="1" applyAlignment="1">
      <x:alignment horizontal="center" vertical="center" wrapText="1"/>
    </x:xf>
    <x:xf numFmtId="0" fontId="24" fillId="19" borderId="0" xfId="0" applyFont="1" applyFill="1" applyAlignment="1">
      <x:alignment horizontal="center" vertical="center" wrapText="1"/>
    </x:xf>
    <x:xf numFmtId="171" fontId="25" fillId="13" borderId="0" xfId="0" applyNumberFormat="1" applyFont="1" applyFill="1" applyAlignment="1">
      <x:alignment horizontal="center" vertical="center" wrapText="1"/>
    </x:xf>
    <x:xf numFmtId="1" fontId="25" fillId="13" borderId="0" xfId="0" applyNumberFormat="1" applyFont="1" applyFill="1" applyAlignment="1">
      <x:alignment horizontal="center" vertical="center" wrapText="1"/>
    </x:xf>
    <x:xf numFmtId="0" fontId="26" fillId="19" borderId="0" xfId="0" applyFont="1" applyFill="1" applyAlignment="1">
      <x:alignment horizontal="center" vertical="center" wrapText="1"/>
    </x:xf>
    <x:xf numFmtId="171" fontId="27" fillId="13" borderId="0" xfId="0" applyNumberFormat="1" applyFont="1" applyFill="1" applyAlignment="1">
      <x:alignment horizontal="center" vertical="center" wrapText="1"/>
    </x:xf>
    <x:xf numFmtId="0" fontId="1" fillId="12" borderId="0" xfId="0" applyFont="1" applyFill="1" applyAlignment="1">
      <x:alignment horizontal="left" wrapText="1"/>
    </x:xf>
    <x:xf numFmtId="0" fontId="28" fillId="13" borderId="0" xfId="0" applyFont="1" applyFill="1" applyAlignment="1">
      <x:alignment vertical="center" wrapText="1"/>
    </x:xf>
    <x:xf numFmtId="0" fontId="13" fillId="23" borderId="0" xfId="0" applyFont="1" applyFill="1" applyAlignment="1">
      <x:alignment horizontal="center" vertical="top" wrapText="1"/>
    </x:xf>
    <x:xf numFmtId="169" fontId="13" fillId="23" borderId="0" xfId="0" applyNumberFormat="1" applyFont="1" applyFill="1" applyAlignment="1">
      <x:alignment horizontal="center" vertical="top" wrapText="1"/>
    </x:xf>
    <x:xf numFmtId="167" fontId="13" fillId="23" borderId="0" xfId="0" applyNumberFormat="1" applyFont="1" applyFill="1" applyAlignment="1">
      <x:alignment horizontal="center" vertical="top" wrapText="1"/>
    </x:xf>
    <x:xf numFmtId="0" fontId="4" fillId="7" borderId="0" xfId="0" applyFont="1" applyFill="1" applyAlignment="1">
      <x:alignment horizontal="center" vertical="center"/>
    </x:xf>
    <x:xf numFmtId="172" fontId="5" fillId="32" borderId="0" xfId="0" applyNumberFormat="1" applyFont="1" applyFill="1" applyAlignment="1">
      <x:alignment horizontal="center" vertical="center"/>
    </x:xf>
    <x:xf numFmtId="171" fontId="5" fillId="32" borderId="0" xfId="0" applyNumberFormat="1" applyFont="1" applyFill="1" applyAlignment="1">
      <x:alignment horizontal="center" vertical="center"/>
    </x:xf>
    <x:xf numFmtId="170" fontId="5" fillId="32" borderId="0" xfId="0" applyNumberFormat="1" applyFont="1" applyFill="1" applyAlignment="1">
      <x:alignment horizontal="center" vertical="center"/>
    </x:xf>
    <x:xf numFmtId="0" fontId="5" fillId="38" borderId="0" xfId="0" applyFont="1" applyFill="1" applyAlignment="1">
      <x:alignment horizontal="center" vertical="center"/>
    </x:xf>
    <x:xf numFmtId="167" fontId="5" fillId="38" borderId="0" xfId="0" applyNumberFormat="1" applyFont="1" applyFill="1" applyAlignment="1">
      <x:alignment horizontal="center" vertical="center"/>
    </x:xf>
    <x:xf numFmtId="170" fontId="5" fillId="38" borderId="0" xfId="0" applyNumberFormat="1" applyFont="1" applyFill="1" applyAlignment="1">
      <x:alignment horizontal="center" vertical="center"/>
    </x:xf>
    <x:xf numFmtId="0" fontId="4" fillId="11" borderId="0" xfId="0" applyFont="1" applyFill="1" applyAlignment="1">
      <x:alignment horizontal="center" vertical="center"/>
    </x:xf>
    <x:xf numFmtId="49" fontId="32" fillId="8" borderId="0" xfId="0" applyNumberFormat="1" applyFont="1" applyFill="1" applyAlignment="1">
      <x:alignment horizontal="left" vertical="center"/>
    </x:xf>
    <x:xf numFmtId="171" fontId="12" fillId="36" borderId="0" xfId="0" applyNumberFormat="1" applyFont="1" applyFill="1" applyAlignment="1">
      <x:alignment horizontal="right" vertical="center"/>
    </x:xf>
    <x:xf numFmtId="171" fontId="12" fillId="37" borderId="0" xfId="0" applyNumberFormat="1" applyFont="1" applyFill="1" applyAlignment="1">
      <x:alignment horizontal="right" vertical="center"/>
    </x:xf>
    <x:xf numFmtId="172" fontId="26" fillId="33" borderId="39" xfId="0" applyNumberFormat="1" applyFont="1" applyFill="1" applyBorder="1" applyAlignment="1">
      <x:alignment horizontal="center" vertical="center" wrapText="1"/>
    </x:xf>
    <x:xf numFmtId="171" fontId="26" fillId="33" borderId="39" xfId="0" applyNumberFormat="1" applyFont="1" applyFill="1" applyBorder="1" applyAlignment="1">
      <x:alignment horizontal="center" vertical="center" wrapText="1"/>
    </x:xf>
    <x:xf numFmtId="0" fontId="4" fillId="20" borderId="0" xfId="0" applyFont="1" applyFill="1" applyAlignment="1">
      <x:alignment horizontal="center" vertical="center"/>
    </x:xf>
    <x:xf numFmtId="171" fontId="4" fillId="20" borderId="0" xfId="0" applyNumberFormat="1" applyFont="1" applyFill="1" applyAlignment="1">
      <x:alignment horizontal="center" vertical="center"/>
    </x:xf>
    <x:xf numFmtId="0" fontId="6" fillId="23" borderId="0" xfId="0" applyFont="1" applyFill="1" applyAlignment="1">
      <x:alignment horizontal="center" vertical="center"/>
    </x:xf>
    <x:xf numFmtId="171" fontId="6" fillId="12" borderId="0" xfId="0" applyNumberFormat="1" applyFont="1" applyFill="1" applyAlignment="1">
      <x:alignment horizontal="center" vertical="center"/>
    </x:xf>
    <x:xf numFmtId="0" fontId="1" fillId="26" borderId="0" xfId="0" applyFont="1" applyFill="1" applyAlignment="1">
      <x:alignment horizontal="center"/>
    </x:xf>
    <x:xf numFmtId="171" fontId="1" fillId="21" borderId="0" xfId="0" applyNumberFormat="1" applyFont="1" applyFill="1" applyAlignment="1">
      <x:alignment horizontal="center"/>
    </x:xf>
    <x:xf numFmtId="0" fontId="30" fillId="25" borderId="0" xfId="0" applyFont="1" applyFill="1" applyAlignment="1">
      <x:alignment horizontal="center" vertical="center"/>
    </x:xf>
    <x:xf numFmtId="171" fontId="30" fillId="25" borderId="0" xfId="0" applyNumberFormat="1" applyFont="1" applyFill="1" applyAlignment="1">
      <x:alignment horizontal="center" vertical="center"/>
    </x:xf>
    <x:xf numFmtId="171" fontId="1" fillId="12" borderId="0" xfId="0" applyNumberFormat="1" applyFont="1" applyFill="1" applyAlignment="1">
      <x:alignment horizontal="center"/>
    </x:xf>
    <x:xf numFmtId="0" fontId="1" fillId="23" borderId="0" xfId="0" applyFont="1" applyFill="1" applyAlignment="1">
      <x:alignment horizontal="center"/>
    </x:xf>
    <x:xf numFmtId="0" fontId="1" fillId="27" borderId="0" xfId="0" applyFont="1" applyFill="1" applyAlignment="1">
      <x:alignment horizontal="center"/>
    </x:xf>
    <x:xf numFmtId="9" fontId="10" fillId="9" borderId="0" xfId="0" applyNumberFormat="1" applyFont="1" applyFill="1" applyAlignment="1">
      <x:alignment vertical="center" wrapText="1"/>
    </x:xf>
    <x:xf numFmtId="0" fontId="0" fillId="0" borderId="40" xfId="0" applyNumberFormat="1" applyFont="1" applyFill="1" applyBorder="1"/>
    <x:xf numFmtId="0" fontId="0" fillId="0" borderId="40" xfId="0" applyNumberFormat="1" applyFont="1" applyFill="1" applyBorder="1" applyAlignment="1">
      <x:alignment wrapText="1"/>
    </x:xf>
    <x:xf numFmtId="165" fontId="0" fillId="0" borderId="40" xfId="0" applyNumberFormat="1" applyFont="1" applyFill="1" applyBorder="1"/>
    <x:xf numFmtId="167" fontId="0" fillId="0" borderId="40" xfId="0" applyNumberFormat="1" applyFont="1" applyFill="1" applyBorder="1"/>
    <x:xf numFmtId="165" fontId="0" fillId="0" borderId="40" xfId="0" applyNumberFormat="1" applyFont="1" applyFill="1" applyBorder="1" applyAlignment="1">
      <x:alignment wrapText="1"/>
    </x:xf>
    <x:xf numFmtId="0" fontId="2" fillId="0" borderId="40" xfId="0" applyNumberFormat="1" applyFont="1" applyFill="1" applyBorder="1" applyAlignment="1">
      <x:alignment wrapText="1"/>
    </x:xf>
    <x:xf numFmtId="170" fontId="0" fillId="0" borderId="40" xfId="0" applyNumberFormat="1" applyFont="1" applyFill="1" applyBorder="1"/>
    <x:xf numFmtId="0" fontId="7" fillId="7" borderId="40" xfId="0" applyNumberFormat="1" applyFont="1" applyFill="1" applyBorder="1" applyAlignment="1">
      <x:alignment horizontal="center" vertical="center" wrapText="1"/>
    </x:xf>
    <x:xf numFmtId="0" fontId="8" fillId="0" borderId="40" xfId="0" applyNumberFormat="1" applyFont="1" applyFill="1" applyBorder="1" applyAlignment="1">
      <x:alignment vertical="center" wrapText="1"/>
    </x:xf>
    <x:xf numFmtId="164" fontId="8" fillId="0" borderId="40" xfId="0" applyNumberFormat="1" applyFont="1" applyFill="1" applyBorder="1" applyAlignment="1">
      <x:alignment vertical="center" wrapText="1"/>
    </x:xf>
    <x:xf numFmtId="165" fontId="8" fillId="0" borderId="40" xfId="0" applyNumberFormat="1" applyFont="1" applyFill="1" applyBorder="1" applyAlignment="1">
      <x:alignment vertical="center" wrapText="1"/>
    </x:xf>
    <x:xf numFmtId="0" fontId="9" fillId="0" borderId="40" xfId="0" applyNumberFormat="1" applyFont="1" applyFill="1" applyBorder="1" applyAlignment="1">
      <x:alignment vertical="center" wrapText="1"/>
    </x:xf>
    <x:xf numFmtId="0" fontId="8" fillId="5" borderId="40" xfId="0" applyNumberFormat="1" applyFont="1" applyFill="1" applyBorder="1" applyAlignment="1">
      <x:alignment vertical="center" wrapText="1"/>
    </x:xf>
    <x:xf numFmtId="0" fontId="8" fillId="8" borderId="40" xfId="0" applyNumberFormat="1" applyFont="1" applyFill="1" applyBorder="1" applyAlignment="1">
      <x:alignment vertical="center" wrapText="1"/>
    </x:xf>
    <x:xf numFmtId="164" fontId="8" fillId="8" borderId="40" xfId="0" applyNumberFormat="1" applyFont="1" applyFill="1" applyBorder="1" applyAlignment="1">
      <x:alignment vertical="center" wrapText="1"/>
    </x:xf>
    <x:xf numFmtId="165" fontId="8" fillId="8" borderId="40" xfId="0" applyNumberFormat="1" applyFont="1" applyFill="1" applyBorder="1" applyAlignment="1">
      <x:alignment vertical="center" wrapText="1"/>
    </x:xf>
    <x:xf numFmtId="0" fontId="9" fillId="8" borderId="40" xfId="0" applyNumberFormat="1" applyFont="1" applyFill="1" applyBorder="1" applyAlignment="1">
      <x:alignment vertical="center" wrapText="1"/>
    </x:xf>
    <x:xf numFmtId="165" fontId="8" fillId="0" borderId="41" xfId="0" applyNumberFormat="1" applyFont="1" applyFill="1" applyBorder="1" applyAlignment="1">
      <x:alignment vertical="center" wrapText="1"/>
    </x:xf>
    <x:xf numFmtId="0" fontId="8" fillId="0" borderId="41" xfId="0" applyNumberFormat="1" applyFont="1" applyFill="1" applyBorder="1" applyAlignment="1">
      <x:alignment vertical="center" wrapText="1"/>
    </x:xf>
    <x:xf numFmtId="171" fontId="8" fillId="8" borderId="40" xfId="0" applyNumberFormat="1" applyFont="1" applyFill="1" applyBorder="1" applyAlignment="1">
      <x:alignment vertical="center" wrapText="1"/>
    </x:xf>
    <x:xf numFmtId="171" fontId="8" fillId="0" borderId="40" xfId="0" applyNumberFormat="1" applyFont="1" applyFill="1" applyBorder="1" applyAlignment="1">
      <x:alignment vertical="center" wrapText="1"/>
    </x:xf>
    <x:xf numFmtId="171" fontId="8" fillId="0" borderId="41" xfId="0" applyNumberFormat="1" applyFont="1" applyFill="1" applyBorder="1" applyAlignment="1">
      <x:alignment vertical="center" wrapText="1"/>
    </x:xf>
    <x:xf numFmtId="165" fontId="10" fillId="2" borderId="40" xfId="0" applyNumberFormat="1" applyFont="1" applyFill="1" applyBorder="1" applyAlignment="1">
      <x:alignment vertical="center" wrapText="1"/>
    </x:xf>
    <x:xf numFmtId="0" fontId="10" fillId="2" borderId="40" xfId="0" applyNumberFormat="1" applyFont="1" applyFill="1" applyBorder="1" applyAlignment="1">
      <x:alignment vertical="center" wrapText="1"/>
    </x:xf>
    <x:xf numFmtId="0" fontId="8" fillId="0" borderId="40" xfId="0" applyNumberFormat="1" applyFont="1" applyFill="1" applyBorder="1" applyAlignment="1">
      <x:alignment vertical="center"/>
    </x:xf>
    <x:xf numFmtId="165" fontId="10" fillId="8" borderId="40" xfId="0" applyNumberFormat="1" applyFont="1" applyFill="1" applyBorder="1" applyAlignment="1">
      <x:alignment vertical="center" wrapText="1"/>
    </x:xf>
    <x:xf numFmtId="0" fontId="10" fillId="8" borderId="40" xfId="0" applyNumberFormat="1" applyFont="1" applyFill="1" applyBorder="1" applyAlignment="1">
      <x:alignment vertical="center" wrapText="1"/>
    </x:xf>
    <x:xf numFmtId="0" fontId="8" fillId="8" borderId="40" xfId="0" applyNumberFormat="1" applyFont="1" applyFill="1" applyBorder="1" applyAlignment="1">
      <x:alignment vertical="center"/>
    </x:xf>
    <x:xf numFmtId="165" fontId="8" fillId="0" borderId="40" xfId="0" applyNumberFormat="1" applyFont="1" applyFill="1" applyBorder="1" applyAlignment="1">
      <x:alignment vertical="center"/>
    </x:xf>
    <x:xf numFmtId="165" fontId="8" fillId="8" borderId="40" xfId="0" applyNumberFormat="1" applyFont="1" applyFill="1" applyBorder="1" applyAlignment="1">
      <x:alignment vertical="center"/>
    </x:xf>
    <x:xf numFmtId="165" fontId="10" fillId="9" borderId="40" xfId="0" applyNumberFormat="1" applyFont="1" applyFill="1" applyBorder="1" applyAlignment="1">
      <x:alignment vertical="center" wrapText="1"/>
    </x:xf>
    <x:xf numFmtId="165" fontId="8" fillId="9" borderId="40" xfId="0" applyNumberFormat="1" applyFont="1" applyFill="1" applyBorder="1" applyAlignment="1">
      <x:alignment vertical="center" wrapText="1"/>
    </x:xf>
    <x:xf numFmtId="165" fontId="8" fillId="9" borderId="40" xfId="0" applyNumberFormat="1" applyFont="1" applyFill="1" applyBorder="1" applyAlignment="1">
      <x:alignment vertical="center"/>
    </x:xf>
    <x:xf numFmtId="0" fontId="10" fillId="9" borderId="40" xfId="0" applyNumberFormat="1" applyFont="1" applyFill="1" applyBorder="1" applyAlignment="1">
      <x:alignment vertical="center" wrapText="1"/>
    </x:xf>
    <x:xf numFmtId="0" fontId="8" fillId="9" borderId="40" xfId="0" applyNumberFormat="1" applyFont="1" applyFill="1" applyBorder="1" applyAlignment="1">
      <x:alignment vertical="center" wrapText="1"/>
    </x:xf>
    <x:xf numFmtId="0" fontId="8" fillId="9" borderId="40" xfId="0" applyNumberFormat="1" applyFont="1" applyFill="1" applyBorder="1" applyAlignment="1">
      <x:alignment vertical="center"/>
    </x:xf>
    <x:xf numFmtId="171" fontId="10" fillId="8" borderId="40" xfId="0" applyNumberFormat="1" applyFont="1" applyFill="1" applyBorder="1" applyAlignment="1">
      <x:alignment vertical="center" wrapText="1"/>
    </x:xf>
    <x:xf numFmtId="171" fontId="10" fillId="2" borderId="40" xfId="0" applyNumberFormat="1" applyFont="1" applyFill="1" applyBorder="1" applyAlignment="1">
      <x:alignment vertical="center" wrapText="1"/>
    </x:xf>
    <x:xf numFmtId="171" fontId="8" fillId="0" borderId="40" xfId="0" applyNumberFormat="1" applyFont="1" applyFill="1" applyBorder="1" applyAlignment="1">
      <x:alignment vertical="center"/>
    </x:xf>
    <x:xf numFmtId="171" fontId="8" fillId="8" borderId="40" xfId="0" applyNumberFormat="1" applyFont="1" applyFill="1" applyBorder="1" applyAlignment="1">
      <x:alignment vertical="center"/>
    </x:xf>
    <x:xf numFmtId="170" fontId="10" fillId="9" borderId="40" xfId="0" applyNumberFormat="1" applyFont="1" applyFill="1" applyBorder="1" applyAlignment="1">
      <x:alignment vertical="center" wrapText="1"/>
    </x:xf>
    <x:xf numFmtId="170" fontId="8" fillId="9" borderId="40" xfId="0" applyNumberFormat="1" applyFont="1" applyFill="1" applyBorder="1" applyAlignment="1">
      <x:alignment vertical="center" wrapText="1"/>
    </x:xf>
    <x:xf numFmtId="170" fontId="8" fillId="9" borderId="40" xfId="0" applyNumberFormat="1" applyFont="1" applyFill="1" applyBorder="1" applyAlignment="1">
      <x:alignment vertical="center"/>
    </x:xf>
    <x:xf numFmtId="9" fontId="11" fillId="9" borderId="40" xfId="0" applyNumberFormat="1" applyFont="1" applyFill="1" applyBorder="1" applyAlignment="1">
      <x:alignment vertical="center" wrapText="1"/>
    </x:xf>
    <x:xf numFmtId="171" fontId="10" fillId="9" borderId="40" xfId="0" applyNumberFormat="1" applyFont="1" applyFill="1" applyBorder="1" applyAlignment="1">
      <x:alignment vertical="center" wrapText="1"/>
    </x:xf>
    <x:xf numFmtId="171" fontId="8" fillId="9" borderId="40" xfId="0" applyNumberFormat="1" applyFont="1" applyFill="1" applyBorder="1" applyAlignment="1">
      <x:alignment vertical="center" wrapText="1"/>
    </x:xf>
    <x:xf numFmtId="171" fontId="8" fillId="9" borderId="40" xfId="0" applyNumberFormat="1" applyFont="1" applyFill="1" applyBorder="1" applyAlignment="1">
      <x:alignment vertical="center"/>
    </x:xf>
    <x:xf numFmtId="171" fontId="12" fillId="8" borderId="40" xfId="0" applyNumberFormat="1" applyFont="1" applyFill="1" applyBorder="1" applyAlignment="1">
      <x:alignment vertical="center" wrapText="1"/>
    </x:xf>
    <x:xf numFmtId="171" fontId="12" fillId="0" borderId="40" xfId="0" applyNumberFormat="1" applyFont="1" applyFill="1" applyBorder="1" applyAlignment="1">
      <x:alignment vertical="center" wrapText="1"/>
    </x:xf>
    <x:xf numFmtId="9" fontId="8" fillId="9" borderId="40" xfId="0" applyNumberFormat="1" applyFont="1" applyFill="1" applyBorder="1" applyAlignment="1">
      <x:alignment vertical="center" wrapText="1"/>
    </x:xf>
    <x:xf numFmtId="9" fontId="8" fillId="9" borderId="40" xfId="0" applyNumberFormat="1" applyFont="1" applyFill="1" applyBorder="1" applyAlignment="1">
      <x:alignment vertical="center"/>
    </x:xf>
    <x:xf numFmtId="0" fontId="7" fillId="7" borderId="42" xfId="0" applyNumberFormat="1" applyFont="1" applyFill="1" applyBorder="1" applyAlignment="1">
      <x:alignment horizontal="center" vertical="center" wrapText="1"/>
    </x:xf>
    <x:xf numFmtId="0" fontId="7" fillId="7" borderId="43" xfId="0" applyNumberFormat="1" applyFont="1" applyFill="1" applyBorder="1" applyAlignment="1">
      <x:alignment horizontal="center" vertical="center" wrapText="1"/>
    </x:xf>
    <x:xf numFmtId="171" fontId="8" fillId="0" borderId="44" xfId="0" applyNumberFormat="1" applyFont="1" applyFill="1" applyBorder="1" applyAlignment="1">
      <x:alignment vertical="center"/>
    </x:xf>
    <x:xf numFmtId="166" fontId="7" fillId="7" borderId="40" xfId="0" applyNumberFormat="1" applyFont="1" applyFill="1" applyBorder="1" applyAlignment="1">
      <x:alignment horizontal="center" vertical="center" wrapText="1"/>
    </x:xf>
    <x:xf numFmtId="166" fontId="12" fillId="6" borderId="40" xfId="0" applyNumberFormat="1" applyFont="1" applyFill="1" applyBorder="1" applyAlignment="1">
      <x:alignment horizontal="left" vertical="center" wrapText="1"/>
    </x:xf>
    <x:xf numFmtId="166" fontId="12" fillId="6" borderId="40" xfId="0" applyNumberFormat="1" applyFont="1" applyFill="1" applyBorder="1" applyAlignment="1">
      <x:alignment horizontal="left" vertical="center"/>
    </x:xf>
    <x:xf numFmtId="171" fontId="12" fillId="8" borderId="40" xfId="0" applyNumberFormat="1" applyFont="1" applyFill="1" applyBorder="1" applyAlignment="1">
      <x:alignment horizontal="right" vertical="center"/>
    </x:xf>
    <x:xf numFmtId="171" fontId="12" fillId="6" borderId="40" xfId="0" applyNumberFormat="1" applyFont="1" applyFill="1" applyBorder="1" applyAlignment="1">
      <x:alignment horizontal="right" vertical="center"/>
    </x:xf>
    <x:xf numFmtId="171" fontId="12" fillId="6" borderId="40" xfId="0" applyNumberFormat="1" applyFont="1" applyFill="1" applyBorder="1" applyAlignment="1">
      <x:alignment horizontal="right" vertical="center" wrapText="1"/>
    </x:xf>
    <x:xf numFmtId="171" fontId="12" fillId="8" borderId="40" xfId="0" applyNumberFormat="1" applyFont="1" applyFill="1" applyBorder="1" applyAlignment="1">
      <x:alignment horizontal="right" vertical="center" wrapText="1"/>
    </x:xf>
    <x:xf numFmtId="170" fontId="8" fillId="0" borderId="40" xfId="0" applyNumberFormat="1" applyFont="1" applyFill="1" applyBorder="1" applyAlignment="1">
      <x:alignment vertical="center"/>
    </x:xf>
    <x:xf numFmtId="170" fontId="8" fillId="8" borderId="40" xfId="0" applyNumberFormat="1" applyFont="1" applyFill="1" applyBorder="1" applyAlignment="1">
      <x:alignment vertical="center"/>
    </x:xf>
    <x:xf numFmtId="0" fontId="14" fillId="0" borderId="40" xfId="0" applyNumberFormat="1" applyFont="1" applyFill="1" applyBorder="1" applyAlignment="1">
      <x:alignment wrapText="1"/>
    </x:xf>
    <x:xf numFmtId="0" fontId="13" fillId="10" borderId="40" xfId="0" applyNumberFormat="1" applyFont="1" applyFill="1" applyBorder="1" applyAlignment="1">
      <x:alignment horizontal="center" vertical="center" wrapText="1"/>
    </x:xf>
    <x:xf numFmtId="0" fontId="13" fillId="10" borderId="40" xfId="0" applyNumberFormat="1" applyFont="1" applyFill="1" applyBorder="1" applyAlignment="1">
      <x:alignment horizontal="center" wrapText="1"/>
    </x:xf>
    <x:xf numFmtId="0" fontId="15" fillId="0" borderId="40" xfId="0" applyNumberFormat="1" applyFont="1" applyFill="1" applyBorder="1" applyAlignment="1">
      <x:alignment wrapText="1"/>
    </x:xf>
    <x:xf numFmtId="167" fontId="14" fillId="0" borderId="40" xfId="0" applyNumberFormat="1" applyFont="1" applyFill="1" applyBorder="1" applyAlignment="1">
      <x:alignment wrapText="1"/>
    </x:xf>
    <x:xf numFmtId="0" fontId="14" fillId="4" borderId="45" xfId="0" applyNumberFormat="1" applyFont="1" applyFill="1" applyBorder="1" applyAlignment="1">
      <x:alignment wrapText="1"/>
    </x:xf>
    <x:xf numFmtId="167" fontId="14" fillId="4" borderId="46" xfId="0" applyNumberFormat="1" applyFont="1" applyFill="1" applyBorder="1" applyAlignment="1">
      <x:alignment wrapText="1"/>
    </x:xf>
    <x:xf numFmtId="0" fontId="14" fillId="5" borderId="45" xfId="0" applyNumberFormat="1" applyFont="1" applyFill="1" applyBorder="1" applyAlignment="1">
      <x:alignment wrapText="1"/>
    </x:xf>
    <x:xf numFmtId="167" fontId="14" fillId="5" borderId="46" xfId="0" applyNumberFormat="1" applyFont="1" applyFill="1" applyBorder="1" applyAlignment="1">
      <x:alignment wrapText="1"/>
    </x:xf>
    <x:xf numFmtId="0" fontId="14" fillId="3" borderId="40" xfId="0" applyNumberFormat="1" applyFont="1" applyFill="1" applyBorder="1" applyAlignment="1">
      <x:alignment vertical="top" wrapText="1"/>
    </x:xf>
    <x:xf numFmtId="169" fontId="14" fillId="0" borderId="40" xfId="0" applyNumberFormat="1" applyFont="1" applyFill="1" applyBorder="1" applyAlignment="1">
      <x:alignment wrapText="1"/>
    </x:xf>
    <x:xf numFmtId="0" fontId="14" fillId="5" borderId="40" xfId="0" applyNumberFormat="1" applyFont="1" applyFill="1" applyBorder="1" applyAlignment="1">
      <x:alignment vertical="center" wrapText="1"/>
    </x:xf>
    <x:xf numFmtId="166" fontId="8" fillId="0" borderId="40" xfId="0" applyNumberFormat="1" applyFont="1" applyFill="1" applyBorder="1" applyAlignment="1">
      <x:alignment vertical="center"/>
    </x:xf>
    <x:xf numFmtId="166" fontId="8" fillId="0" borderId="44" xfId="0" applyNumberFormat="1" applyFont="1" applyFill="1" applyBorder="1" applyAlignment="1">
      <x:alignment vertical="center"/>
    </x:xf>
    <x:xf numFmtId="166" fontId="8" fillId="8" borderId="40" xfId="0" applyNumberFormat="1" applyFont="1" applyFill="1" applyBorder="1" applyAlignment="1">
      <x:alignment vertical="center"/>
    </x:xf>
    <x:xf numFmtId="166" fontId="12" fillId="8" borderId="40" xfId="0" applyNumberFormat="1" applyFont="1" applyFill="1" applyBorder="1" applyAlignment="1">
      <x:alignment horizontal="left" vertical="center"/>
    </x:xf>
    <x:xf numFmtId="166" fontId="12" fillId="8" borderId="40" xfId="0" applyNumberFormat="1" applyFont="1" applyFill="1" applyBorder="1" applyAlignment="1">
      <x:alignment horizontal="left" vertical="center" wrapText="1"/>
    </x:xf>
    <x:xf numFmtId="170" fontId="12" fillId="6" borderId="40" xfId="0" applyNumberFormat="1" applyFont="1" applyFill="1" applyBorder="1" applyAlignment="1">
      <x:alignment horizontal="right" vertical="center" wrapText="1"/>
    </x:xf>
    <x:xf numFmtId="170" fontId="12" fillId="8" borderId="40" xfId="0" applyNumberFormat="1" applyFont="1" applyFill="1" applyBorder="1" applyAlignment="1">
      <x:alignment horizontal="right" vertical="center"/>
    </x:xf>
    <x:xf numFmtId="170" fontId="12" fillId="6" borderId="40" xfId="0" applyNumberFormat="1" applyFont="1" applyFill="1" applyBorder="1" applyAlignment="1">
      <x:alignment horizontal="right" vertical="center"/>
    </x:xf>
    <x:xf numFmtId="170" fontId="12" fillId="8" borderId="40" xfId="0" applyNumberFormat="1" applyFont="1" applyFill="1" applyBorder="1" applyAlignment="1">
      <x:alignment horizontal="right" vertical="center" wrapText="1"/>
    </x:xf>
    <x:xf numFmtId="172" fontId="8" fillId="0" borderId="40" xfId="0" applyNumberFormat="1" applyFont="1" applyFill="1" applyBorder="1" applyAlignment="1">
      <x:alignment vertical="center"/>
    </x:xf>
    <x:xf numFmtId="172" fontId="8" fillId="8" borderId="40" xfId="0" applyNumberFormat="1" applyFont="1" applyFill="1" applyBorder="1" applyAlignment="1">
      <x:alignment vertical="center"/>
    </x:xf>
    <x:xf numFmtId="171" fontId="12" fillId="6" borderId="40" xfId="0" applyNumberFormat="1" applyFont="1" applyFill="1" applyBorder="1" applyAlignment="1">
      <x:alignment vertical="center"/>
    </x:xf>
    <x:xf numFmtId="171" fontId="12" fillId="8" borderId="40" xfId="0" applyNumberFormat="1" applyFont="1" applyFill="1" applyBorder="1" applyAlignment="1">
      <x:alignment vertical="center"/>
    </x:xf>
    <x:xf numFmtId="171" fontId="12" fillId="8" borderId="40" xfId="0" applyNumberFormat="1" applyFont="1" applyFill="1" applyBorder="1" applyAlignment="1">
      <x:alignment horizontal="center" vertical="center" wrapText="1"/>
    </x:xf>
    <x:xf numFmtId="171" fontId="12" fillId="6" borderId="40" xfId="0" applyNumberFormat="1" applyFont="1" applyFill="1" applyBorder="1" applyAlignment="1">
      <x:alignment horizontal="left" vertical="center"/>
    </x:xf>
    <x:xf numFmtId="0" fontId="1" fillId="12" borderId="40" xfId="0" applyNumberFormat="1" applyFont="1" applyFill="1" applyBorder="1"/>
    <x:xf numFmtId="0" fontId="1" fillId="12" borderId="40" xfId="0" applyNumberFormat="1" applyFont="1" applyFill="1" applyBorder="1" applyAlignment="1">
      <x:alignment horizontal="center" vertical="center"/>
    </x:xf>
    <x:xf numFmtId="171" fontId="0" fillId="0" borderId="40" xfId="0" applyNumberFormat="1" applyFont="1" applyFill="1" applyBorder="1"/>
    <x:xf numFmtId="0" fontId="21" fillId="4" borderId="40" xfId="0" applyNumberFormat="1" applyFont="1" applyFill="1" applyBorder="1" applyAlignment="1">
      <x:alignment horizontal="center" vertical="center" wrapText="1"/>
    </x:xf>
    <x:xf numFmtId="0" fontId="21" fillId="15" borderId="40" xfId="0" applyNumberFormat="1" applyFont="1" applyFill="1" applyBorder="1" applyAlignment="1">
      <x:alignment horizontal="center" vertical="center" wrapText="1"/>
    </x:xf>
    <x:xf numFmtId="0" fontId="29" fillId="4" borderId="40" xfId="0" applyNumberFormat="1" applyFont="1" applyFill="1" applyBorder="1" applyAlignment="1">
      <x:alignment wrapText="1"/>
    </x:xf>
    <x:xf numFmtId="0" fontId="1" fillId="21" borderId="40" xfId="0" applyNumberFormat="1" applyFont="1" applyFill="1" applyBorder="1" applyAlignment="1">
      <x:alignment horizontal="center"/>
    </x:xf>
    <x:xf numFmtId="0" fontId="2" fillId="5" borderId="40" xfId="0" applyNumberFormat="1" applyFont="1" applyFill="1" applyBorder="1" applyAlignment="1">
      <x:alignment horizontal="center"/>
    </x:xf>
    <x:xf numFmtId="0" fontId="13" fillId="21" borderId="40" xfId="0" applyNumberFormat="1" applyFont="1" applyFill="1" applyBorder="1" applyAlignment="1">
      <x:alignment horizontal="center" vertical="top" wrapText="1"/>
    </x:xf>
    <x:xf numFmtId="167" fontId="13" fillId="21" borderId="40" xfId="0" applyNumberFormat="1" applyFont="1" applyFill="1" applyBorder="1" applyAlignment="1">
      <x:alignment horizontal="center" vertical="top" wrapText="1"/>
    </x:xf>
    <x:xf numFmtId="173" fontId="13" fillId="21" borderId="40" xfId="0" applyNumberFormat="1" applyFont="1" applyFill="1" applyBorder="1" applyAlignment="1">
      <x:alignment horizontal="center" vertical="top" wrapText="1"/>
    </x:xf>
    <x:xf numFmtId="0" fontId="1" fillId="12" borderId="40" xfId="0" applyNumberFormat="1" applyFont="1" applyFill="1" applyBorder="1" applyAlignment="1">
      <x:alignment horizontal="center" wrapText="1"/>
    </x:xf>
    <x:xf numFmtId="0" fontId="0" fillId="4" borderId="40" xfId="0" applyNumberFormat="1" applyFont="1" applyFill="1" applyBorder="1" applyAlignment="1">
      <x:alignment wrapText="1"/>
    </x:xf>
    <x:xf numFmtId="9" fontId="0" fillId="0" borderId="40" xfId="0" applyNumberFormat="1" applyFont="1" applyFill="1" applyBorder="1" applyAlignment="1">
      <x:alignment wrapText="1"/>
    </x:xf>
    <x:xf numFmtId="0" fontId="7" fillId="12" borderId="40" xfId="0" applyNumberFormat="1" applyFont="1" applyFill="1" applyBorder="1" applyAlignment="1">
      <x:alignment horizontal="center" vertical="center" wrapText="1"/>
    </x:xf>
    <x:xf numFmtId="0" fontId="1" fillId="12" borderId="40" xfId="0" applyNumberFormat="1" applyFont="1" applyFill="1" applyBorder="1" applyAlignment="1">
      <x:alignment horizontal="center" vertical="center" wrapText="1"/>
    </x:xf>
    <x:xf numFmtId="0" fontId="10" fillId="4" borderId="40" xfId="0" applyNumberFormat="1" applyFont="1" applyFill="1" applyBorder="1" applyAlignment="1">
      <x:alignment vertical="center" wrapText="1"/>
    </x:xf>
    <x:xf numFmtId="171" fontId="10" fillId="4" borderId="40" xfId="0" applyNumberFormat="1" applyFont="1" applyFill="1" applyBorder="1" applyAlignment="1">
      <x:alignment vertical="center" wrapText="1"/>
    </x:xf>
    <x:xf numFmtId="165" fontId="10" fillId="4" borderId="40" xfId="0" applyNumberFormat="1" applyFont="1" applyFill="1" applyBorder="1" applyAlignment="1">
      <x:alignment vertical="center" wrapText="1"/>
    </x:xf>
    <x:xf numFmtId="0" fontId="0" fillId="25" borderId="40" xfId="0" applyNumberFormat="1" applyFont="1" applyFill="1" applyBorder="1" applyAlignment="1">
      <x:alignment wrapText="1"/>
    </x:xf>
    <x:xf numFmtId="0" fontId="0" fillId="25" borderId="40" xfId="0" applyNumberFormat="1" applyFont="1" applyFill="1" applyBorder="1"/>
    <x:xf numFmtId="9" fontId="0" fillId="25" borderId="40" xfId="0" applyNumberFormat="1" applyFont="1" applyFill="1" applyBorder="1" applyAlignment="1">
      <x:alignment wrapText="1"/>
    </x:xf>
    <x:xf numFmtId="171" fontId="0" fillId="25" borderId="40" xfId="0" applyNumberFormat="1" applyFont="1" applyFill="1" applyBorder="1" applyAlignment="1">
      <x:alignment wrapText="1"/>
    </x:xf>
    <x:xf numFmtId="171" fontId="0" fillId="25" borderId="40" xfId="0" applyNumberFormat="1" applyFont="1" applyFill="1" applyBorder="1"/>
    <x:xf numFmtId="170" fontId="0" fillId="25" borderId="40" xfId="0" applyNumberFormat="1" applyFont="1" applyFill="1" applyBorder="1"/>
    <x:xf numFmtId="0" fontId="1" fillId="12" borderId="40" xfId="0" applyNumberFormat="1" applyFont="1" applyFill="1" applyBorder="1" applyAlignment="1">
      <x:alignment horizontal="center"/>
    </x:xf>
    <x:xf numFmtId="0" fontId="0" fillId="4" borderId="40" xfId="0" applyNumberFormat="1" applyFont="1" applyFill="1" applyBorder="1"/>
    <x:xf numFmtId="0" fontId="1" fillId="21" borderId="40" xfId="0" applyNumberFormat="1" applyFont="1" applyFill="1" applyBorder="1" applyAlignment="1">
      <x:alignment horizontal="center" wrapText="1"/>
    </x:xf>
    <x:xf numFmtId="0" fontId="15" fillId="25" borderId="40" xfId="0" applyNumberFormat="1" applyFont="1" applyFill="1" applyBorder="1" applyAlignment="1">
      <x:alignment horizontal="center" wrapText="1"/>
    </x:xf>
    <x:xf numFmtId="167" fontId="15" fillId="25" borderId="40" xfId="0" applyNumberFormat="1" applyFont="1" applyFill="1" applyBorder="1" applyAlignment="1">
      <x:alignment horizontal="center" wrapText="1"/>
    </x:xf>
    <x:xf numFmtId="0" fontId="31" fillId="4" borderId="40" xfId="0" applyNumberFormat="1" applyFont="1" applyFill="1" applyBorder="1" applyAlignment="1">
      <x:alignment wrapText="1"/>
    </x:xf>
    <x:xf numFmtId="165" fontId="29" fillId="4" borderId="40" xfId="0" applyNumberFormat="1" applyFont="1" applyFill="1" applyBorder="1" applyAlignment="1">
      <x:alignment wrapText="1"/>
    </x:xf>
    <x:xf numFmtId="166" fontId="12" fillId="8" borderId="40" xfId="0" applyNumberFormat="1" applyFont="1" applyFill="1" applyBorder="1" applyAlignment="1">
      <x:alignment horizontal="center" vertical="center" wrapText="1"/>
    </x:xf>
    <x:xf numFmtId="166" fontId="12" fillId="6" borderId="40" xfId="0" applyNumberFormat="1" applyFont="1" applyFill="1" applyBorder="1" applyAlignment="1">
      <x:alignment vertical="center"/>
    </x:xf>
    <x:xf numFmtId="166" fontId="12" fillId="8" borderId="40" xfId="0" applyNumberFormat="1" applyFont="1" applyFill="1" applyBorder="1" applyAlignment="1">
      <x:alignment vertical="center"/>
    </x:xf>
    <x:xf numFmtId="1" fontId="0" fillId="0" borderId="40" xfId="0" applyNumberFormat="1" applyFont="1" applyFill="1" applyBorder="1"/>
    <x:xf numFmtId="166" fontId="12" fillId="30" borderId="40" xfId="0" applyNumberFormat="1" applyFont="1" applyFill="1" applyBorder="1" applyAlignment="1">
      <x:alignment vertical="center" wrapText="1"/>
    </x:xf>
    <x:xf numFmtId="171" fontId="12" fillId="30" borderId="40" xfId="0" applyNumberFormat="1" applyFont="1" applyFill="1" applyBorder="1" applyAlignment="1">
      <x:alignment vertical="center" wrapText="1"/>
    </x:xf>
    <x:xf numFmtId="171" fontId="12" fillId="31" borderId="40" xfId="0" applyNumberFormat="1" applyFont="1" applyFill="1" applyBorder="1" applyAlignment="1">
      <x:alignment vertical="center" wrapText="1"/>
    </x:xf>
    <x:xf numFmtId="0" fontId="16" fillId="30" borderId="40" xfId="0" applyNumberFormat="1" applyFont="1" applyFill="1" applyBorder="1" applyAlignment="1">
      <x:alignment horizontal="center" vertical="center" wrapText="1"/>
    </x:xf>
    <x:xf numFmtId="174" fontId="0" fillId="0" borderId="40" xfId="0" applyNumberFormat="1" applyFont="1" applyFill="1" applyBorder="1"/>
    <x:xf numFmtId="1" fontId="15" fillId="25" borderId="40" xfId="0" applyNumberFormat="1" applyFont="1" applyFill="1" applyBorder="1" applyAlignment="1">
      <x:alignment horizontal="center" wrapText="1"/>
    </x:xf>
    <x:xf numFmtId="171" fontId="1" fillId="21" borderId="40" xfId="0" applyNumberFormat="1" applyFont="1" applyFill="1" applyBorder="1" applyAlignment="1">
      <x:alignment horizontal="center"/>
    </x:xf>
    <x:xf numFmtId="171" fontId="1" fillId="12" borderId="40" xfId="0" applyNumberFormat="1" applyFont="1" applyFill="1" applyBorder="1" applyAlignment="1">
      <x:alignment horizontal="center"/>
    </x:xf>
    <x:xf numFmtId="0" fontId="1" fillId="16" borderId="40" xfId="0" applyNumberFormat="1" applyFont="1" applyFill="1" applyBorder="1" applyAlignment="1">
      <x:alignment horizontal="center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7" xfId="0" applyNumberFormat="1" applyFont="1" applyFill="1" applyBorder="1" applyAlignment="1">
      <x:alignment vertical="top" wrapText="1"/>
    </x:xf>
    <x:xf numFmtId="172" fontId="26" fillId="16" borderId="40" xfId="0" applyNumberFormat="1" applyFont="1" applyFill="1" applyBorder="1" applyAlignment="1">
      <x:alignment horizontal="center" vertical="center" wrapText="1"/>
    </x:xf>
    <x:xf numFmtId="171" fontId="26" fillId="16" borderId="40" xfId="0" applyNumberFormat="1" applyFont="1" applyFill="1" applyBorder="1" applyAlignment="1">
      <x:alignment horizontal="center" vertical="center" wrapText="1"/>
    </x:xf>
    <x:xf numFmtId="171" fontId="12" fillId="8" borderId="47" xfId="0" applyNumberFormat="1" applyFont="1" applyFill="1" applyBorder="1" applyAlignment="1">
      <x:alignment horizontal="right" vertical="center"/>
    </x:xf>
    <x:xf numFmtId="171" fontId="12" fillId="35" borderId="40" xfId="0" applyNumberFormat="1" applyFont="1" applyFill="1" applyBorder="1" applyAlignment="1">
      <x:alignment horizontal="right" vertical="center"/>
    </x:xf>
    <x:xf numFmtId="171" fontId="12" fillId="35" borderId="47" xfId="0" applyNumberFormat="1" applyFont="1" applyFill="1" applyBorder="1" applyAlignment="1">
      <x:alignment horizontal="right" vertical="center"/>
    </x:xf>
    <x:xf numFmtId="170" fontId="26" fillId="16" borderId="40" xfId="0" applyNumberFormat="1" applyFont="1" applyFill="1" applyBorder="1" applyAlignment="1">
      <x:alignment horizontal="center" vertical="center" wrapText="1"/>
    </x:xf>
    <x:xf numFmtId="171" fontId="8" fillId="8" borderId="40" xfId="0" applyNumberFormat="1" applyFont="1" applyFill="1" applyBorder="1" applyAlignment="1">
      <x:alignment horizontal="right" vertical="center"/>
    </x:xf>
    <x:xf numFmtId="171" fontId="8" fillId="8" borderId="47" xfId="0" applyNumberFormat="1" applyFont="1" applyFill="1" applyBorder="1" applyAlignment="1">
      <x:alignment horizontal="right" vertical="center"/>
    </x:xf>
    <x:xf numFmtId="171" fontId="9" fillId="35" borderId="40" xfId="0" applyNumberFormat="1" applyFont="1" applyFill="1" applyBorder="1" applyAlignment="1">
      <x:alignment horizontal="right" vertical="center"/>
    </x:xf>
    <x:xf numFmtId="171" fontId="9" fillId="35" borderId="47" xfId="0" applyNumberFormat="1" applyFont="1" applyFill="1" applyBorder="1" applyAlignment="1">
      <x:alignment horizontal="right" vertical="center"/>
    </x:xf>
    <x:xf numFmtId="170" fontId="9" fillId="35" borderId="40" xfId="0" applyNumberFormat="1" applyFont="1" applyFill="1" applyBorder="1" applyAlignment="1">
      <x:alignment horizontal="right" vertical="center"/>
    </x:xf>
    <x:xf numFmtId="170" fontId="9" fillId="35" borderId="47" xfId="0" applyNumberFormat="1" applyFont="1" applyFill="1" applyBorder="1" applyAlignment="1">
      <x:alignment horizontal="right" vertical="center"/>
    </x:xf>
    <x:xf numFmtId="165" fontId="8" fillId="35" borderId="40" xfId="0" applyNumberFormat="1" applyFont="1" applyFill="1" applyBorder="1" applyAlignment="1">
      <x:alignment vertical="center" wrapText="1"/>
    </x:xf>
    <x:xf numFmtId="0" fontId="8" fillId="35" borderId="40" xfId="0" applyNumberFormat="1" applyFont="1" applyFill="1" applyBorder="1" applyAlignment="1">
      <x:alignment vertical="center" wrapText="1"/>
    </x:xf>
    <x:xf numFmtId="49" fontId="32" fillId="8" borderId="40" xfId="0" applyNumberFormat="1" applyFont="1" applyFill="1" applyBorder="1" applyAlignment="1">
      <x:alignment horizontal="left" vertical="center"/>
    </x:xf>
    <x:xf numFmtId="49" fontId="32" fillId="8" borderId="47" xfId="0" applyNumberFormat="1" applyFont="1" applyFill="1" applyBorder="1" applyAlignment="1">
      <x:alignment horizontal="left" vertical="center"/>
    </x:xf>
    <x:xf numFmtId="171" fontId="16" fillId="35" borderId="40" xfId="0" applyNumberFormat="1" applyFont="1" applyFill="1" applyBorder="1" applyAlignment="1">
      <x:alignment horizontal="right" vertical="center"/>
    </x:xf>
    <x:xf numFmtId="170" fontId="16" fillId="35" borderId="40" xfId="0" applyNumberFormat="1" applyFont="1" applyFill="1" applyBorder="1" applyAlignment="1">
      <x:alignment horizontal="right" vertical="center"/>
    </x:xf>
    <x:xf numFmtId="0" fontId="26" fillId="16" borderId="40" xfId="0" applyNumberFormat="1" applyFont="1" applyFill="1" applyBorder="1" applyAlignment="1">
      <x:alignment horizontal="center" vertical="center" wrapText="1"/>
    </x:xf>
    <x:xf numFmtId="167" fontId="26" fillId="16" borderId="40" xfId="0" applyNumberFormat="1" applyFont="1" applyFill="1" applyBorder="1" applyAlignment="1">
      <x:alignment horizontal="center" vertical="center" wrapText="1"/>
    </x:xf>
    <x:xf numFmtId="171" fontId="16" fillId="35" borderId="40" xfId="0" applyNumberFormat="1" applyFont="1" applyFill="1" applyBorder="1" applyAlignment="1">
      <x:alignment horizontal="right"/>
    </x:xf>
    <x:xf numFmtId="170" fontId="16" fillId="35" borderId="40" xfId="0" applyNumberFormat="1" applyFont="1" applyFill="1" applyBorder="1" applyAlignment="1">
      <x:alignment horizontal="right"/>
    </x:xf>
    <x:xf numFmtId="171" fontId="0" fillId="0" borderId="40" xfId="0" applyNumberFormat="1" applyFont="1" applyFill="1" applyBorder="1" applyAlignment="1">
      <x:alignment wrapText="1"/>
    </x:xf>
    <x:xf numFmtId="0" fontId="17" fillId="12" borderId="40" xfId="0" applyNumberFormat="1" applyFont="1" applyFill="1" applyBorder="1" applyAlignment="1">
      <x:alignment horizontal="center" vertical="center" wrapText="1"/>
    </x:xf>
    <x:xf numFmtId="0" fontId="18" fillId="12" borderId="40" xfId="0" applyNumberFormat="1" applyFont="1" applyFill="1" applyBorder="1" applyAlignment="1">
      <x:alignment horizontal="center" vertical="center" wrapText="1"/>
    </x:xf>
    <x:xf numFmtId="0" fontId="19" fillId="13" borderId="40" xfId="0" applyNumberFormat="1" applyFont="1" applyFill="1" applyBorder="1" applyAlignment="1">
      <x:alignment vertical="center" wrapText="1"/>
    </x:xf>
    <x:xf numFmtId="0" fontId="20" fillId="13" borderId="40" xfId="0" applyNumberFormat="1" applyFont="1" applyFill="1" applyBorder="1" applyAlignment="1">
      <x:alignment vertical="center" wrapText="1"/>
    </x:xf>
    <x:xf numFmtId="0" fontId="13" fillId="16" borderId="40" xfId="0" applyNumberFormat="1" applyFont="1" applyFill="1" applyBorder="1" applyAlignment="1">
      <x:alignment horizontal="center" vertical="center" wrapText="1"/>
    </x:xf>
    <x:xf numFmtId="167" fontId="13" fillId="16" borderId="40" xfId="0" applyNumberFormat="1" applyFont="1" applyFill="1" applyBorder="1" applyAlignment="1">
      <x:alignment horizontal="center" vertical="center" wrapText="1"/>
    </x:xf>
    <x:xf numFmtId="171" fontId="22" fillId="13" borderId="40" xfId="0" applyNumberFormat="1" applyFont="1" applyFill="1" applyBorder="1" applyAlignment="1">
      <x:alignment horizontal="center" vertical="center" wrapText="1"/>
    </x:xf>
    <x:xf numFmtId="0" fontId="13" fillId="17" borderId="40" xfId="0" applyNumberFormat="1" applyFont="1" applyFill="1" applyBorder="1" applyAlignment="1">
      <x:alignment horizontal="center" vertical="center" wrapText="1"/>
    </x:xf>
    <x:xf numFmtId="167" fontId="13" fillId="17" borderId="40" xfId="0" applyNumberFormat="1" applyFont="1" applyFill="1" applyBorder="1" applyAlignment="1">
      <x:alignment horizontal="center" vertical="center" wrapText="1"/>
    </x:xf>
    <x:xf numFmtId="0" fontId="7" fillId="17" borderId="40" xfId="0" applyNumberFormat="1" applyFont="1" applyFill="1" applyBorder="1" applyAlignment="1">
      <x:alignment horizontal="center" vertical="center" wrapText="1"/>
    </x:xf>
    <x:xf numFmtId="171" fontId="23" fillId="13" borderId="40" xfId="0" applyNumberFormat="1" applyFont="1" applyFill="1" applyBorder="1" applyAlignment="1">
      <x:alignment horizontal="center" vertical="center" wrapText="1"/>
    </x:xf>
    <x:xf numFmtId="0" fontId="13" fillId="18" borderId="42" xfId="0" applyNumberFormat="1" applyFont="1" applyFill="1" applyBorder="1" applyAlignment="1">
      <x:alignment horizontal="center" vertical="center" wrapText="1"/>
    </x:xf>
    <x:xf numFmtId="167" fontId="13" fillId="18" borderId="43" xfId="0" applyNumberFormat="1" applyFont="1" applyFill="1" applyBorder="1" applyAlignment="1">
      <x:alignment horizontal="center" vertical="center" wrapText="1"/>
    </x:xf>
    <x:xf numFmtId="0" fontId="13" fillId="18" borderId="40" xfId="0" applyNumberFormat="1" applyFont="1" applyFill="1" applyBorder="1" applyAlignment="1">
      <x:alignment horizontal="center" vertical="center" wrapText="1"/>
    </x:xf>
    <x:xf numFmtId="0" fontId="13" fillId="12" borderId="42" xfId="0" applyNumberFormat="1" applyFont="1" applyFill="1" applyBorder="1" applyAlignment="1">
      <x:alignment horizontal="center" vertical="center" wrapText="1"/>
    </x:xf>
    <x:xf numFmtId="167" fontId="13" fillId="12" borderId="43" xfId="0" applyNumberFormat="1" applyFont="1" applyFill="1" applyBorder="1" applyAlignment="1">
      <x:alignment horizontal="center" vertical="center" wrapText="1"/>
    </x:xf>
    <x:xf numFmtId="0" fontId="13" fillId="12" borderId="40" xfId="0" applyNumberFormat="1" applyFont="1" applyFill="1" applyBorder="1" applyAlignment="1">
      <x:alignment horizontal="center" vertical="center" wrapText="1"/>
    </x:xf>
    <x:xf numFmtId="0" fontId="24" fillId="19" borderId="40" xfId="0" applyNumberFormat="1" applyFont="1" applyFill="1" applyBorder="1" applyAlignment="1">
      <x:alignment horizontal="center" vertical="center" wrapText="1"/>
    </x:xf>
    <x:xf numFmtId="171" fontId="25" fillId="13" borderId="40" xfId="0" applyNumberFormat="1" applyFont="1" applyFill="1" applyBorder="1" applyAlignment="1">
      <x:alignment horizontal="center" vertical="center" wrapText="1"/>
    </x:xf>
    <x:xf numFmtId="1" fontId="25" fillId="13" borderId="40" xfId="0" applyNumberFormat="1" applyFont="1" applyFill="1" applyBorder="1" applyAlignment="1">
      <x:alignment horizontal="center" vertical="center" wrapText="1"/>
    </x:xf>
    <x:xf numFmtId="0" fontId="26" fillId="19" borderId="40" xfId="0" applyNumberFormat="1" applyFont="1" applyFill="1" applyBorder="1" applyAlignment="1">
      <x:alignment horizontal="center" vertical="center" wrapText="1"/>
    </x:xf>
    <x:xf numFmtId="171" fontId="27" fillId="13" borderId="40" xfId="0" applyNumberFormat="1" applyFont="1" applyFill="1" applyBorder="1" applyAlignment="1">
      <x:alignment horizontal="center" vertical="center" wrapText="1"/>
    </x:xf>
    <x:xf numFmtId="0" fontId="1" fillId="12" borderId="40" xfId="0" applyNumberFormat="1" applyFont="1" applyFill="1" applyBorder="1" applyAlignment="1">
      <x:alignment horizontal="left" wrapText="1"/>
    </x:xf>
    <x:xf numFmtId="0" fontId="28" fillId="13" borderId="40" xfId="0" applyNumberFormat="1" applyFont="1" applyFill="1" applyBorder="1" applyAlignment="1">
      <x:alignment vertical="center" wrapText="1"/>
    </x:xf>
    <x:xf numFmtId="0" fontId="13" fillId="12" borderId="40" xfId="0" applyNumberFormat="1" applyFont="1" applyFill="1" applyBorder="1" applyAlignment="1">
      <x:alignment horizontal="center" vertical="top" wrapText="1"/>
    </x:xf>
    <x:xf numFmtId="169" fontId="13" fillId="12" borderId="40" xfId="0" applyNumberFormat="1" applyFont="1" applyFill="1" applyBorder="1" applyAlignment="1">
      <x:alignment horizontal="center" vertical="top" wrapText="1"/>
    </x:xf>
    <x:xf numFmtId="167" fontId="13" fillId="12" borderId="40" xfId="0" applyNumberFormat="1" applyFont="1" applyFill="1" applyBorder="1" applyAlignment="1">
      <x:alignment horizontal="center" vertical="top" wrapText="1"/>
    </x:xf>
    <x:xf numFmtId="0" fontId="4" fillId="7" borderId="40" xfId="0" applyNumberFormat="1" applyFont="1" applyFill="1" applyBorder="1" applyAlignment="1">
      <x:alignment horizontal="center" vertical="center"/>
    </x:xf>
    <x:xf numFmtId="172" fontId="5" fillId="12" borderId="40" xfId="0" applyNumberFormat="1" applyFont="1" applyFill="1" applyBorder="1" applyAlignment="1">
      <x:alignment horizontal="center" vertical="center"/>
    </x:xf>
    <x:xf numFmtId="171" fontId="5" fillId="12" borderId="40" xfId="0" applyNumberFormat="1" applyFont="1" applyFill="1" applyBorder="1" applyAlignment="1">
      <x:alignment horizontal="center" vertical="center"/>
    </x:xf>
    <x:xf numFmtId="170" fontId="5" fillId="12" borderId="40" xfId="0" applyNumberFormat="1" applyFont="1" applyFill="1" applyBorder="1" applyAlignment="1">
      <x:alignment horizontal="center" vertical="center"/>
    </x:xf>
    <x:xf numFmtId="0" fontId="5" fillId="12" borderId="40" xfId="0" applyNumberFormat="1" applyFont="1" applyFill="1" applyBorder="1" applyAlignment="1">
      <x:alignment horizontal="center" vertical="center"/>
    </x:xf>
    <x:xf numFmtId="167" fontId="5" fillId="12" borderId="40" xfId="0" applyNumberFormat="1" applyFont="1" applyFill="1" applyBorder="1" applyAlignment="1">
      <x:alignment horizontal="center" vertical="center"/>
    </x:xf>
    <x:xf numFmtId="172" fontId="26" fillId="16" borderId="47" xfId="0" applyNumberFormat="1" applyFont="1" applyFill="1" applyBorder="1" applyAlignment="1">
      <x:alignment horizontal="center" vertical="center" wrapText="1"/>
    </x:xf>
    <x:xf numFmtId="171" fontId="26" fillId="16" borderId="47" xfId="0" applyNumberFormat="1" applyFont="1" applyFill="1" applyBorder="1" applyAlignment="1">
      <x:alignment horizontal="center" vertical="center" wrapText="1"/>
    </x:xf>
    <x:xf numFmtId="0" fontId="4" fillId="20" borderId="40" xfId="0" applyNumberFormat="1" applyFont="1" applyFill="1" applyBorder="1" applyAlignment="1">
      <x:alignment horizontal="center" vertical="center"/>
    </x:xf>
    <x:xf numFmtId="171" fontId="4" fillId="20" borderId="40" xfId="0" applyNumberFormat="1" applyFont="1" applyFill="1" applyBorder="1" applyAlignment="1">
      <x:alignment horizontal="center" vertical="center"/>
    </x:xf>
    <x:xf numFmtId="0" fontId="6" fillId="12" borderId="40" xfId="0" applyNumberFormat="1" applyFont="1" applyFill="1" applyBorder="1" applyAlignment="1">
      <x:alignment horizontal="center" vertical="center"/>
    </x:xf>
    <x:xf numFmtId="171" fontId="6" fillId="12" borderId="40" xfId="0" applyNumberFormat="1" applyFont="1" applyFill="1" applyBorder="1" applyAlignment="1">
      <x:alignment horizontal="center" vertical="center"/>
    </x:xf>
    <x:xf numFmtId="0" fontId="30" fillId="25" borderId="40" xfId="0" applyNumberFormat="1" applyFont="1" applyFill="1" applyBorder="1" applyAlignment="1">
      <x:alignment horizontal="center" vertical="center"/>
    </x:xf>
    <x:xf numFmtId="171" fontId="30" fillId="25" borderId="40" xfId="0" applyNumberFormat="1" applyFont="1" applyFill="1" applyBorder="1" applyAlignment="1">
      <x:alignment horizontal="center" vertical="center"/>
    </x:xf>
    <x:xf numFmtId="9" fontId="10" fillId="9" borderId="4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4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40" xfId="0" applyNumberFormat="1" applyFont="1" applyFill="1" applyBorder="1"/>
    <x:xf numFmtId="0" fontId="33" fillId="0" borderId="0" xfId="0" applyNumberFormat="1" applyFont="1" applyFill="1" applyBorder="1" applyAlignment="1">
      <x:alignment wrapText="1"/>
    </x:xf>
    <x:xf numFmtId="0" fontId="33" fillId="0" borderId="40" xfId="0" applyNumberFormat="1" applyFont="1" applyFill="1" applyBorder="1" applyAlignment="1">
      <x:alignment wrapText="1"/>
    </x:xf>
    <x:xf numFmtId="200" fontId="33" fillId="0" borderId="0" xfId="0" applyNumberFormat="1" applyFont="1" applyFill="1" applyBorder="1" applyAlignment="1">
      <x:alignment wrapText="1"/>
    </x:xf>
    <x:xf numFmtId="200" fontId="33" fillId="0" borderId="40" xfId="0" applyNumberFormat="1" applyFont="1" applyFill="1" applyBorder="1" applyAlignment="1">
      <x:alignment wrapText="1"/>
    </x:xf>
    <x:xf numFmtId="0" fontId="33" fillId="0" borderId="0" xfId="0" applyNumberFormat="1" applyFont="1" applyFill="1" applyBorder="1"/>
    <x:xf numFmtId="0" fontId="33" fillId="0" borderId="40" xfId="0" applyNumberFormat="1" applyFont="1" applyFill="1" applyBorder="1"/>
    <x:xf numFmtId="200" fontId="33" fillId="0" borderId="0" xfId="0" applyNumberFormat="1" applyFont="1" applyFill="1" applyBorder="1"/>
    <x:xf numFmtId="200" fontId="33" fillId="0" borderId="40" xfId="0" applyNumberFormat="1" applyFont="1" applyFill="1" applyBorder="1"/>
  </x:cellXfs>
  <x:cellStyles count="2">
    <x:cellStyle name="Normal" xfId="1"/>
    <x:cellStyle name="Standard" xfId="0"/>
  </x:cellStyles>
  <x:dxfs count="50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2ca0802f54979" /><Relationship Type="http://schemas.openxmlformats.org/officeDocument/2006/relationships/theme" Target="/xl/theme/theme1.xml" Id="R3925b5948585485e" /><Relationship Type="http://schemas.openxmlformats.org/officeDocument/2006/relationships/sharedStrings" Target="/xl/sharedStrings.xml" Id="R011e999de8a844b0" /><Relationship Type="http://schemas.openxmlformats.org/officeDocument/2006/relationships/worksheet" Target="/xl/worksheets/sheet1.xml" Id="R84440f342e574816" /><Relationship Type="http://schemas.openxmlformats.org/officeDocument/2006/relationships/worksheet" Target="/xl/worksheets/sheet2.xml" Id="Rce13d8de2fe0476f" /><Relationship Type="http://schemas.openxmlformats.org/officeDocument/2006/relationships/worksheet" Target="/xl/worksheets/sheet3.xml" Id="R77870e9bfbf54193" /><Relationship Type="http://schemas.openxmlformats.org/officeDocument/2006/relationships/worksheet" Target="/xl/worksheets/sheet4.xml" Id="R52f8b820fcef4116" /><Relationship Type="http://schemas.openxmlformats.org/officeDocument/2006/relationships/worksheet" Target="/xl/worksheets/sheet5.xml" Id="Rbf974ff8421c4cdd" /><Relationship Type="http://schemas.openxmlformats.org/officeDocument/2006/relationships/worksheet" Target="/xl/worksheets/sheet6.xml" Id="Ra303864f3be44e30" /><Relationship Type="http://schemas.openxmlformats.org/officeDocument/2006/relationships/worksheet" Target="/xl/worksheets/sheet7.xml" Id="Rf1964b9abb4d4902" /><Relationship Type="http://schemas.openxmlformats.org/officeDocument/2006/relationships/worksheet" Target="/xl/worksheets/sheet8.xml" Id="R38ea40abcf6046d5" /><Relationship Type="http://schemas.openxmlformats.org/officeDocument/2006/relationships/worksheet" Target="/xl/worksheets/sheet9.xml" Id="R976db9a0020c4523" /><Relationship Type="http://schemas.openxmlformats.org/officeDocument/2006/relationships/worksheet" Target="/xl/worksheets/sheet10.xml" Id="R592d131f5b4f43da" /><Relationship Type="http://schemas.openxmlformats.org/officeDocument/2006/relationships/worksheet" Target="/xl/worksheets/sheet11.xml" Id="R23853e6df69d4de6" /><Relationship Type="http://schemas.openxmlformats.org/officeDocument/2006/relationships/worksheet" Target="/xl/worksheets/sheet12.xml" Id="R48fd039ec3e34d0d" /><Relationship Type="http://schemas.openxmlformats.org/officeDocument/2006/relationships/worksheet" Target="/xl/worksheets/sheet13.xml" Id="R95d4e86034bd48f5" /><Relationship Type="http://schemas.openxmlformats.org/officeDocument/2006/relationships/worksheet" Target="/xl/worksheets/sheet14.xml" Id="Ra99169fbccfd45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45aabd60004dba" /><Relationship Type="http://schemas.openxmlformats.org/officeDocument/2006/relationships/chart" Target="/xl/drawings/charts/chart2.xml" Id="Rabd957eedf394f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b364ed374c24bd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afe6240798640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Liquiditätsentwicklung – 24 Monate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Kontostand Ende</c:v>
          </c:tx>
          <c:cat>
            <c:strRef>
              <c:f>'Dashboard'!$N$2:$N$25</c:f>
              <c:strCache>
                <c:ptCount val="0"/>
              </c:strCache>
            </c:strRef>
          </c:cat>
          <c:val>
            <c:numRef>
              <c:f>'Dashboard'!$O$2:$O$25</c:f>
              <c:numCache>
                <c:formatCode>#,##0 €;[Red]-#,##0 €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Monat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General"/>
        <c:majorTickMark val="none"/>
        <c:minorTickMark val="none"/>
        <c:tickLblPos val="nextTo"/>
        <c:tickLblSkip val="2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rot="-2700000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Kontostand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#,##0 €;[Red]-#,##0 €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Umsatz und Gewinn – 24 Monate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Netto-Umsatz</c:v>
          </c:tx>
          <c:cat>
            <c:strRef>
              <c:f>'Dashboard'!$P$2:$P$25</c:f>
              <c:strCache>
                <c:ptCount val="0"/>
              </c:strCache>
            </c:strRef>
          </c:cat>
          <c:val>
            <c:numRef>
              <c:f>'Dashboard'!$Q$2:$Q$25</c:f>
              <c:numCache>
                <c:formatCode>#,##0 €;[Red]-#,##0 €</c:formatCode>
                <c:ptCount val="0"/>
              </c:numCache>
            </c:numRef>
          </c:val>
        </c:ser>
        <c:ser>
          <c:idx val="1"/>
          <c:order val="1"/>
          <c:tx>
            <c:v>Gewinn vor Steuern</c:v>
          </c:tx>
          <c:cat>
            <c:strRef>
              <c:f>'Dashboard'!$P$2:$P$25</c:f>
              <c:strCache>
                <c:ptCount val="0"/>
              </c:strCache>
            </c:strRef>
          </c:cat>
          <c:val>
            <c:numRef>
              <c:f>'Dashboard'!$R$2:$R$25</c:f>
              <c:numCache>
                <c:formatCode>#,##0 €;[Red]-#,##0 €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Monat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General"/>
        <c:majorTickMark val="none"/>
        <c:minorTickMark val="none"/>
        <c:tickLblPos val="nextTo"/>
        <c:tickLblSkip val="2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rot="-2700000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Betrag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#,##0 €;[Red]-#,##0 €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plotArea>
      <c:layout/>
      <c:lineChart>
        <c:grouping val="standard"/>
        <c:varyColors val="0"/>
        <c:ser>
          <c:idx val="0"/>
          <c:order val="0"/>
          <c:tx>
            <c:v>Gewinn</c:v>
          </c:tx>
          <c:cat>
            <c:numRef>
              <c:f>Gewinnübersicht!$A$4:$A$22</c:f>
              <c:numCache>
                <c:formatCode>mmmm\ yyyy</c:formatCode>
                <c:ptCount val="19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</c:numCache>
            </c:numRef>
          </c:cat>
          <c:val>
            <c:numRef>
              <c:f>Gewinnübersicht!$J$4:$J$22</c:f>
              <c:numCache>
                <c:formatCode>#,##0.00\ [$€-407]</c:formatCode>
                <c:ptCount val="19"/>
                <c:pt idx="0">
                  <c:v>-3000</c:v>
                </c:pt>
                <c:pt idx="1">
                  <c:v>-3000</c:v>
                </c:pt>
                <c:pt idx="2">
                  <c:v>-3000</c:v>
                </c:pt>
                <c:pt idx="3">
                  <c:v>-3000</c:v>
                </c:pt>
                <c:pt idx="4">
                  <c:v>-3000</c:v>
                </c:pt>
                <c:pt idx="5">
                  <c:v>-3000</c:v>
                </c:pt>
                <c:pt idx="6">
                  <c:v>-3000</c:v>
                </c:pt>
                <c:pt idx="7">
                  <c:v>-3000</c:v>
                </c:pt>
                <c:pt idx="8">
                  <c:v>-3000</c:v>
                </c:pt>
                <c:pt idx="9">
                  <c:v>-3000</c:v>
                </c:pt>
                <c:pt idx="10">
                  <c:v>-3000</c:v>
                </c:pt>
                <c:pt idx="11">
                  <c:v>-3000</c:v>
                </c:pt>
                <c:pt idx="12">
                  <c:v>-3000</c:v>
                </c:pt>
                <c:pt idx="13">
                  <c:v>-3000</c:v>
                </c:pt>
                <c:pt idx="14">
                  <c:v>-3000</c:v>
                </c:pt>
                <c:pt idx="15">
                  <c:v>-3000</c:v>
                </c:pt>
                <c:pt idx="16">
                  <c:v>-3000</c:v>
                </c:pt>
                <c:pt idx="17">
                  <c:v>-3000</c:v>
                </c:pt>
                <c:pt idx="18">
                  <c:v>-3000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m\ yyyy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\ [$€-407]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plotArea>
      <c:layout/>
      <c:barChart>
        <c:barDir val="col"/>
        <c:grouping val="clustered"/>
        <c:varyColors val="0"/>
        <c:ser>
          <c:idx val="0"/>
          <c:order val="0"/>
          <c:tx>
            <c:v>Geldabfluss</c:v>
          </c:tx>
          <c:cat>
            <c:numRef>
              <c:f>'Ausgaben gesamt'!$A$4:$A$22</c:f>
              <c:numCache>
                <c:formatCode>mmmm\ yyyy</c:formatCode>
                <c:ptCount val="19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</c:numCache>
            </c:numRef>
          </c:cat>
          <c:val>
            <c:numRef>
              <c:f>'Ausgaben gesamt'!$L$4:$L$22</c:f>
              <c:numCache>
                <c:formatCode>#,##0.00\ [$€-407]</c:formatCode>
                <c:ptCount val="19"/>
                <c:pt idx="0">
                  <c:v>32309.8</c:v>
                </c:pt>
                <c:pt idx="1">
                  <c:v>14496.64</c:v>
                </c:pt>
                <c:pt idx="2">
                  <c:v>5405</c:v>
                </c:pt>
                <c:pt idx="3">
                  <c:v>5840</c:v>
                </c:pt>
                <c:pt idx="4">
                  <c:v>11136</c:v>
                </c:pt>
                <c:pt idx="5">
                  <c:v>5538</c:v>
                </c:pt>
                <c:pt idx="6">
                  <c:v>3480</c:v>
                </c:pt>
                <c:pt idx="7">
                  <c:v>6345</c:v>
                </c:pt>
                <c:pt idx="8">
                  <c:v>3480</c:v>
                </c:pt>
                <c:pt idx="9">
                  <c:v>3480</c:v>
                </c:pt>
                <c:pt idx="10">
                  <c:v>6345</c:v>
                </c:pt>
                <c:pt idx="11">
                  <c:v>3480</c:v>
                </c:pt>
                <c:pt idx="12">
                  <c:v>3480</c:v>
                </c:pt>
                <c:pt idx="13">
                  <c:v>6345</c:v>
                </c:pt>
                <c:pt idx="14">
                  <c:v>3480</c:v>
                </c:pt>
                <c:pt idx="15">
                  <c:v>3480</c:v>
                </c:pt>
                <c:pt idx="16">
                  <c:v>6345</c:v>
                </c:pt>
                <c:pt idx="17">
                  <c:v>3480</c:v>
                </c:pt>
                <c:pt idx="18">
                  <c:v>3480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m\ yyyy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\ [$€-407]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45aabd60004dba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d957eedf394f6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364ed374c24bd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fe6240798640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xTable" displayName="TaxTable" ref="A1:H14">
  <x:tableColumns count="8">
    <x:tableColumn id="1" name="Monat"/>
    <x:tableColumn id="2" name="Fälligkeit"/>
    <x:tableColumn id="3" name="Art"/>
    <x:tableColumn id="4" name="Betrag"/>
    <x:tableColumn id="5" name="Status"/>
    <x:tableColumn id="6" name="Bezahlt am"/>
    <x:tableColumn id="7" name="Hinweis"/>
    <x:tableColumn id="8" name="Nächste offene Fälligkeit"/>
  </x:tableColumns>
  <x:tableStyleInfo name="TableStyleMedium2" showRowStripes="1"/>
</x:table>
</file>

<file path=xl/tables/table2.xml><?xml version="1.0" encoding="utf-8"?>
<x:table xmlns:x="http://schemas.openxmlformats.org/spreadsheetml/2006/main" id="2" name="IncomingInvoices" displayName="IncomingInvoices" ref="A1:O301">
  <x:tableColumns count="15">
    <x:tableColumn id="1" name="Rechnungsdatum"/>
    <x:tableColumn id="2" name="Lieferant"/>
    <x:tableColumn id="3" name="Projekt"/>
    <x:tableColumn id="4" name="Rechnungs-Nr."/>
    <x:tableColumn id="5" name="Fällig am"/>
    <x:tableColumn id="6" name="Netto"/>
    <x:tableColumn id="7" name="MwSt"/>
    <x:tableColumn id="8" name="Brutto"/>
    <x:tableColumn id="9" name="Status"/>
    <x:tableColumn id="10" name="Bezahlt am"/>
    <x:tableColumn id="11" name="Kategorie"/>
    <x:tableColumn id="12" name="Skonto %"/>
    <x:tableColumn id="13" name="Skontofrist"/>
    <x:tableColumn id="14" name="Zahlbetrag geplant"/>
    <x:tableColumn id="15" name="Notiz"/>
  </x:tableColumns>
  <x:tableStyleInfo name="TableStyleMedium2" showRowStripes="1"/>
</x:table>
</file>

<file path=xl/tables/table3.xml><?xml version="1.0" encoding="utf-8"?>
<x:table xmlns:x="http://schemas.openxmlformats.org/spreadsheetml/2006/main" id="3" name="OutgoingInvoices" displayName="OutgoingInvoices" ref="A1:L301">
  <x:tableColumns count="12">
    <x:tableColumn id="1" name="Rechnungsdatum"/>
    <x:tableColumn id="2" name="Kunde"/>
    <x:tableColumn id="3" name="Projekt"/>
    <x:tableColumn id="4" name="Rechnungs-Nr."/>
    <x:tableColumn id="5" name="Fällig am"/>
    <x:tableColumn id="6" name="Brutto"/>
    <x:tableColumn id="7" name="Zahlungseingang"/>
    <x:tableColumn id="8" name="Offener Betrag"/>
    <x:tableColumn id="9" name="Status"/>
    <x:tableColumn id="10" name="Bezahlt am"/>
    <x:tableColumn id="11" name="Mahnstufe"/>
    <x:tableColumn id="12" name="Notiz"/>
  </x:tableColumns>
  <x:tableStyleInfo name="TableStyleMedium2" showRowStripes="1"/>
</x:table>
</file>

<file path=xl/tables/table4.xml><?xml version="1.0" encoding="utf-8"?>
<x:table xmlns:x="http://schemas.openxmlformats.org/spreadsheetml/2006/main" id="4" name="ProjectsTable" displayName="ProjectsTable" ref="A1:L201">
  <x:tableColumns count="12">
    <x:tableColumn id="1" name="Projekt-ID"/>
    <x:tableColumn id="2" name="Kunde"/>
    <x:tableColumn id="3" name="Ort"/>
    <x:tableColumn id="4" name="Projektart"/>
    <x:tableColumn id="5" name="Status"/>
    <x:tableColumn id="6" name="Auftragswert"/>
    <x:tableColumn id="7" name="Materialbudget"/>
    <x:tableColumn id="8" name="Geplanter Montagetermin"/>
    <x:tableColumn id="9" name="Rechnung gestellt"/>
    <x:tableColumn id="10" name="Zahlung vollständig"/>
    <x:tableColumn id="11" name="Verantwortlich"/>
    <x:tableColumn id="12" name="Notiz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Table" displayName="LiquidityTable" ref="A1:N19">
  <x:tableColumns count="14">
    <x:tableColumn id="1" name="Monat"/>
    <x:tableColumn id="2" name="Kontostand Anfang"/>
    <x:tableColumn id="3" name="Kundenzahlungen"/>
    <x:tableColumn id="4" name="Sonstige Einnahmen"/>
    <x:tableColumn id="5" name="Eingangsrechnungen"/>
    <x:tableColumn id="6" name="Steuern"/>
    <x:tableColumn id="7" name="Personal"/>
    <x:tableColumn id="12" name="Versicherungen"/>
    <x:tableColumn id="14" name="Finanzierung Sprinter"/>
    <x:tableColumn id="13" name="Miete"/>
    <x:tableColumn id="8" name="Privatentnahme"/>
    <x:tableColumn id="9" name="Sonstige Kosten"/>
    <x:tableColumn id="10" name="Kontostand Ende"/>
    <x:tableColumn id="11" name="Warn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18eedc3dc1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13154047843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a839af15274f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5e414f618744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1902a9d24f4b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09c10a51d3545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b2bbfa0bf03643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d3837a7127224fc4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20" customWidth="1"/>
    <x:col min="2" max="2" width="22" customWidth="1"/>
    <x:col min="3" max="5" width="18" customWidth="1"/>
    <x:col min="6" max="6" width="22" customWidth="1"/>
    <x:col min="7" max="7" width="34.69921875" customWidth="1"/>
    <x:col min="9" max="9" width="12.59765625" customWidth="1"/>
  </x:cols>
  <x:sheetData>
    <x:row r="1" ht="24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/>
      <x:c r="F1" s="8" t="s">
        <x:v>4</x:v>
      </x:c>
      <x:c r="G1" s="8" t="s">
        <x:v>5</x:v>
      </x:c>
      <x:c r="H1" s="1"/>
      <x:c r="I1" s="163" t="s">
        <x:v>1</x:v>
      </x:c>
      <x:c r="J1" s="163" t="s">
        <x:v>6</x:v>
      </x:c>
      <x:c r="K1" s="1"/>
      <x:c r="L1" s="1"/>
      <x:c r="M1" s="1"/>
      <x:c r="N1" s="1"/>
      <x:c r="O1" s="1"/>
    </x:row>
    <x:row r="2">
      <x:c r="A2" s="16" t="s">
        <x:v>7</x:v>
      </x:c>
      <x:c r="B2" s="17" t="s">
        <x:v>8</x:v>
      </x:c>
      <x:c r="C2" s="17" t="s">
        <x:v>9</x:v>
      </x:c>
      <x:c r="D2" s="17" t="s">
        <x:v>10</x:v>
      </x:c>
      <x:c r="E2" s="17"/>
      <x:c r="F2" s="17" t="s">
        <x:v>11</x:v>
      </x:c>
      <x:c r="G2" s="18">
        <x:v>10000</x:v>
      </x:c>
      <x:c r="H2" s="1"/>
      <x:c r="I2" s="164" t="s">
        <x:v>8</x:v>
      </x:c>
      <x:c r="J2" s="165">
        <x:v>0.05</x:v>
      </x:c>
      <x:c r="K2" s="1"/>
      <x:c r="L2" s="1"/>
      <x:c r="M2" s="1"/>
      <x:c r="N2" s="1"/>
      <x:c r="O2" s="1"/>
    </x:row>
    <x:row r="3">
      <x:c r="A3" s="9" t="s">
        <x:v>12</x:v>
      </x:c>
      <x:c r="B3" s="10" t="s">
        <x:v>13</x:v>
      </x:c>
      <x:c r="C3" s="10" t="s">
        <x:v>14</x:v>
      </x:c>
      <x:c r="D3" s="10" t="s">
        <x:v>15</x:v>
      </x:c>
      <x:c r="E3" s="10"/>
      <x:c r="F3" s="10" t="s">
        <x:v>16</x:v>
      </x:c>
      <x:c r="G3" s="11">
        <x:v>5000</x:v>
      </x:c>
      <x:c r="H3" s="1"/>
      <x:c r="I3" s="164" t="s">
        <x:v>13</x:v>
      </x:c>
      <x:c r="J3" s="165">
        <x:v>0.15</x:v>
      </x:c>
      <x:c r="K3" s="1"/>
      <x:c r="L3" s="1"/>
      <x:c r="M3" s="1"/>
      <x:c r="N3" s="1"/>
      <x:c r="O3" s="1"/>
    </x:row>
    <x:row r="4">
      <x:c r="A4" s="19" t="s">
        <x:v>17</x:v>
      </x:c>
      <x:c r="B4" s="20" t="s">
        <x:v>18</x:v>
      </x:c>
      <x:c r="C4" s="20" t="s">
        <x:v>19</x:v>
      </x:c>
      <x:c r="D4" s="20"/>
      <x:c r="E4" s="20"/>
      <x:c r="F4" s="20" t="s">
        <x:v>20</x:v>
      </x:c>
      <x:c r="G4" s="21">
        <x:v>46204</x:v>
      </x:c>
      <x:c r="H4" s="1"/>
      <x:c r="I4" s="164" t="s">
        <x:v>18</x:v>
      </x:c>
      <x:c r="J4" s="165">
        <x:v>0.3</x:v>
      </x:c>
      <x:c r="K4" s="1"/>
      <x:c r="L4" s="1"/>
      <x:c r="M4" s="1"/>
      <x:c r="N4" s="1"/>
      <x:c r="O4" s="1"/>
    </x:row>
    <x:row r="5" ht="27.600000381469727">
      <x:c r="A5" s="9"/>
      <x:c r="B5" s="10" t="s">
        <x:v>21</x:v>
      </x:c>
      <x:c r="C5" s="10" t="s">
        <x:v>22</x:v>
      </x:c>
      <x:c r="D5" s="10"/>
      <x:c r="E5" s="10"/>
      <x:c r="F5" s="10" t="s">
        <x:v>23</x:v>
      </x:c>
      <x:c r="G5" s="28">
        <x:v>49674</x:v>
      </x:c>
      <x:c r="H5" s="1"/>
      <x:c r="I5" s="164" t="s">
        <x:v>21</x:v>
      </x:c>
      <x:c r="J5" s="165">
        <x:v>0.5</x:v>
      </x:c>
      <x:c r="K5" s="1"/>
      <x:c r="L5" s="1"/>
      <x:c r="M5" s="1"/>
      <x:c r="N5" s="1"/>
      <x:c r="O5" s="1"/>
    </x:row>
    <x:row r="6" ht="27.600000381469727">
      <x:c r="A6" s="19"/>
      <x:c r="B6" s="20" t="s">
        <x:v>24</x:v>
      </x:c>
      <x:c r="C6" s="20" t="s">
        <x:v>25</x:v>
      </x:c>
      <x:c r="D6" s="20"/>
      <x:c r="E6" s="20"/>
      <x:c r="F6" s="20" t="s">
        <x:v>26</x:v>
      </x:c>
      <x:c r="G6" s="22" t="s">
        <x:v>10</x:v>
      </x:c>
      <x:c r="H6" s="1"/>
      <x:c r="I6" s="164" t="s">
        <x:v>24</x:v>
      </x:c>
      <x:c r="J6" s="165">
        <x:v>0.65</x:v>
      </x:c>
      <x:c r="K6" s="1"/>
      <x:c r="L6" s="1"/>
      <x:c r="M6" s="1"/>
      <x:c r="N6" s="1"/>
      <x:c r="O6" s="1"/>
    </x:row>
    <x:row r="7" ht="27.600000381469727">
      <x:c r="A7" s="9"/>
      <x:c r="B7" s="10" t="s">
        <x:v>27</x:v>
      </x:c>
      <x:c r="C7" s="10" t="s">
        <x:v>28</x:v>
      </x:c>
      <x:c r="D7" s="10"/>
      <x:c r="E7" s="10"/>
      <x:c r="F7" s="10"/>
      <x:c r="G7" s="13"/>
      <x:c r="H7" s="1"/>
      <x:c r="I7" s="164" t="s">
        <x:v>27</x:v>
      </x:c>
      <x:c r="J7" s="165">
        <x:v>0.85</x:v>
      </x:c>
      <x:c r="K7" s="1"/>
      <x:c r="L7" s="1"/>
      <x:c r="M7" s="1"/>
      <x:c r="N7" s="1"/>
      <x:c r="O7" s="1"/>
    </x:row>
    <x:row r="8" ht="27.600000381469727">
      <x:c r="A8" s="19"/>
      <x:c r="B8" s="20" t="s">
        <x:v>29</x:v>
      </x:c>
      <x:c r="C8" s="20" t="s">
        <x:v>30</x:v>
      </x:c>
      <x:c r="D8" s="20"/>
      <x:c r="E8" s="20"/>
      <x:c r="F8" s="23" t="s">
        <x:v>31</x:v>
      </x:c>
      <x:c r="G8" s="22" t="s">
        <x:v>32</x:v>
      </x:c>
      <x:c r="H8" s="1"/>
      <x:c r="I8" s="164" t="s">
        <x:v>29</x:v>
      </x:c>
      <x:c r="J8" s="165">
        <x:v>0.95</x:v>
      </x:c>
      <x:c r="K8" s="1"/>
      <x:c r="L8" s="1"/>
      <x:c r="M8" s="1"/>
      <x:c r="N8" s="1"/>
      <x:c r="O8" s="1"/>
    </x:row>
    <x:row r="9" ht="27.600000381469727">
      <x:c r="A9" s="9"/>
      <x:c r="B9" s="10" t="s">
        <x:v>33</x:v>
      </x:c>
      <x:c r="C9" s="10" t="s">
        <x:v>34</x:v>
      </x:c>
      <x:c r="D9" s="10"/>
      <x:c r="E9" s="10"/>
      <x:c r="F9" s="14" t="s">
        <x:v>35</x:v>
      </x:c>
      <x:c r="G9" s="15" t="s">
        <x:v>36</x:v>
      </x:c>
      <x:c r="H9" s="1"/>
      <x:c r="I9" s="164" t="s">
        <x:v>33</x:v>
      </x:c>
      <x:c r="J9" s="165">
        <x:v>1</x:v>
      </x:c>
      <x:c r="K9" s="1"/>
      <x:c r="L9" s="1"/>
      <x:c r="M9" s="1"/>
      <x:c r="N9" s="1"/>
      <x:c r="O9" s="1"/>
    </x:row>
    <x:row r="10">
      <x:c r="A10" s="24"/>
      <x:c r="B10" s="25"/>
      <x:c r="C10" s="25" t="s">
        <x:v>37</x:v>
      </x:c>
      <x:c r="D10" s="25"/>
      <x:c r="E10" s="25"/>
      <x:c r="F10" s="26" t="s">
        <x:v>26</x:v>
      </x:c>
      <x:c r="G10" s="27" t="s">
        <x:v>38</x:v>
      </x:c>
      <x:c r="H10" s="1"/>
      <x:c r="I10" s="1"/>
      <x:c r="J10" s="1"/>
      <x:c r="K10" s="1"/>
      <x:c r="L10" s="1"/>
      <x:c r="M10" s="1"/>
      <x:c r="N10" s="1"/>
      <x:c r="O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/>
      <x:c r="E12" s="1"/>
      <x:c r="F12" s="182" t="s">
        <x:v>39</x:v>
      </x:c>
      <x:c r="G12" s="182" t="s">
        <x:v>40</x:v>
      </x:c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83" t="s">
        <x:v>41</x:v>
      </x:c>
      <x:c r="G13" s="184">
        <x:v>46221</x:v>
      </x:c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83" t="s">
        <x:v>42</x:v>
      </x:c>
      <x:c r="G14" s="155" t="s">
        <x:v>43</x:v>
      </x:c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83" t="s">
        <x:v>44</x:v>
      </x:c>
      <x:c r="G15" s="155" t="s">
        <x:v>45</x:v>
      </x:c>
      <x:c r="H15" s="1"/>
      <x:c r="I15" s="1"/>
      <x:c r="J15" s="1"/>
      <x:c r="K15" s="1"/>
      <x:c r="L15" s="1"/>
      <x:c r="M15" s="1"/>
      <x:c r="N15" s="1"/>
      <x:c r="O15" s="1"/>
    </x:row>
    <x:row r="16" ht="27.600000381469727">
      <x:c r="A16" s="1"/>
      <x:c r="B16" s="1"/>
      <x:c r="C16" s="1"/>
      <x:c r="D16" s="1"/>
      <x:c r="E16" s="1"/>
      <x:c r="F16" s="183" t="s">
        <x:v>46</x:v>
      </x:c>
      <x:c r="G16" s="5" t="s">
        <x:v>47</x:v>
      </x:c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6" t="s">
        <x:v>48</x:v>
      </x:c>
      <x:c r="G17" s="5" t="s">
        <x:v>49</x:v>
      </x:c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6" t="s">
        <x:v>50</x:v>
      </x:c>
      <x:c r="G18" s="5" t="s">
        <x:v>51</x:v>
      </x:c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6" t="s">
        <x:v>52</x:v>
      </x:c>
      <x:c r="G19" s="165">
        <x:v>0.25</x:v>
      </x:c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6" t="s">
        <x:v>53</x:v>
      </x:c>
      <x:c r="G20" s="5" t="s">
        <x:v>54</x:v>
      </x:c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16" customWidth="1"/>
    <x:col min="2" max="2" width="14" customWidth="1"/>
    <x:col min="3" max="3" width="36" customWidth="1"/>
    <x:col min="4" max="4" width="16" customWidth="1"/>
    <x:col min="5" max="5" width="13" customWidth="1"/>
    <x:col min="6" max="6" width="14" customWidth="1"/>
    <x:col min="7" max="7" width="34" customWidth="1"/>
    <x:col min="8" max="8" width="18" customWidth="1"/>
    <x:col min="11" max="12" width="18" customWidth="1"/>
    <x:col min="15" max="15" width="18" customWidth="1"/>
  </x:cols>
  <x:sheetData>
    <x:row r="1" ht="24" customHeight="1">
      <x:c r="A1" s="8" t="s">
        <x:v>55</x:v>
      </x:c>
      <x:c r="B1" s="8" t="s">
        <x:v>56</x:v>
      </x:c>
      <x:c r="C1" s="8" t="s">
        <x:v>57</x:v>
      </x:c>
      <x:c r="D1" s="8" t="s">
        <x:v>58</x:v>
      </x:c>
      <x:c r="E1" s="8" t="s">
        <x:v>42</x:v>
      </x:c>
      <x:c r="F1" s="8" t="s">
        <x:v>59</x:v>
      </x:c>
      <x:c r="G1" s="8" t="s">
        <x:v>46</x:v>
      </x:c>
      <x:c r="H1" s="8" t="s">
        <x:v>60</x:v>
      </x:c>
      <x:c r="I1" s="1"/>
      <x:c r="J1" s="1"/>
      <x:c r="K1" s="1"/>
      <x:c r="L1" s="1"/>
      <x:c r="M1" s="1"/>
      <x:c r="N1" s="1"/>
      <x:c r="O1" s="1"/>
    </x:row>
    <x:row r="2">
      <x:c r="A2" s="34" t="s">
        <x:v>61</x:v>
      </x:c>
      <x:c r="B2" s="34">
        <x:v>46248</x:v>
      </x:c>
      <x:c r="C2" s="17" t="s">
        <x:v>62</x:v>
      </x:c>
      <x:c r="D2" s="39">
        <x:v>10162.48</x:v>
      </x:c>
      <x:c r="E2" s="17" t="s">
        <x:v>7</x:v>
      </x:c>
      <x:c r="F2" s="32"/>
      <x:c r="G2" s="17" t="s">
        <x:v>63</x:v>
      </x:c>
      <x:c r="H2" s="33" t="n">
        <x:f t="shared" ref="H2:H14" si="0">IF(AND(E2="Offen",B2&gt;=TODAY()),B2,"")</x:f>
        <x:v>46248</x:v>
      </x:c>
      <x:c r="I2" s="1"/>
      <x:c r="J2" s="1"/>
      <x:c r="K2" s="1"/>
      <x:c r="L2" s="1"/>
      <x:c r="M2" s="1"/>
      <x:c r="N2" s="1"/>
      <x:c r="O2" s="1"/>
    </x:row>
    <x:row r="3">
      <x:c r="A3" s="28" t="s">
        <x:v>61</x:v>
      </x:c>
      <x:c r="B3" s="28">
        <x:v>46248</x:v>
      </x:c>
      <x:c r="C3" s="10" t="s">
        <x:v>64</x:v>
      </x:c>
      <x:c r="D3" s="38">
        <x:v>1925</x:v>
      </x:c>
      <x:c r="E3" s="10" t="s">
        <x:v>7</x:v>
      </x:c>
      <x:c r="F3" s="28"/>
      <x:c r="G3" s="10" t="s">
        <x:v>65</x:v>
      </x:c>
      <x:c r="H3" s="12">
        <x:f t="shared" si="0"/>
        <x:v>46248</x:v>
      </x:c>
      <x:c r="I3" s="1"/>
      <x:c r="J3" s="1"/>
      <x:c r="K3" s="1"/>
      <x:c r="L3" s="1"/>
      <x:c r="M3" s="1"/>
      <x:c r="N3" s="1"/>
      <x:c r="O3" s="1"/>
    </x:row>
    <x:row r="4" ht="26.399999618530273">
      <x:c r="A4" s="34" t="s">
        <x:v>61</x:v>
      </x:c>
      <x:c r="B4" s="34">
        <x:v>46249</x:v>
      </x:c>
      <x:c r="C4" s="20" t="s">
        <x:v>66</x:v>
      </x:c>
      <x:c r="D4" s="39">
        <x:v>435</x:v>
      </x:c>
      <x:c r="E4" s="20" t="s">
        <x:v>7</x:v>
      </x:c>
      <x:c r="F4" s="34"/>
      <x:c r="G4" s="20" t="s">
        <x:v>67</x:v>
      </x:c>
      <x:c r="H4" s="21">
        <x:f t="shared" si="0"/>
        <x:v>46249</x:v>
      </x:c>
      <x:c r="I4" s="1"/>
      <x:c r="J4" s="1"/>
      <x:c r="K4" s="1"/>
      <x:c r="L4" s="1"/>
      <x:c r="M4" s="1"/>
      <x:c r="N4" s="1"/>
      <x:c r="O4" s="1"/>
    </x:row>
    <x:row r="5" ht="26.399999618530273">
      <x:c r="A5" s="28" t="s">
        <x:v>61</x:v>
      </x:c>
      <x:c r="B5" s="28">
        <x:v>46254</x:v>
      </x:c>
      <x:c r="C5" s="10" t="s">
        <x:v>68</x:v>
      </x:c>
      <x:c r="D5" s="38">
        <x:v>2616</x:v>
      </x:c>
      <x:c r="E5" s="10" t="s">
        <x:v>7</x:v>
      </x:c>
      <x:c r="F5" s="28"/>
      <x:c r="G5" s="10" t="s">
        <x:v>69</x:v>
      </x:c>
      <x:c r="H5" s="12">
        <x:f t="shared" si="0"/>
        <x:v>46254</x:v>
      </x:c>
      <x:c r="I5" s="1"/>
      <x:c r="J5" s="1"/>
      <x:c r="K5" s="1"/>
      <x:c r="L5" s="1"/>
      <x:c r="M5" s="1"/>
      <x:c r="N5" s="1"/>
      <x:c r="O5" s="1"/>
    </x:row>
    <x:row r="6">
      <x:c r="A6" s="34" t="s">
        <x:v>70</x:v>
      </x:c>
      <x:c r="B6" s="34">
        <x:v>46275</x:v>
      </x:c>
      <x:c r="C6" s="20" t="s">
        <x:v>71</x:v>
      </x:c>
      <x:c r="D6" s="39">
        <x:v>5731</x:v>
      </x:c>
      <x:c r="E6" s="20" t="s">
        <x:v>7</x:v>
      </x:c>
      <x:c r="F6" s="34"/>
      <x:c r="G6" s="20" t="s">
        <x:v>72</x:v>
      </x:c>
      <x:c r="H6" s="21">
        <x:f t="shared" si="0"/>
        <x:v>46275</x:v>
      </x:c>
      <x:c r="I6" s="1"/>
      <x:c r="J6" s="1"/>
      <x:c r="K6" s="1"/>
      <x:c r="L6" s="1"/>
      <x:c r="M6" s="1"/>
      <x:c r="N6" s="1"/>
      <x:c r="O6" s="1"/>
    </x:row>
    <x:row r="7" ht="26.399999618530273">
      <x:c r="A7" s="28" t="n">
        <x:f>'USt-Monatsübersicht'!A2</x:f>
        <x:v>46204</x:v>
      </x:c>
      <x:c r="B7" s="28" t="n">
        <x:f>'USt-Monatsübersicht'!B2</x:f>
        <x:v>46275</x:v>
      </x:c>
      <x:c r="C7" s="10" t="str">
        <x:f>"USt-VA "&amp;TEXT('USt-Monatsübersicht'!A2,"mmmm yyyy")</x:f>
        <x:v>USt-VA July 2026</x:v>
      </x:c>
      <x:c r="D7" s="38" t="n">
        <x:f>'USt-Monatsübersicht'!F2</x:f>
        <x:v>1680.3200000000006</x:v>
      </x:c>
      <x:c r="E7" s="10" t="str">
        <x:f>'USt-Monatsübersicht'!G2</x:f>
        <x:v>Offen</x:v>
      </x:c>
      <x:c r="F7" s="28" t="n">
        <x:f>'USt-Monatsübersicht'!H2</x:f>
        <x:v>0</x:v>
      </x:c>
      <x:c r="G7" s="10" t="str">
        <x:f>IF('USt-Monatsübersicht'!E2&lt;0,"Erstattung "&amp;TEXT(ABS('USt-Monatsübersicht'!E2),"#.##0,00 €"),"Monatliche USt-VA mit Dauerfristverlängerung")</x:f>
        <x:v>Monatliche USt-VA mit Dauerfristverlängerung</x:v>
      </x:c>
      <x:c r="H7" s="12">
        <x:f t="shared" si="0"/>
        <x:v>46275</x:v>
      </x:c>
      <x:c r="I7" s="1"/>
      <x:c r="J7" s="1"/>
      <x:c r="K7" s="1"/>
      <x:c r="L7" s="1"/>
      <x:c r="M7" s="1"/>
      <x:c r="N7" s="1"/>
      <x:c r="O7" s="1"/>
    </x:row>
    <x:row r="8">
      <x:c r="A8" s="34" t="s">
        <x:v>70</x:v>
      </x:c>
      <x:c r="B8" s="34">
        <x:v>46279</x:v>
      </x:c>
      <x:c r="C8" s="20" t="s">
        <x:v>64</x:v>
      </x:c>
      <x:c r="D8" s="39">
        <x:v>1925</x:v>
      </x:c>
      <x:c r="E8" s="20" t="s">
        <x:v>7</x:v>
      </x:c>
      <x:c r="F8" s="34"/>
      <x:c r="G8" s="20" t="s">
        <x:v>65</x:v>
      </x:c>
      <x:c r="H8" s="21">
        <x:f t="shared" si="0"/>
        <x:v>46279</x:v>
      </x:c>
      <x:c r="I8" s="1"/>
      <x:c r="J8" s="1"/>
      <x:c r="K8" s="1"/>
      <x:c r="L8" s="1"/>
      <x:c r="M8" s="1"/>
      <x:c r="N8" s="1"/>
      <x:c r="O8" s="1"/>
    </x:row>
    <x:row r="9" ht="26.399999618530273">
      <x:c r="A9" s="28" t="n">
        <x:f>'USt-Monatsübersicht'!A3</x:f>
        <x:v>46235</x:v>
      </x:c>
      <x:c r="B9" s="28" t="n">
        <x:f>'USt-Monatsübersicht'!B3</x:f>
        <x:v>46305</x:v>
      </x:c>
      <x:c r="C9" s="10" t="str">
        <x:f>"USt-VA "&amp;TEXT('USt-Monatsübersicht'!A3,"mmmm yyyy")</x:f>
        <x:v>USt-VA August 2026</x:v>
      </x:c>
      <x:c r="D9" s="38" t="n">
        <x:f>'USt-Monatsübersicht'!F3</x:f>
        <x:v>0</x:v>
      </x:c>
      <x:c r="E9" s="10" t="str">
        <x:f>'USt-Monatsübersicht'!G3</x:f>
        <x:v>Offen</x:v>
      </x:c>
      <x:c r="F9" s="28" t="n">
        <x:f>'USt-Monatsübersicht'!H3</x:f>
        <x:v>0</x:v>
      </x:c>
      <x:c r="G9" s="10" t="str">
        <x:f>IF('USt-Monatsübersicht'!E3&lt;0,"Erstattung "&amp;TEXT(ABS('USt-Monatsübersicht'!E3),"#.##0,00 €"),"Monatliche USt-VA mit Dauerfristverlängerung")</x:f>
        <x:v>Monatliche USt-VA mit Dauerfristverlängerung</x:v>
      </x:c>
      <x:c r="H9" s="12">
        <x:f t="shared" si="0"/>
        <x:v>46305</x:v>
      </x:c>
      <x:c r="I9" s="1"/>
      <x:c r="J9" s="1"/>
      <x:c r="K9" s="1"/>
      <x:c r="L9" s="1"/>
      <x:c r="M9" s="1"/>
      <x:c r="N9" s="1"/>
      <x:c r="O9" s="1"/>
    </x:row>
    <x:row r="10">
      <x:c r="A10" s="34" t="s">
        <x:v>73</x:v>
      </x:c>
      <x:c r="B10" s="34">
        <x:v>46309</x:v>
      </x:c>
      <x:c r="C10" s="20" t="s">
        <x:v>64</x:v>
      </x:c>
      <x:c r="D10" s="39">
        <x:v>1925</x:v>
      </x:c>
      <x:c r="E10" s="20" t="s">
        <x:v>7</x:v>
      </x:c>
      <x:c r="F10" s="34"/>
      <x:c r="G10" s="20" t="s">
        <x:v>65</x:v>
      </x:c>
      <x:c r="H10" s="21">
        <x:f t="shared" si="0"/>
        <x:v>46309</x:v>
      </x:c>
      <x:c r="I10" s="1"/>
      <x:c r="J10" s="1"/>
      <x:c r="K10" s="1"/>
      <x:c r="L10" s="1"/>
      <x:c r="M10" s="1"/>
      <x:c r="N10" s="1"/>
      <x:c r="O10" s="1"/>
    </x:row>
    <x:row r="11" ht="26.399999618530273">
      <x:c r="A11" s="28" t="n">
        <x:f>'USt-Monatsübersicht'!A4</x:f>
        <x:v>46266</x:v>
      </x:c>
      <x:c r="B11" s="28" t="n">
        <x:f>'USt-Monatsübersicht'!B4</x:f>
        <x:v>46336</x:v>
      </x:c>
      <x:c r="C11" s="10" t="str">
        <x:f>"USt-VA "&amp;TEXT('USt-Monatsübersicht'!A4,"mmmm yyyy")</x:f>
        <x:v>USt-VA September 2026</x:v>
      </x:c>
      <x:c r="D11" s="38" t="n">
        <x:f>'USt-Monatsübersicht'!F4</x:f>
        <x:v>0</x:v>
      </x:c>
      <x:c r="E11" s="10" t="str">
        <x:f>'USt-Monatsübersicht'!G4</x:f>
        <x:v>Offen</x:v>
      </x:c>
      <x:c r="F11" s="28" t="n">
        <x:f>'USt-Monatsübersicht'!H4</x:f>
        <x:v>0</x:v>
      </x:c>
      <x:c r="G11" s="10" t="str">
        <x:f>IF('USt-Monatsübersicht'!E4&lt;0,"Erstattung "&amp;TEXT(ABS('USt-Monatsübersicht'!E4),"#.##0,00 €"),"Monatliche USt-VA mit Dauerfristverlängerung")</x:f>
        <x:v>Monatliche USt-VA mit Dauerfristverlängerung</x:v>
      </x:c>
      <x:c r="H11" s="12">
        <x:f t="shared" si="0"/>
        <x:v>46336</x:v>
      </x:c>
      <x:c r="I11" s="1"/>
      <x:c r="J11" s="1"/>
      <x:c r="K11" s="1"/>
      <x:c r="L11" s="1"/>
      <x:c r="M11" s="1"/>
      <x:c r="N11" s="1"/>
      <x:c r="O11" s="1"/>
    </x:row>
    <x:row r="12">
      <x:c r="A12" s="34" t="s">
        <x:v>74</x:v>
      </x:c>
      <x:c r="B12" s="34">
        <x:v>46340</x:v>
      </x:c>
      <x:c r="C12" s="20" t="s">
        <x:v>64</x:v>
      </x:c>
      <x:c r="D12" s="39">
        <x:v>1925</x:v>
      </x:c>
      <x:c r="E12" s="20" t="s">
        <x:v>7</x:v>
      </x:c>
      <x:c r="F12" s="34"/>
      <x:c r="G12" s="20" t="s">
        <x:v>65</x:v>
      </x:c>
      <x:c r="H12" s="21">
        <x:f t="shared" si="0"/>
        <x:v>46340</x:v>
      </x:c>
      <x:c r="I12" s="1"/>
      <x:c r="J12" s="1"/>
      <x:c r="K12" s="1"/>
      <x:c r="L12" s="1"/>
      <x:c r="M12" s="1"/>
      <x:c r="N12" s="1"/>
      <x:c r="O12" s="1"/>
    </x:row>
    <x:row r="13" ht="26.399999618530273">
      <x:c r="A13" s="28" t="s">
        <x:v>74</x:v>
      </x:c>
      <x:c r="B13" s="28">
        <x:v>46341</x:v>
      </x:c>
      <x:c r="C13" s="10" t="s">
        <x:v>66</x:v>
      </x:c>
      <x:c r="D13" s="38">
        <x:v>435</x:v>
      </x:c>
      <x:c r="E13" s="10" t="s">
        <x:v>7</x:v>
      </x:c>
      <x:c r="F13" s="28"/>
      <x:c r="G13" s="10" t="s">
        <x:v>75</x:v>
      </x:c>
      <x:c r="H13" s="12">
        <x:f t="shared" si="0"/>
        <x:v>46341</x:v>
      </x:c>
      <x:c r="I13" s="1"/>
      <x:c r="J13" s="1"/>
      <x:c r="K13" s="1"/>
      <x:c r="L13" s="1"/>
      <x:c r="M13" s="1"/>
      <x:c r="N13" s="1"/>
      <x:c r="O13" s="1"/>
    </x:row>
    <x:row r="14">
      <x:c r="A14" s="34" t="s">
        <x:v>76</x:v>
      </x:c>
      <x:c r="B14" s="34">
        <x:v>46366</x:v>
      </x:c>
      <x:c r="C14" s="20" t="s">
        <x:v>71</x:v>
      </x:c>
      <x:c r="D14" s="39">
        <x:v>5731</x:v>
      </x:c>
      <x:c r="E14" s="20" t="s">
        <x:v>7</x:v>
      </x:c>
      <x:c r="F14" s="34"/>
      <x:c r="G14" s="20" t="s">
        <x:v>72</x:v>
      </x:c>
      <x:c r="H14" s="21">
        <x:f t="shared" si="0"/>
        <x:v>46366</x:v>
      </x:c>
      <x:c r="I14" s="1"/>
      <x:c r="J14" s="1"/>
      <x:c r="K14" s="1"/>
      <x:c r="L14" s="1"/>
      <x:c r="M14" s="1"/>
      <x:c r="N14" s="1"/>
      <x:c r="O14" s="1"/>
    </x:row>
    <x:row r="15" ht="26.399999618530273">
      <x:c r="A15" s="29" t="n">
        <x:f>'USt-Monatsübersicht'!A5</x:f>
        <x:v>46296</x:v>
      </x:c>
      <x:c r="B15" s="29" t="n">
        <x:f>'USt-Monatsübersicht'!B5</x:f>
        <x:v>46366</x:v>
      </x:c>
      <x:c r="C15" s="30" t="str">
        <x:f>"USt-VA "&amp;TEXT('USt-Monatsübersicht'!A5,"mmmm yyyy")</x:f>
        <x:v>USt-VA October 2026</x:v>
      </x:c>
      <x:c r="D15" s="40" t="n">
        <x:f>'USt-Monatsübersicht'!F5</x:f>
        <x:v>0</x:v>
      </x:c>
      <x:c r="E15" s="30" t="str">
        <x:f>'USt-Monatsübersicht'!G5</x:f>
        <x:v>Offen</x:v>
      </x:c>
      <x:c r="F15" s="29" t="n">
        <x:f>'USt-Monatsübersicht'!H5</x:f>
        <x:v>0</x:v>
      </x:c>
      <x:c r="G15" s="30" t="str">
        <x:f>IF('USt-Monatsübersicht'!E5&lt;0,"Erstattung "&amp;TEXT(ABS('USt-Monatsübersicht'!E5),"#.##0,00 €"),"Monatliche USt-VA mit Dauerfristverlängerung")</x:f>
        <x:v>Monatliche USt-VA mit Dauerfristverlängerung</x:v>
      </x:c>
      <x:c r="H15" s="31" t="str">
        <x:f>IF(AND(E15="Offen",B15&gt;=TODAY(),D15&gt;0),B15,"")</x:f>
      </x:c>
      <x:c r="I15" s="1"/>
      <x:c r="J15" s="1"/>
      <x:c r="K15" s="1"/>
      <x:c r="L15" s="1"/>
      <x:c r="M15" s="1"/>
      <x:c r="N15" s="1"/>
      <x:c r="O15" s="1"/>
    </x:row>
    <x:row r="16">
      <x:c r="A16" s="34" t="s">
        <x:v>76</x:v>
      </x:c>
      <x:c r="B16" s="34">
        <x:v>46370</x:v>
      </x:c>
      <x:c r="C16" s="20" t="s">
        <x:v>64</x:v>
      </x:c>
      <x:c r="D16" s="39">
        <x:v>1925</x:v>
      </x:c>
      <x:c r="E16" s="20" t="s">
        <x:v>7</x:v>
      </x:c>
      <x:c r="F16" s="34"/>
      <x:c r="G16" s="20" t="s">
        <x:v>65</x:v>
      </x:c>
      <x:c r="H16" s="21">
        <x:v>46370</x:v>
      </x:c>
      <x:c r="I16" s="1"/>
      <x:c r="J16" s="1"/>
      <x:c r="K16" s="1"/>
      <x:c r="L16" s="1"/>
      <x:c r="M16" s="1"/>
      <x:c r="N16" s="1"/>
      <x:c r="O16" s="1"/>
    </x:row>
    <x:row r="17" ht="26.399999618530273">
      <x:c r="A17" s="28" t="n">
        <x:f>'USt-Monatsübersicht'!A6</x:f>
        <x:v>46327</x:v>
      </x:c>
      <x:c r="B17" s="28" t="n">
        <x:f>'USt-Monatsübersicht'!B6</x:f>
        <x:v>46397</x:v>
      </x:c>
      <x:c r="C17" s="10" t="str">
        <x:f>"USt-VA "&amp;TEXT('USt-Monatsübersicht'!A6,"mmmm yyyy")</x:f>
        <x:v>USt-VA November 2026</x:v>
      </x:c>
      <x:c r="D17" s="38" t="n">
        <x:f>'USt-Monatsübersicht'!F6</x:f>
        <x:v>0</x:v>
      </x:c>
      <x:c r="E17" s="10" t="str">
        <x:f>'USt-Monatsübersicht'!G6</x:f>
        <x:v>Offen</x:v>
      </x:c>
      <x:c r="F17" s="28" t="n">
        <x:f>'USt-Monatsübersicht'!H6</x:f>
        <x:v>0</x:v>
      </x:c>
      <x:c r="G17" s="10" t="str">
        <x:f>IF('USt-Monatsübersicht'!E6&lt;0,"Erstattung "&amp;TEXT(ABS('USt-Monatsübersicht'!E6),"#.##0,00 €"),"Monatliche USt-VA mit Dauerfristverlängerung")</x:f>
        <x:v>Monatliche USt-VA mit Dauerfristverlängerung</x:v>
      </x:c>
      <x:c r="H17" s="12" t="str">
        <x:f>IF(AND(E17="Offen",B17&gt;=TODAY(),D17&gt;0),B17,"")</x:f>
      </x:c>
      <x:c r="I17" s="1"/>
      <x:c r="J17" s="1"/>
      <x:c r="K17" s="1"/>
      <x:c r="L17" s="1"/>
      <x:c r="M17" s="1"/>
      <x:c r="N17" s="1"/>
      <x:c r="O17" s="1"/>
    </x:row>
    <x:row r="18">
      <x:c r="A18" s="34" t="s">
        <x:v>77</x:v>
      </x:c>
      <x:c r="B18" s="34">
        <x:v>46401</x:v>
      </x:c>
      <x:c r="C18" s="20" t="s">
        <x:v>78</x:v>
      </x:c>
      <x:c r="D18" s="39">
        <x:v>2058</x:v>
      </x:c>
      <x:c r="E18" s="20" t="s">
        <x:v>7</x:v>
      </x:c>
      <x:c r="F18" s="34"/>
      <x:c r="G18" s="20" t="s">
        <x:v>79</x:v>
      </x:c>
      <x:c r="H18" s="21">
        <x:v>46401</x:v>
      </x:c>
      <x:c r="I18" s="1"/>
      <x:c r="J18" s="1"/>
      <x:c r="K18" s="1"/>
      <x:c r="L18" s="1"/>
      <x:c r="M18" s="1"/>
      <x:c r="N18" s="1"/>
      <x:c r="O18" s="1"/>
    </x:row>
    <x:row r="19" ht="26.399999618530273">
      <x:c r="A19" s="28" t="n">
        <x:f>'USt-Monatsübersicht'!A7</x:f>
        <x:v>46357</x:v>
      </x:c>
      <x:c r="B19" s="28" t="n">
        <x:f>'USt-Monatsübersicht'!B7</x:f>
        <x:v>46428</x:v>
      </x:c>
      <x:c r="C19" s="10" t="str">
        <x:f>"USt-VA "&amp;TEXT('USt-Monatsübersicht'!A7,"mmmm yyyy")</x:f>
        <x:v>USt-VA December 2026</x:v>
      </x:c>
      <x:c r="D19" s="38" t="n">
        <x:f>'USt-Monatsübersicht'!F7</x:f>
        <x:v>0</x:v>
      </x:c>
      <x:c r="E19" s="10" t="str">
        <x:f>'USt-Monatsübersicht'!G7</x:f>
        <x:v>Offen</x:v>
      </x:c>
      <x:c r="F19" s="28" t="n">
        <x:f>'USt-Monatsübersicht'!H7</x:f>
        <x:v>0</x:v>
      </x:c>
      <x:c r="G19" s="10" t="str">
        <x:f>IF('USt-Monatsübersicht'!E7&lt;0,"Erstattung "&amp;TEXT(ABS('USt-Monatsübersicht'!E7),"#.##0,00 €"),"Monatliche USt-VA mit Dauerfristverlängerung")</x:f>
        <x:v>Monatliche USt-VA mit Dauerfristverlängerung</x:v>
      </x:c>
      <x:c r="H19" s="12" t="str">
        <x:f>IF(AND(E19="Offen",B19&gt;=TODAY(),D19&gt;0),B19,"")</x:f>
      </x:c>
      <x:c r="I19" s="1"/>
      <x:c r="J19" s="1"/>
      <x:c r="K19" s="1"/>
      <x:c r="L19" s="1"/>
      <x:c r="M19" s="1"/>
      <x:c r="N19" s="1"/>
      <x:c r="O19" s="1"/>
    </x:row>
    <x:row r="20">
      <x:c r="A20" s="34" t="s">
        <x:v>80</x:v>
      </x:c>
      <x:c r="B20" s="34">
        <x:v>46456</x:v>
      </x:c>
      <x:c r="C20" s="20" t="s">
        <x:v>81</x:v>
      </x:c>
      <x:c r="D20" s="39">
        <x:v>2865</x:v>
      </x:c>
      <x:c r="E20" s="20" t="s">
        <x:v>7</x:v>
      </x:c>
      <x:c r="F20" s="34"/>
      <x:c r="G20" s="20" t="s">
        <x:v>72</x:v>
      </x:c>
      <x:c r="H20" s="21">
        <x:v>46456</x:v>
      </x:c>
      <x:c r="I20" s="1"/>
      <x:c r="J20" s="1"/>
      <x:c r="K20" s="1"/>
      <x:c r="L20" s="1"/>
      <x:c r="M20" s="1"/>
      <x:c r="N20" s="1"/>
      <x:c r="O20" s="1"/>
    </x:row>
    <x:row r="21" ht="26.399999618530273">
      <x:c r="A21" s="28" t="n">
        <x:f>'USt-Monatsübersicht'!A8</x:f>
        <x:v>46388</x:v>
      </x:c>
      <x:c r="B21" s="28" t="n">
        <x:f>'USt-Monatsübersicht'!B8</x:f>
        <x:v>46456</x:v>
      </x:c>
      <x:c r="C21" s="10" t="str">
        <x:f>"USt-VA "&amp;TEXT('USt-Monatsübersicht'!A8,"mmmm yyyy")</x:f>
        <x:v>USt-VA January 2027</x:v>
      </x:c>
      <x:c r="D21" s="38" t="n">
        <x:f>'USt-Monatsübersicht'!F8</x:f>
        <x:v>0</x:v>
      </x:c>
      <x:c r="E21" s="10" t="str">
        <x:f>'USt-Monatsübersicht'!G8</x:f>
        <x:v>Offen</x:v>
      </x:c>
      <x:c r="F21" s="28" t="n">
        <x:f>'USt-Monatsübersicht'!H8</x:f>
        <x:v>0</x:v>
      </x:c>
      <x:c r="G21" s="10" t="str">
        <x:f>IF('USt-Monatsübersicht'!E8&lt;0,"Erstattung "&amp;TEXT(ABS('USt-Monatsübersicht'!E8),"#.##0,00 €"),"Monatliche USt-VA mit Dauerfristverlängerung")</x:f>
        <x:v>Monatliche USt-VA mit Dauerfristverlängerung</x:v>
      </x:c>
      <x:c r="H21" s="12" t="str">
        <x:f>IF(AND(E21="Offen",B21&gt;=TODAY(),D21&gt;0),B21,"")</x:f>
      </x:c>
      <x:c r="I21" s="1"/>
      <x:c r="J21" s="1"/>
      <x:c r="K21" s="1"/>
      <x:c r="L21" s="1"/>
      <x:c r="M21" s="1"/>
      <x:c r="N21" s="1"/>
      <x:c r="O21" s="1"/>
    </x:row>
    <x:row r="22" ht="26.399999618530273">
      <x:c r="A22" s="34" t="n">
        <x:f>'USt-Monatsübersicht'!A9</x:f>
        <x:v>46419</x:v>
      </x:c>
      <x:c r="B22" s="34" t="n">
        <x:f>'USt-Monatsübersicht'!B9</x:f>
        <x:v>46487</x:v>
      </x:c>
      <x:c r="C22" s="20" t="str">
        <x:f>"USt-VA "&amp;TEXT('USt-Monatsübersicht'!A9,"mmmm yyyy")</x:f>
        <x:v>USt-VA February 2027</x:v>
      </x:c>
      <x:c r="D22" s="39" t="n">
        <x:f>'USt-Monatsübersicht'!F9</x:f>
        <x:v>0</x:v>
      </x:c>
      <x:c r="E22" s="20" t="str">
        <x:f>'USt-Monatsübersicht'!G9</x:f>
        <x:v>Offen</x:v>
      </x:c>
      <x:c r="F22" s="34" t="n">
        <x:f>'USt-Monatsübersicht'!H9</x:f>
        <x:v>0</x:v>
      </x:c>
      <x:c r="G22" s="20" t="str">
        <x:f>IF('USt-Monatsübersicht'!E9&lt;0,"Erstattung "&amp;TEXT(ABS('USt-Monatsübersicht'!E9),"#.##0,00 €"),"Monatliche USt-VA mit Dauerfristverlängerung")</x:f>
        <x:v>Monatliche USt-VA mit Dauerfristverlängerung</x:v>
      </x:c>
      <x:c r="H22" s="21" t="str">
        <x:f>IF(AND(E22="Offen",B22&gt;=TODAY(),D22&gt;0),B22,"")</x:f>
      </x:c>
      <x:c r="I22" s="1"/>
      <x:c r="J22" s="1"/>
      <x:c r="K22" s="1"/>
      <x:c r="L22" s="1"/>
      <x:c r="M22" s="1"/>
      <x:c r="N22" s="1"/>
      <x:c r="O22" s="1"/>
    </x:row>
    <x:row r="23" ht="26.399999618530273">
      <x:c r="A23" s="28" t="n">
        <x:f>'USt-Monatsübersicht'!A10</x:f>
        <x:v>46447</x:v>
      </x:c>
      <x:c r="B23" s="28" t="n">
        <x:f>'USt-Monatsübersicht'!B10</x:f>
        <x:v>46517</x:v>
      </x:c>
      <x:c r="C23" s="10" t="str">
        <x:f>"USt-VA "&amp;TEXT('USt-Monatsübersicht'!A10,"mmmm yyyy")</x:f>
        <x:v>USt-VA March 2027</x:v>
      </x:c>
      <x:c r="D23" s="38" t="n">
        <x:f>'USt-Monatsübersicht'!F10</x:f>
        <x:v>0</x:v>
      </x:c>
      <x:c r="E23" s="10" t="str">
        <x:f>'USt-Monatsübersicht'!G10</x:f>
        <x:v>Offen</x:v>
      </x:c>
      <x:c r="F23" s="28" t="n">
        <x:f>'USt-Monatsübersicht'!H10</x:f>
        <x:v>0</x:v>
      </x:c>
      <x:c r="G23" s="10" t="str">
        <x:f>IF('USt-Monatsübersicht'!E10&lt;0,"Erstattung "&amp;TEXT(ABS('USt-Monatsübersicht'!E10),"#.##0,00 €"),"Monatliche USt-VA mit Dauerfristverlängerung")</x:f>
        <x:v>Monatliche USt-VA mit Dauerfristverlängerung</x:v>
      </x:c>
      <x:c r="H23" s="12" t="str">
        <x:f>IF(AND(E23="Offen",B23&gt;=TODAY(),D23&gt;0),B23,"")</x:f>
      </x:c>
      <x:c r="I23" s="1"/>
      <x:c r="J23" s="1"/>
      <x:c r="K23" s="1"/>
      <x:c r="L23" s="1"/>
      <x:c r="M23" s="1"/>
      <x:c r="N23" s="1"/>
      <x:c r="O23" s="1"/>
    </x:row>
    <x:row r="24">
      <x:c r="A24" s="34" t="s">
        <x:v>82</x:v>
      </x:c>
      <x:c r="B24" s="34">
        <x:v>46548</x:v>
      </x:c>
      <x:c r="C24" s="20" t="s">
        <x:v>81</x:v>
      </x:c>
      <x:c r="D24" s="39">
        <x:v>2865</x:v>
      </x:c>
      <x:c r="E24" s="20" t="s">
        <x:v>7</x:v>
      </x:c>
      <x:c r="F24" s="34"/>
      <x:c r="G24" s="20" t="s">
        <x:v>72</x:v>
      </x:c>
      <x:c r="H24" s="21">
        <x:v>46548</x:v>
      </x:c>
      <x:c r="I24" s="1"/>
      <x:c r="J24" s="1"/>
      <x:c r="K24" s="1"/>
      <x:c r="L24" s="1"/>
      <x:c r="M24" s="1"/>
      <x:c r="N24" s="1"/>
      <x:c r="O24" s="1"/>
    </x:row>
    <x:row r="25" ht="26.399999618530273">
      <x:c r="A25" s="28" t="n">
        <x:f>'USt-Monatsübersicht'!A11</x:f>
        <x:v>46478</x:v>
      </x:c>
      <x:c r="B25" s="28" t="n">
        <x:f>'USt-Monatsübersicht'!B11</x:f>
        <x:v>46548</x:v>
      </x:c>
      <x:c r="C25" s="10" t="str">
        <x:f>"USt-VA "&amp;TEXT('USt-Monatsübersicht'!A11,"mmmm yyyy")</x:f>
        <x:v>USt-VA April 2027</x:v>
      </x:c>
      <x:c r="D25" s="38" t="n">
        <x:f>'USt-Monatsübersicht'!F11</x:f>
        <x:v>0</x:v>
      </x:c>
      <x:c r="E25" s="10" t="str">
        <x:f>'USt-Monatsübersicht'!G11</x:f>
        <x:v>Offen</x:v>
      </x:c>
      <x:c r="F25" s="28" t="n">
        <x:f>'USt-Monatsübersicht'!H11</x:f>
        <x:v>0</x:v>
      </x:c>
      <x:c r="G25" s="10" t="str">
        <x:f>IF('USt-Monatsübersicht'!E11&lt;0,"Erstattung "&amp;TEXT(ABS('USt-Monatsübersicht'!E11),"#.##0,00 €"),"Monatliche USt-VA mit Dauerfristverlängerung")</x:f>
        <x:v>Monatliche USt-VA mit Dauerfristverlängerung</x:v>
      </x:c>
      <x:c r="H25" s="12" t="str">
        <x:f>IF(AND(E25="Offen",B25&gt;=TODAY(),D25&gt;0),B25,"")</x:f>
      </x:c>
      <x:c r="I25" s="1"/>
      <x:c r="J25" s="1"/>
      <x:c r="K25" s="1"/>
      <x:c r="L25" s="1"/>
      <x:c r="M25" s="1"/>
      <x:c r="N25" s="1"/>
      <x:c r="O25" s="1"/>
    </x:row>
    <x:row r="26" ht="26.399999618530273">
      <x:c r="A26" s="34" t="n">
        <x:f>'USt-Monatsübersicht'!A12</x:f>
        <x:v>46508</x:v>
      </x:c>
      <x:c r="B26" s="34" t="n">
        <x:f>'USt-Monatsübersicht'!B12</x:f>
        <x:v>46578</x:v>
      </x:c>
      <x:c r="C26" s="20" t="str">
        <x:f>"USt-VA "&amp;TEXT('USt-Monatsübersicht'!A12,"mmmm yyyy")</x:f>
        <x:v>USt-VA May 2027</x:v>
      </x:c>
      <x:c r="D26" s="39" t="n">
        <x:f>'USt-Monatsübersicht'!F12</x:f>
        <x:v>0</x:v>
      </x:c>
      <x:c r="E26" s="20" t="str">
        <x:f>'USt-Monatsübersicht'!G12</x:f>
        <x:v>Offen</x:v>
      </x:c>
      <x:c r="F26" s="34" t="n">
        <x:f>'USt-Monatsübersicht'!H12</x:f>
        <x:v>0</x:v>
      </x:c>
      <x:c r="G26" s="20" t="str">
        <x:f>IF('USt-Monatsübersicht'!E12&lt;0,"Erstattung "&amp;TEXT(ABS('USt-Monatsübersicht'!E12),"#.##0,00 €"),"Monatliche USt-VA mit Dauerfristverlängerung")</x:f>
        <x:v>Monatliche USt-VA mit Dauerfristverlängerung</x:v>
      </x:c>
      <x:c r="H26" s="21" t="str">
        <x:f>IF(AND(E26="Offen",B26&gt;=TODAY(),D26&gt;0),B26,"")</x:f>
      </x:c>
      <x:c r="I26" s="1"/>
      <x:c r="J26" s="1"/>
      <x:c r="K26" s="1"/>
      <x:c r="L26" s="1"/>
      <x:c r="M26" s="1"/>
      <x:c r="N26" s="1"/>
      <x:c r="O26" s="1"/>
    </x:row>
    <x:row r="27" ht="26.399999618530273">
      <x:c r="A27" s="28" t="n">
        <x:f>'USt-Monatsübersicht'!A13</x:f>
        <x:v>46539</x:v>
      </x:c>
      <x:c r="B27" s="28" t="n">
        <x:f>'USt-Monatsübersicht'!B13</x:f>
        <x:v>46609</x:v>
      </x:c>
      <x:c r="C27" s="10" t="str">
        <x:f>"USt-VA "&amp;TEXT('USt-Monatsübersicht'!A13,"mmmm yyyy")</x:f>
        <x:v>USt-VA June 2027</x:v>
      </x:c>
      <x:c r="D27" s="38" t="n">
        <x:f>'USt-Monatsübersicht'!F13</x:f>
        <x:v>0</x:v>
      </x:c>
      <x:c r="E27" s="10" t="str">
        <x:f>'USt-Monatsübersicht'!G13</x:f>
        <x:v>Offen</x:v>
      </x:c>
      <x:c r="F27" s="28" t="n">
        <x:f>'USt-Monatsübersicht'!H13</x:f>
        <x:v>0</x:v>
      </x:c>
      <x:c r="G27" s="10" t="str">
        <x:f>IF('USt-Monatsübersicht'!E13&lt;0,"Erstattung "&amp;TEXT(ABS('USt-Monatsübersicht'!E13),"#.##0,00 €"),"Monatliche USt-VA mit Dauerfristverlängerung")</x:f>
        <x:v>Monatliche USt-VA mit Dauerfristverlängerung</x:v>
      </x:c>
      <x:c r="H27" s="12" t="str">
        <x:f>IF(AND(E27="Offen",B27&gt;=TODAY(),D27&gt;0),B27,"")</x:f>
      </x:c>
      <x:c r="I27" s="1"/>
      <x:c r="J27" s="1"/>
      <x:c r="K27" s="1"/>
      <x:c r="L27" s="1"/>
      <x:c r="M27" s="1"/>
      <x:c r="N27" s="1"/>
      <x:c r="O27" s="1"/>
    </x:row>
    <x:row r="28">
      <x:c r="A28" s="34" t="s">
        <x:v>83</x:v>
      </x:c>
      <x:c r="B28" s="34">
        <x:v>46640</x:v>
      </x:c>
      <x:c r="C28" s="20" t="s">
        <x:v>81</x:v>
      </x:c>
      <x:c r="D28" s="39">
        <x:v>2865</x:v>
      </x:c>
      <x:c r="E28" s="20" t="s">
        <x:v>7</x:v>
      </x:c>
      <x:c r="F28" s="34"/>
      <x:c r="G28" s="20" t="s">
        <x:v>72</x:v>
      </x:c>
      <x:c r="H28" s="21">
        <x:v>46640</x:v>
      </x:c>
      <x:c r="I28" s="1"/>
      <x:c r="J28" s="1"/>
      <x:c r="K28" s="1"/>
      <x:c r="L28" s="1"/>
      <x:c r="M28" s="1"/>
      <x:c r="N28" s="1"/>
      <x:c r="O28" s="1"/>
    </x:row>
    <x:row r="29" ht="26.399999618530273">
      <x:c r="A29" s="28" t="n">
        <x:f>'USt-Monatsübersicht'!A14</x:f>
        <x:v>46569</x:v>
      </x:c>
      <x:c r="B29" s="28" t="n">
        <x:f>'USt-Monatsübersicht'!B14</x:f>
        <x:v>46640</x:v>
      </x:c>
      <x:c r="C29" s="10" t="str">
        <x:f>"USt-VA "&amp;TEXT('USt-Monatsübersicht'!A14,"mmmm yyyy")</x:f>
        <x:v>USt-VA July 2027</x:v>
      </x:c>
      <x:c r="D29" s="38" t="n">
        <x:f>'USt-Monatsübersicht'!F14</x:f>
        <x:v>0</x:v>
      </x:c>
      <x:c r="E29" s="10" t="str">
        <x:f>'USt-Monatsübersicht'!G14</x:f>
        <x:v>Offen</x:v>
      </x:c>
      <x:c r="F29" s="28" t="n">
        <x:f>'USt-Monatsübersicht'!H14</x:f>
        <x:v>0</x:v>
      </x:c>
      <x:c r="G29" s="10" t="str">
        <x:f>IF('USt-Monatsübersicht'!E14&lt;0,"Erstattung "&amp;TEXT(ABS('USt-Monatsübersicht'!E14),"#.##0,00 €"),"Monatliche USt-VA mit Dauerfristverlängerung")</x:f>
        <x:v>Monatliche USt-VA mit Dauerfristverlängerung</x:v>
      </x:c>
      <x:c r="H29" s="12" t="str">
        <x:f>IF(AND(E29="Offen",B29&gt;=TODAY(),D29&gt;0),B29,"")</x:f>
      </x:c>
      <x:c r="I29" s="1"/>
      <x:c r="J29" s="1"/>
      <x:c r="K29" s="1"/>
      <x:c r="L29" s="1"/>
      <x:c r="M29" s="1"/>
      <x:c r="N29" s="1"/>
      <x:c r="O29" s="1"/>
    </x:row>
    <x:row r="30" ht="26.399999618530273">
      <x:c r="A30" s="34" t="n">
        <x:f>'USt-Monatsübersicht'!A15</x:f>
        <x:v>46600</x:v>
      </x:c>
      <x:c r="B30" s="34" t="n">
        <x:f>'USt-Monatsübersicht'!B15</x:f>
        <x:v>46670</x:v>
      </x:c>
      <x:c r="C30" s="20" t="str">
        <x:f>"USt-VA "&amp;TEXT('USt-Monatsübersicht'!A15,"mmmm yyyy")</x:f>
        <x:v>USt-VA August 2027</x:v>
      </x:c>
      <x:c r="D30" s="39" t="n">
        <x:f>'USt-Monatsübersicht'!F15</x:f>
        <x:v>0</x:v>
      </x:c>
      <x:c r="E30" s="20" t="str">
        <x:f>'USt-Monatsübersicht'!G15</x:f>
        <x:v>Offen</x:v>
      </x:c>
      <x:c r="F30" s="34" t="n">
        <x:f>'USt-Monatsübersicht'!H15</x:f>
        <x:v>0</x:v>
      </x:c>
      <x:c r="G30" s="20" t="str">
        <x:f>IF('USt-Monatsübersicht'!E15&lt;0,"Erstattung "&amp;TEXT(ABS('USt-Monatsübersicht'!E15),"#.##0,00 €"),"Monatliche USt-VA mit Dauerfristverlängerung")</x:f>
        <x:v>Monatliche USt-VA mit Dauerfristverlängerung</x:v>
      </x:c>
      <x:c r="H30" s="21" t="str">
        <x:f>IF(AND(E30="Offen",B30&gt;=TODAY(),D30&gt;0),B30,"")</x:f>
      </x:c>
      <x:c r="I30" s="1"/>
      <x:c r="J30" s="1"/>
      <x:c r="K30" s="1"/>
      <x:c r="L30" s="1"/>
      <x:c r="M30" s="1"/>
      <x:c r="N30" s="1"/>
      <x:c r="O30" s="1"/>
    </x:row>
    <x:row r="31" ht="26.399999618530273">
      <x:c r="A31" s="28" t="n">
        <x:f>'USt-Monatsübersicht'!A16</x:f>
        <x:v>46631</x:v>
      </x:c>
      <x:c r="B31" s="28" t="n">
        <x:f>'USt-Monatsübersicht'!B16</x:f>
        <x:v>46701</x:v>
      </x:c>
      <x:c r="C31" s="10" t="str">
        <x:f>"USt-VA "&amp;TEXT('USt-Monatsübersicht'!A16,"mmmm yyyy")</x:f>
        <x:v>USt-VA September 2027</x:v>
      </x:c>
      <x:c r="D31" s="38" t="n">
        <x:f>'USt-Monatsübersicht'!F16</x:f>
        <x:v>0</x:v>
      </x:c>
      <x:c r="E31" s="10" t="str">
        <x:f>'USt-Monatsübersicht'!G16</x:f>
        <x:v>Offen</x:v>
      </x:c>
      <x:c r="F31" s="28" t="n">
        <x:f>'USt-Monatsübersicht'!H16</x:f>
        <x:v>0</x:v>
      </x:c>
      <x:c r="G31" s="10" t="str">
        <x:f>IF('USt-Monatsübersicht'!E16&lt;0,"Erstattung "&amp;TEXT(ABS('USt-Monatsübersicht'!E16),"#.##0,00 €"),"Monatliche USt-VA mit Dauerfristverlängerung")</x:f>
        <x:v>Monatliche USt-VA mit Dauerfristverlängerung</x:v>
      </x:c>
      <x:c r="H31" s="12" t="str">
        <x:f>IF(AND(E31="Offen",B31&gt;=TODAY(),D31&gt;0),B31,"")</x:f>
      </x:c>
      <x:c r="I31" s="1"/>
      <x:c r="J31" s="1"/>
      <x:c r="K31" s="1"/>
      <x:c r="L31" s="1"/>
      <x:c r="M31" s="1"/>
      <x:c r="N31" s="1"/>
      <x:c r="O31" s="1"/>
    </x:row>
    <x:row r="32">
      <x:c r="A32" s="34" t="s">
        <x:v>84</x:v>
      </x:c>
      <x:c r="B32" s="34">
        <x:v>46731</x:v>
      </x:c>
      <x:c r="C32" s="25" t="s">
        <x:v>81</x:v>
      </x:c>
      <x:c r="D32" s="39">
        <x:v>2865</x:v>
      </x:c>
      <x:c r="E32" s="25" t="s">
        <x:v>7</x:v>
      </x:c>
      <x:c r="F32" s="35"/>
      <x:c r="G32" s="25" t="s">
        <x:v>72</x:v>
      </x:c>
      <x:c r="H32" s="36">
        <x:v>46731</x:v>
      </x:c>
      <x:c r="I32" s="1"/>
      <x:c r="J32" s="1"/>
      <x:c r="K32" s="1"/>
      <x:c r="L32" s="1"/>
      <x:c r="M32" s="1"/>
      <x:c r="N32" s="1"/>
      <x:c r="O32" s="1"/>
    </x:row>
    <x:row r="33" ht="24" customHeight="1">
      <x:c r="A33" s="4" t="n">
        <x:f>'USt-Monatsübersicht'!A17</x:f>
        <x:v>46661</x:v>
      </x:c>
      <x:c r="B33" s="4" t="n">
        <x:f>'USt-Monatsübersicht'!B17</x:f>
        <x:v>46731</x:v>
      </x:c>
      <x:c r="C33" s="1" t="str">
        <x:f>"USt-VA "&amp;TEXT('USt-Monatsübersicht'!A17,"mmmm yyyy")</x:f>
        <x:v>USt-VA October 2027</x:v>
      </x:c>
      <x:c r="D33" s="228" t="n">
        <x:f>'USt-Monatsübersicht'!F17</x:f>
        <x:v>0</x:v>
      </x:c>
      <x:c r="E33" s="1" t="str">
        <x:f>'USt-Monatsübersicht'!G17</x:f>
        <x:v>Offen</x:v>
      </x:c>
      <x:c r="F33" s="4" t="n">
        <x:f>'USt-Monatsübersicht'!H17</x:f>
        <x:v>0</x:v>
      </x:c>
      <x:c r="G33" s="5" t="str">
        <x:f>IF('USt-Monatsübersicht'!E17&lt;0,"Erstattung "&amp;TEXT(ABS('USt-Monatsübersicht'!E17),"#.##0,00 €"),"Monatliche USt-VA mit Dauerfristverlängerung")</x:f>
        <x:v>Monatliche USt-VA mit Dauerfristverlängerung</x:v>
      </x:c>
      <x:c r="H33" s="4" t="str">
        <x:f>IF(AND(E33="Offen",B33&gt;=TODAY(),D33&gt;0),B33,"")</x:f>
      </x:c>
      <x:c r="I33" s="1"/>
      <x:c r="J33" s="1"/>
      <x:c r="K33" s="1"/>
      <x:c r="L33" s="1"/>
      <x:c r="M33" s="1"/>
      <x:c r="N33" s="1"/>
      <x:c r="O33" s="1"/>
    </x:row>
    <x:row r="34" ht="24" customHeight="1">
      <x:c r="A34" s="4" t="n">
        <x:f>'USt-Monatsübersicht'!A18</x:f>
        <x:v>46692</x:v>
      </x:c>
      <x:c r="B34" s="4" t="n">
        <x:f>'USt-Monatsübersicht'!B18</x:f>
        <x:v>46762</x:v>
      </x:c>
      <x:c r="C34" s="1" t="str">
        <x:f>"USt-VA "&amp;TEXT('USt-Monatsübersicht'!A18,"mmmm yyyy")</x:f>
        <x:v>USt-VA November 2027</x:v>
      </x:c>
      <x:c r="D34" s="228" t="n">
        <x:f>'USt-Monatsübersicht'!F18</x:f>
        <x:v>0</x:v>
      </x:c>
      <x:c r="E34" s="1" t="str">
        <x:f>'USt-Monatsübersicht'!G18</x:f>
        <x:v>Offen</x:v>
      </x:c>
      <x:c r="F34" s="4" t="n">
        <x:f>'USt-Monatsübersicht'!H18</x:f>
        <x:v>0</x:v>
      </x:c>
      <x:c r="G34" s="5" t="str">
        <x:f>IF('USt-Monatsübersicht'!E18&lt;0,"Erstattung "&amp;TEXT(ABS('USt-Monatsübersicht'!E18),"#.##0,00 €"),"Monatliche USt-VA mit Dauerfristverlängerung")</x:f>
        <x:v>Monatliche USt-VA mit Dauerfristverlängerung</x:v>
      </x:c>
      <x:c r="H34" s="4" t="str">
        <x:f>IF(AND(E34="Offen",B34&gt;=TODAY(),D34&gt;0),B34,"")</x:f>
      </x:c>
      <x:c r="I34" s="1"/>
      <x:c r="J34" s="1"/>
      <x:c r="K34" s="1"/>
      <x:c r="L34" s="1"/>
      <x:c r="M34" s="1"/>
      <x:c r="N34" s="1"/>
      <x:c r="O34" s="1"/>
    </x:row>
    <x:row r="35" ht="24" customHeight="1">
      <x:c r="A35" s="4" t="n">
        <x:f>'USt-Monatsübersicht'!A19</x:f>
        <x:v>46722</x:v>
      </x:c>
      <x:c r="B35" s="4" t="n">
        <x:f>'USt-Monatsübersicht'!B19</x:f>
        <x:v>46793</x:v>
      </x:c>
      <x:c r="C35" s="1" t="str">
        <x:f>"USt-VA "&amp;TEXT('USt-Monatsübersicht'!A19,"mmmm yyyy")</x:f>
        <x:v>USt-VA December 2027</x:v>
      </x:c>
      <x:c r="D35" s="228" t="n">
        <x:f>'USt-Monatsübersicht'!F19</x:f>
        <x:v>0</x:v>
      </x:c>
      <x:c r="E35" s="1" t="str">
        <x:f>'USt-Monatsübersicht'!G19</x:f>
        <x:v>Offen</x:v>
      </x:c>
      <x:c r="F35" s="4" t="n">
        <x:f>'USt-Monatsübersicht'!H19</x:f>
        <x:v>0</x:v>
      </x:c>
      <x:c r="G35" s="5" t="str">
        <x:f>IF('USt-Monatsübersicht'!E19&lt;0,"Erstattung "&amp;TEXT(ABS('USt-Monatsübersicht'!E19),"#.##0,00 €"),"Monatliche USt-VA mit Dauerfristverlängerung")</x:f>
        <x:v>Monatliche USt-VA mit Dauerfristverlängerung</x:v>
      </x:c>
      <x:c r="H35" s="4" t="str">
        <x:f>IF(AND(E35="Offen",B35&gt;=TODAY(),D35&gt;0),B35,"")</x:f>
      </x:c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</x:sheetData>
  <x:conditionalFormatting sqref="E2:E14">
    <x:cfRule type="expression" dxfId="49" priority="1">
      <x:formula>E2="Bezahlt"</x:formula>
    </x:cfRule>
    <x:cfRule type="expression" dxfId="48" priority="2">
      <x:formula>E2="Offen"</x:formula>
    </x:cfRule>
    <x:cfRule type="expression" dxfId="47" priority="3">
      <x:formula>E2="Teilbezahlt"</x:formula>
    </x:cfRule>
  </x:conditionalFormatting>
  <x:conditionalFormatting sqref="E2:E32">
    <x:cfRule type="expression" dxfId="46" priority="4">
      <x:formula>E2="Bezahlt"</x:formula>
    </x:cfRule>
    <x:cfRule type="expression" dxfId="45" priority="5">
      <x:formula>E2="Offen"</x:formula>
    </x:cfRule>
  </x:conditionalFormatting>
  <x:dataValidations count="2">
    <x:dataValidation type="list" sqref="E2:E63">
      <x:formula1>"Offen,Bezahlt,Teilbezahlt"</x:formula1>
    </x:dataValidation>
    <x:dataValidation type="list" sqref="E2:E32">
      <x:formula1>"Offen,Bezahlt,Gestundet"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8eedc3dc1423d"/>
  </x:tableParts>
</x:worksheet>
</file>

<file path=xl/worksheets/sheet3.xml><?xml version="1.0" encoding="utf-8"?>
<x:worksheet xmlns:x="http://schemas.openxmlformats.org/spreadsheetml/2006/main">
  <x:sheetFormatPr baseColWidth="10" defaultColWidth="8.796875" defaultRowHeight="13.800000190734863"/>
  <x:cols>
    <x:col min="1" max="1" width="18" customWidth="1"/>
    <x:col min="2" max="2" width="24" customWidth="1"/>
    <x:col min="3" max="3" width="22" customWidth="1"/>
    <x:col min="4" max="4" width="18" customWidth="1"/>
    <x:col min="5" max="8" width="15" customWidth="1"/>
    <x:col min="9" max="9" width="14" customWidth="1"/>
    <x:col min="10" max="10" width="15" customWidth="1"/>
    <x:col min="11" max="11" width="14" customWidth="1"/>
    <x:col min="12" max="12" width="24" customWidth="1"/>
    <x:col min="13" max="13" width="13" customWidth="1"/>
    <x:col min="14" max="15" width="16" customWidth="1"/>
  </x:cols>
  <x:sheetData>
    <x:row r="1" ht="24" customHeight="1">
      <x:c r="A1" s="8" t="s">
        <x:v>85</x:v>
      </x:c>
      <x:c r="B1" s="8" t="s">
        <x:v>86</x:v>
      </x:c>
      <x:c r="C1" s="8" t="s">
        <x:v>87</x:v>
      </x:c>
      <x:c r="D1" s="8" t="s">
        <x:v>88</x:v>
      </x:c>
      <x:c r="E1" s="8" t="s">
        <x:v>89</x:v>
      </x:c>
      <x:c r="F1" s="8" t="s">
        <x:v>90</x:v>
      </x:c>
      <x:c r="G1" s="8" t="s">
        <x:v>91</x:v>
      </x:c>
      <x:c r="H1" s="8" t="s">
        <x:v>92</x:v>
      </x:c>
      <x:c r="I1" s="8" t="s">
        <x:v>42</x:v>
      </x:c>
      <x:c r="J1" s="8" t="s">
        <x:v>59</x:v>
      </x:c>
      <x:c r="K1" s="8" t="s">
        <x:v>2</x:v>
      </x:c>
      <x:c r="L1" s="8" t="s">
        <x:v>93</x:v>
      </x:c>
      <x:c r="M1" s="8" t="s">
        <x:v>94</x:v>
      </x:c>
      <x:c r="N1" s="8" t="s">
        <x:v>95</x:v>
      </x:c>
      <x:c r="O1" s="8" t="s">
        <x:v>96</x:v>
      </x:c>
    </x:row>
    <x:row r="2">
      <x:c r="A2" s="53">
        <x:v>46209</x:v>
      </x:c>
      <x:c r="B2" s="58" t="s">
        <x:v>97</x:v>
      </x:c>
      <x:c r="C2" s="58" t="s">
        <x:v>98</x:v>
      </x:c>
      <x:c r="D2" s="58" t="s">
        <x:v>99</x:v>
      </x:c>
      <x:c r="E2" s="63">
        <x:v>46231</x:v>
      </x:c>
      <x:c r="F2" s="68">
        <x:v>2761</x:v>
      </x:c>
      <x:c r="G2" s="68"/>
      <x:c r="H2" s="37">
        <x:v>2761</x:v>
      </x:c>
      <x:c r="I2" s="58" t="s">
        <x:v>7</x:v>
      </x:c>
      <x:c r="J2" s="63"/>
      <x:c r="K2" s="58" t="s">
        <x:v>9</x:v>
      </x:c>
      <x:c r="L2" s="74"/>
      <x:c r="M2" s="44"/>
      <x:c r="N2" s="37" t="n">
        <x:f t="shared" ref="N2:N65" si="0">IF(H2="","",IF(AND(L2&gt;0,M2&gt;=TODAY()),H2*(1-L2),H2))</x:f>
        <x:v>2761</x:v>
      </x:c>
      <x:c r="O2" s="45"/>
    </x:row>
    <x:row r="3">
      <x:c r="A3" s="54">
        <x:v>46209</x:v>
      </x:c>
      <x:c r="B3" s="59" t="s">
        <x:v>97</x:v>
      </x:c>
      <x:c r="C3" s="59" t="s">
        <x:v>100</x:v>
      </x:c>
      <x:c r="D3" s="59" t="s">
        <x:v>101</x:v>
      </x:c>
      <x:c r="E3" s="64">
        <x:v>46231</x:v>
      </x:c>
      <x:c r="F3" s="69">
        <x:v>1671</x:v>
      </x:c>
      <x:c r="G3" s="69"/>
      <x:c r="H3" s="38">
        <x:v>1671</x:v>
      </x:c>
      <x:c r="I3" s="59" t="s">
        <x:v>7</x:v>
      </x:c>
      <x:c r="J3" s="64"/>
      <x:c r="K3" s="59" t="s">
        <x:v>9</x:v>
      </x:c>
      <x:c r="L3" s="75"/>
      <x:c r="M3" s="41"/>
      <x:c r="N3" s="38">
        <x:f t="shared" si="0"/>
        <x:v>1671</x:v>
      </x:c>
      <x:c r="O3" s="42"/>
    </x:row>
    <x:row r="4">
      <x:c r="A4" s="54">
        <x:v>46202</x:v>
      </x:c>
      <x:c r="B4" s="59" t="s">
        <x:v>102</x:v>
      </x:c>
      <x:c r="C4" s="59" t="s">
        <x:v>103</x:v>
      </x:c>
      <x:c r="D4" s="59" t="s">
        <x:v>104</x:v>
      </x:c>
      <x:c r="E4" s="64">
        <x:v>46232</x:v>
      </x:c>
      <x:c r="F4" s="70">
        <x:v>2012.3</x:v>
      </x:c>
      <x:c r="G4" s="70">
        <x:v>382.32</x:v>
      </x:c>
      <x:c r="H4" s="39" t="n">
        <x:f t="shared" ref="H4:H65" si="1">IF(OR(F4="",G4=""),"",F4+G4)</x:f>
        <x:v>2394.62</x:v>
      </x:c>
      <x:c r="I4" s="59" t="s">
        <x:v>7</x:v>
      </x:c>
      <x:c r="J4" s="64"/>
      <x:c r="K4" s="59" t="s">
        <x:v>9</x:v>
      </x:c>
      <x:c r="L4" s="75"/>
      <x:c r="M4" s="46"/>
      <x:c r="N4" s="39">
        <x:f t="shared" si="0"/>
        <x:v>2394.62</x:v>
      </x:c>
      <x:c r="O4" s="47"/>
    </x:row>
    <x:row r="5">
      <x:c r="A5" s="54">
        <x:v>46204</x:v>
      </x:c>
      <x:c r="B5" s="59" t="s">
        <x:v>102</x:v>
      </x:c>
      <x:c r="C5" s="59" t="s">
        <x:v>105</x:v>
      </x:c>
      <x:c r="D5" s="59" t="s">
        <x:v>106</x:v>
      </x:c>
      <x:c r="E5" s="64">
        <x:v>46235</x:v>
      </x:c>
      <x:c r="F5" s="69">
        <x:v>2012.3</x:v>
      </x:c>
      <x:c r="G5" s="69">
        <x:v>382.34</x:v>
      </x:c>
      <x:c r="H5" s="38">
        <x:f t="shared" si="1"/>
        <x:v>2394.64</x:v>
      </x:c>
      <x:c r="I5" s="59" t="s">
        <x:v>7</x:v>
      </x:c>
      <x:c r="J5" s="64"/>
      <x:c r="K5" s="59" t="s">
        <x:v>9</x:v>
      </x:c>
      <x:c r="L5" s="75"/>
      <x:c r="M5" s="41"/>
      <x:c r="N5" s="38">
        <x:f t="shared" si="0"/>
        <x:v>2394.64</x:v>
      </x:c>
      <x:c r="O5" s="42"/>
    </x:row>
    <x:row r="6">
      <x:c r="A6" s="54">
        <x:v>46202</x:v>
      </x:c>
      <x:c r="B6" s="59" t="s">
        <x:v>102</x:v>
      </x:c>
      <x:c r="C6" s="59" t="s">
        <x:v>107</x:v>
      </x:c>
      <x:c r="D6" s="59" t="s">
        <x:v>108</x:v>
      </x:c>
      <x:c r="E6" s="64">
        <x:v>46232</x:v>
      </x:c>
      <x:c r="F6" s="70">
        <x:v>2155.33</x:v>
      </x:c>
      <x:c r="G6" s="70">
        <x:v>409.51</x:v>
      </x:c>
      <x:c r="H6" s="39">
        <x:f t="shared" si="1"/>
        <x:v>2564.84</x:v>
      </x:c>
      <x:c r="I6" s="59" t="s">
        <x:v>7</x:v>
      </x:c>
      <x:c r="J6" s="64"/>
      <x:c r="K6" s="59" t="s">
        <x:v>9</x:v>
      </x:c>
      <x:c r="L6" s="75"/>
      <x:c r="M6" s="46"/>
      <x:c r="N6" s="39">
        <x:f t="shared" si="0"/>
        <x:v>2564.84</x:v>
      </x:c>
      <x:c r="O6" s="47"/>
    </x:row>
    <x:row r="7">
      <x:c r="A7" s="54">
        <x:v>46204</x:v>
      </x:c>
      <x:c r="B7" s="59" t="s">
        <x:v>102</x:v>
      </x:c>
      <x:c r="C7" s="59" t="s">
        <x:v>109</x:v>
      </x:c>
      <x:c r="D7" s="59" t="s">
        <x:v>110</x:v>
      </x:c>
      <x:c r="E7" s="64">
        <x:v>46235</x:v>
      </x:c>
      <x:c r="F7" s="69">
        <x:v>2243.4</x:v>
      </x:c>
      <x:c r="G7" s="69">
        <x:v>426.25</x:v>
      </x:c>
      <x:c r="H7" s="38">
        <x:f t="shared" si="1"/>
        <x:v>2669.65</x:v>
      </x:c>
      <x:c r="I7" s="59" t="s">
        <x:v>7</x:v>
      </x:c>
      <x:c r="J7" s="64"/>
      <x:c r="K7" s="59" t="s">
        <x:v>9</x:v>
      </x:c>
      <x:c r="L7" s="75"/>
      <x:c r="M7" s="41"/>
      <x:c r="N7" s="38">
        <x:f t="shared" si="0"/>
        <x:v>2669.65</x:v>
      </x:c>
      <x:c r="O7" s="42"/>
    </x:row>
    <x:row r="8">
      <x:c r="A8" s="54">
        <x:v>46204</x:v>
      </x:c>
      <x:c r="B8" s="59" t="s">
        <x:v>102</x:v>
      </x:c>
      <x:c r="C8" s="59" t="s">
        <x:v>111</x:v>
      </x:c>
      <x:c r="D8" s="59" t="s">
        <x:v>112</x:v>
      </x:c>
      <x:c r="E8" s="64">
        <x:v>46235</x:v>
      </x:c>
      <x:c r="F8" s="70">
        <x:v>1880.54</x:v>
      </x:c>
      <x:c r="G8" s="70">
        <x:v>357.3</x:v>
      </x:c>
      <x:c r="H8" s="39">
        <x:f t="shared" si="1"/>
        <x:v>2237.84</x:v>
      </x:c>
      <x:c r="I8" s="59" t="s">
        <x:v>7</x:v>
      </x:c>
      <x:c r="J8" s="64"/>
      <x:c r="K8" s="59" t="s">
        <x:v>9</x:v>
      </x:c>
      <x:c r="L8" s="75"/>
      <x:c r="M8" s="46"/>
      <x:c r="N8" s="39">
        <x:f t="shared" si="0"/>
        <x:v>2237.84</x:v>
      </x:c>
      <x:c r="O8" s="47"/>
    </x:row>
    <x:row r="9">
      <x:c r="A9" s="54">
        <x:v>46209</x:v>
      </x:c>
      <x:c r="B9" s="59" t="s">
        <x:v>102</x:v>
      </x:c>
      <x:c r="C9" s="59" t="s">
        <x:v>98</x:v>
      </x:c>
      <x:c r="D9" s="59" t="s">
        <x:v>113</x:v>
      </x:c>
      <x:c r="E9" s="64">
        <x:v>46240</x:v>
      </x:c>
      <x:c r="F9" s="69">
        <x:v>2161.16</x:v>
      </x:c>
      <x:c r="G9" s="69">
        <x:v>410.62</x:v>
      </x:c>
      <x:c r="H9" s="38">
        <x:f t="shared" si="1"/>
        <x:v>2571.7799999999997</x:v>
      </x:c>
      <x:c r="I9" s="59" t="s">
        <x:v>7</x:v>
      </x:c>
      <x:c r="J9" s="64"/>
      <x:c r="K9" s="59" t="s">
        <x:v>9</x:v>
      </x:c>
      <x:c r="L9" s="75"/>
      <x:c r="M9" s="41"/>
      <x:c r="N9" s="38">
        <x:f t="shared" si="0"/>
        <x:v>2571.7799999999997</x:v>
      </x:c>
      <x:c r="O9" s="42"/>
    </x:row>
    <x:row r="10">
      <x:c r="A10" s="54">
        <x:v>46219</x:v>
      </x:c>
      <x:c r="B10" s="59" t="s">
        <x:v>102</x:v>
      </x:c>
      <x:c r="C10" s="59" t="s">
        <x:v>114</x:v>
      </x:c>
      <x:c r="D10" s="59" t="s">
        <x:v>115</x:v>
      </x:c>
      <x:c r="E10" s="64">
        <x:v>46250</x:v>
      </x:c>
      <x:c r="F10" s="70">
        <x:v>1700.93</x:v>
      </x:c>
      <x:c r="G10" s="70">
        <x:v>323.18</x:v>
      </x:c>
      <x:c r="H10" s="39">
        <x:f t="shared" si="1"/>
        <x:v>2024.1100000000001</x:v>
      </x:c>
      <x:c r="I10" s="59" t="s">
        <x:v>7</x:v>
      </x:c>
      <x:c r="J10" s="64"/>
      <x:c r="K10" s="59" t="s">
        <x:v>9</x:v>
      </x:c>
      <x:c r="L10" s="75"/>
      <x:c r="M10" s="46"/>
      <x:c r="N10" s="39">
        <x:f t="shared" si="0"/>
        <x:v>2024.1100000000001</x:v>
      </x:c>
      <x:c r="O10" s="47"/>
    </x:row>
    <x:row r="11">
      <x:c r="A11" s="54">
        <x:v>46219</x:v>
      </x:c>
      <x:c r="B11" s="59" t="s">
        <x:v>116</x:v>
      </x:c>
      <x:c r="C11" s="59" t="s">
        <x:v>117</x:v>
      </x:c>
      <x:c r="D11" s="59">
        <x:v>9961002462</x:v>
      </x:c>
      <x:c r="E11" s="64">
        <x:v>46233</x:v>
      </x:c>
      <x:c r="F11" s="69">
        <x:v>1371.43</x:v>
      </x:c>
      <x:c r="G11" s="69">
        <x:v>260.57</x:v>
      </x:c>
      <x:c r="H11" s="38">
        <x:f t="shared" si="1"/>
        <x:v>1632</x:v>
      </x:c>
      <x:c r="I11" s="59" t="s">
        <x:v>7</x:v>
      </x:c>
      <x:c r="J11" s="64"/>
      <x:c r="K11" s="59" t="s">
        <x:v>37</x:v>
      </x:c>
      <x:c r="L11" s="75"/>
      <x:c r="M11" s="41"/>
      <x:c r="N11" s="38">
        <x:f t="shared" si="0"/>
        <x:v>1632</x:v>
      </x:c>
      <x:c r="O11" s="42"/>
    </x:row>
    <x:row r="12">
      <x:c r="A12" s="54">
        <x:v>46223</x:v>
      </x:c>
      <x:c r="B12" s="59" t="s">
        <x:v>118</x:v>
      </x:c>
      <x:c r="C12" s="59" t="s">
        <x:v>119</x:v>
      </x:c>
      <x:c r="D12" s="59" t="s">
        <x:v>120</x:v>
      </x:c>
      <x:c r="E12" s="64">
        <x:v>46237</x:v>
      </x:c>
      <x:c r="F12" s="70">
        <x:v>1793.3</x:v>
      </x:c>
      <x:c r="G12" s="70"/>
      <x:c r="H12" s="39">
        <x:v>1793.3</x:v>
      </x:c>
      <x:c r="I12" s="59" t="s">
        <x:v>7</x:v>
      </x:c>
      <x:c r="J12" s="64"/>
      <x:c r="K12" s="59" t="s">
        <x:v>9</x:v>
      </x:c>
      <x:c r="L12" s="75"/>
      <x:c r="M12" s="46"/>
      <x:c r="N12" s="39">
        <x:f t="shared" si="0"/>
        <x:v>1793.3</x:v>
      </x:c>
      <x:c r="O12" s="47"/>
    </x:row>
    <x:row r="13">
      <x:c r="A13" s="54"/>
      <x:c r="B13" s="59"/>
      <x:c r="C13" s="59"/>
      <x:c r="D13" s="59"/>
      <x:c r="E13" s="64"/>
      <x:c r="F13" s="69"/>
      <x:c r="G13" s="69"/>
      <x:c r="H13" s="38" t="str">
        <x:f t="shared" si="1"/>
      </x:c>
      <x:c r="I13" s="59"/>
      <x:c r="J13" s="64"/>
      <x:c r="K13" s="59"/>
      <x:c r="L13" s="75"/>
      <x:c r="M13" s="41"/>
      <x:c r="N13" s="38" t="str">
        <x:f t="shared" si="0"/>
      </x:c>
      <x:c r="O13" s="42"/>
    </x:row>
    <x:row r="14">
      <x:c r="A14" s="54"/>
      <x:c r="B14" s="59"/>
      <x:c r="C14" s="59"/>
      <x:c r="D14" s="59"/>
      <x:c r="E14" s="64"/>
      <x:c r="F14" s="70"/>
      <x:c r="G14" s="70"/>
      <x:c r="H14" s="39" t="str">
        <x:f t="shared" si="1"/>
      </x:c>
      <x:c r="I14" s="59"/>
      <x:c r="J14" s="64"/>
      <x:c r="K14" s="59"/>
      <x:c r="L14" s="75"/>
      <x:c r="M14" s="46"/>
      <x:c r="N14" s="39" t="str">
        <x:f t="shared" si="0"/>
      </x:c>
      <x:c r="O14" s="47"/>
    </x:row>
    <x:row r="15">
      <x:c r="A15" s="54"/>
      <x:c r="B15" s="59"/>
      <x:c r="C15" s="59"/>
      <x:c r="D15" s="59"/>
      <x:c r="E15" s="64"/>
      <x:c r="F15" s="69"/>
      <x:c r="G15" s="69"/>
      <x:c r="H15" s="38" t="str">
        <x:f t="shared" si="1"/>
      </x:c>
      <x:c r="I15" s="59"/>
      <x:c r="J15" s="64"/>
      <x:c r="K15" s="59"/>
      <x:c r="L15" s="75"/>
      <x:c r="M15" s="41"/>
      <x:c r="N15" s="38" t="str">
        <x:f t="shared" si="0"/>
      </x:c>
      <x:c r="O15" s="42"/>
    </x:row>
    <x:row r="16">
      <x:c r="A16" s="54"/>
      <x:c r="B16" s="59"/>
      <x:c r="C16" s="59"/>
      <x:c r="D16" s="59"/>
      <x:c r="E16" s="64"/>
      <x:c r="F16" s="70"/>
      <x:c r="G16" s="70"/>
      <x:c r="H16" s="39" t="str">
        <x:f t="shared" si="1"/>
      </x:c>
      <x:c r="I16" s="59"/>
      <x:c r="J16" s="64"/>
      <x:c r="K16" s="59"/>
      <x:c r="L16" s="75"/>
      <x:c r="M16" s="46"/>
      <x:c r="N16" s="39" t="str">
        <x:f t="shared" si="0"/>
      </x:c>
      <x:c r="O16" s="47"/>
    </x:row>
    <x:row r="17">
      <x:c r="A17" s="54"/>
      <x:c r="B17" s="59"/>
      <x:c r="C17" s="59"/>
      <x:c r="D17" s="59"/>
      <x:c r="E17" s="64"/>
      <x:c r="F17" s="69"/>
      <x:c r="G17" s="69"/>
      <x:c r="H17" s="38" t="str">
        <x:f t="shared" si="1"/>
      </x:c>
      <x:c r="I17" s="59"/>
      <x:c r="J17" s="64"/>
      <x:c r="K17" s="59"/>
      <x:c r="L17" s="75"/>
      <x:c r="M17" s="41"/>
      <x:c r="N17" s="38" t="str">
        <x:f t="shared" si="0"/>
      </x:c>
      <x:c r="O17" s="42"/>
    </x:row>
    <x:row r="18">
      <x:c r="A18" s="54"/>
      <x:c r="B18" s="59"/>
      <x:c r="C18" s="59"/>
      <x:c r="D18" s="59"/>
      <x:c r="E18" s="64"/>
      <x:c r="F18" s="70"/>
      <x:c r="G18" s="70"/>
      <x:c r="H18" s="39" t="str">
        <x:f t="shared" si="1"/>
      </x:c>
      <x:c r="I18" s="59"/>
      <x:c r="J18" s="64"/>
      <x:c r="K18" s="59"/>
      <x:c r="L18" s="75"/>
      <x:c r="M18" s="46"/>
      <x:c r="N18" s="39" t="str">
        <x:f t="shared" si="0"/>
      </x:c>
      <x:c r="O18" s="47"/>
    </x:row>
    <x:row r="19">
      <x:c r="A19" s="54"/>
      <x:c r="B19" s="59"/>
      <x:c r="C19" s="59"/>
      <x:c r="D19" s="59"/>
      <x:c r="E19" s="64"/>
      <x:c r="F19" s="69"/>
      <x:c r="G19" s="69"/>
      <x:c r="H19" s="38" t="str">
        <x:f t="shared" si="1"/>
      </x:c>
      <x:c r="I19" s="59"/>
      <x:c r="J19" s="64"/>
      <x:c r="K19" s="59"/>
      <x:c r="L19" s="75"/>
      <x:c r="M19" s="41"/>
      <x:c r="N19" s="38" t="str">
        <x:f t="shared" si="0"/>
      </x:c>
      <x:c r="O19" s="42"/>
    </x:row>
    <x:row r="20">
      <x:c r="A20" s="54"/>
      <x:c r="B20" s="59"/>
      <x:c r="C20" s="59"/>
      <x:c r="D20" s="59"/>
      <x:c r="E20" s="64"/>
      <x:c r="F20" s="70"/>
      <x:c r="G20" s="70"/>
      <x:c r="H20" s="39" t="str">
        <x:f t="shared" si="1"/>
      </x:c>
      <x:c r="I20" s="59"/>
      <x:c r="J20" s="64"/>
      <x:c r="K20" s="59"/>
      <x:c r="L20" s="75"/>
      <x:c r="M20" s="46"/>
      <x:c r="N20" s="39" t="str">
        <x:f t="shared" si="0"/>
      </x:c>
      <x:c r="O20" s="47"/>
    </x:row>
    <x:row r="21">
      <x:c r="A21" s="54"/>
      <x:c r="B21" s="59"/>
      <x:c r="C21" s="59"/>
      <x:c r="D21" s="59"/>
      <x:c r="E21" s="64"/>
      <x:c r="F21" s="69"/>
      <x:c r="G21" s="69"/>
      <x:c r="H21" s="38" t="str">
        <x:f t="shared" si="1"/>
      </x:c>
      <x:c r="I21" s="59"/>
      <x:c r="J21" s="64"/>
      <x:c r="K21" s="59"/>
      <x:c r="L21" s="75"/>
      <x:c r="M21" s="41"/>
      <x:c r="N21" s="38" t="str">
        <x:f t="shared" si="0"/>
      </x:c>
      <x:c r="O21" s="42"/>
    </x:row>
    <x:row r="22">
      <x:c r="A22" s="54"/>
      <x:c r="B22" s="59"/>
      <x:c r="C22" s="59"/>
      <x:c r="D22" s="59"/>
      <x:c r="E22" s="64"/>
      <x:c r="F22" s="70"/>
      <x:c r="G22" s="70"/>
      <x:c r="H22" s="39" t="str">
        <x:f t="shared" si="1"/>
      </x:c>
      <x:c r="I22" s="59"/>
      <x:c r="J22" s="64"/>
      <x:c r="K22" s="59"/>
      <x:c r="L22" s="75"/>
      <x:c r="M22" s="46"/>
      <x:c r="N22" s="39" t="str">
        <x:f t="shared" si="0"/>
      </x:c>
      <x:c r="O22" s="47"/>
    </x:row>
    <x:row r="23">
      <x:c r="A23" s="54"/>
      <x:c r="B23" s="59"/>
      <x:c r="C23" s="59"/>
      <x:c r="D23" s="59"/>
      <x:c r="E23" s="64"/>
      <x:c r="F23" s="69"/>
      <x:c r="G23" s="69"/>
      <x:c r="H23" s="38" t="str">
        <x:f t="shared" si="1"/>
      </x:c>
      <x:c r="I23" s="59"/>
      <x:c r="J23" s="64"/>
      <x:c r="K23" s="59"/>
      <x:c r="L23" s="75"/>
      <x:c r="M23" s="41"/>
      <x:c r="N23" s="38" t="str">
        <x:f t="shared" si="0"/>
      </x:c>
      <x:c r="O23" s="42"/>
    </x:row>
    <x:row r="24">
      <x:c r="A24" s="54"/>
      <x:c r="B24" s="59"/>
      <x:c r="C24" s="59"/>
      <x:c r="D24" s="59"/>
      <x:c r="E24" s="64"/>
      <x:c r="F24" s="70"/>
      <x:c r="G24" s="70"/>
      <x:c r="H24" s="39" t="str">
        <x:f t="shared" si="1"/>
      </x:c>
      <x:c r="I24" s="59"/>
      <x:c r="J24" s="64"/>
      <x:c r="K24" s="59"/>
      <x:c r="L24" s="75"/>
      <x:c r="M24" s="46"/>
      <x:c r="N24" s="39" t="str">
        <x:f t="shared" si="0"/>
      </x:c>
      <x:c r="O24" s="47"/>
    </x:row>
    <x:row r="25">
      <x:c r="A25" s="54"/>
      <x:c r="B25" s="59"/>
      <x:c r="C25" s="59"/>
      <x:c r="D25" s="59"/>
      <x:c r="E25" s="64"/>
      <x:c r="F25" s="69"/>
      <x:c r="G25" s="69"/>
      <x:c r="H25" s="38" t="str">
        <x:f t="shared" si="1"/>
      </x:c>
      <x:c r="I25" s="59"/>
      <x:c r="J25" s="64"/>
      <x:c r="K25" s="59"/>
      <x:c r="L25" s="75"/>
      <x:c r="M25" s="41"/>
      <x:c r="N25" s="38" t="str">
        <x:f t="shared" si="0"/>
      </x:c>
      <x:c r="O25" s="42"/>
    </x:row>
    <x:row r="26">
      <x:c r="A26" s="54"/>
      <x:c r="B26" s="59"/>
      <x:c r="C26" s="59"/>
      <x:c r="D26" s="59"/>
      <x:c r="E26" s="64"/>
      <x:c r="F26" s="70"/>
      <x:c r="G26" s="70"/>
      <x:c r="H26" s="39" t="str">
        <x:f t="shared" si="1"/>
      </x:c>
      <x:c r="I26" s="59"/>
      <x:c r="J26" s="64"/>
      <x:c r="K26" s="59"/>
      <x:c r="L26" s="75"/>
      <x:c r="M26" s="46"/>
      <x:c r="N26" s="39" t="str">
        <x:f t="shared" si="0"/>
      </x:c>
      <x:c r="O26" s="47"/>
    </x:row>
    <x:row r="27">
      <x:c r="A27" s="54"/>
      <x:c r="B27" s="59"/>
      <x:c r="C27" s="59"/>
      <x:c r="D27" s="59"/>
      <x:c r="E27" s="64"/>
      <x:c r="F27" s="69"/>
      <x:c r="G27" s="69"/>
      <x:c r="H27" s="38" t="str">
        <x:f t="shared" si="1"/>
      </x:c>
      <x:c r="I27" s="59"/>
      <x:c r="J27" s="64"/>
      <x:c r="K27" s="59"/>
      <x:c r="L27" s="75"/>
      <x:c r="M27" s="41"/>
      <x:c r="N27" s="38" t="str">
        <x:f t="shared" si="0"/>
      </x:c>
      <x:c r="O27" s="42"/>
    </x:row>
    <x:row r="28">
      <x:c r="A28" s="54"/>
      <x:c r="B28" s="59"/>
      <x:c r="C28" s="59"/>
      <x:c r="D28" s="59"/>
      <x:c r="E28" s="64"/>
      <x:c r="F28" s="70"/>
      <x:c r="G28" s="70"/>
      <x:c r="H28" s="39" t="str">
        <x:f t="shared" si="1"/>
      </x:c>
      <x:c r="I28" s="59"/>
      <x:c r="J28" s="64"/>
      <x:c r="K28" s="59"/>
      <x:c r="L28" s="75"/>
      <x:c r="M28" s="46"/>
      <x:c r="N28" s="39" t="str">
        <x:f t="shared" si="0"/>
      </x:c>
      <x:c r="O28" s="47"/>
    </x:row>
    <x:row r="29">
      <x:c r="A29" s="54"/>
      <x:c r="B29" s="59"/>
      <x:c r="C29" s="59"/>
      <x:c r="D29" s="59"/>
      <x:c r="E29" s="64"/>
      <x:c r="F29" s="69"/>
      <x:c r="G29" s="69"/>
      <x:c r="H29" s="38" t="str">
        <x:f t="shared" si="1"/>
      </x:c>
      <x:c r="I29" s="59"/>
      <x:c r="J29" s="64"/>
      <x:c r="K29" s="59"/>
      <x:c r="L29" s="75"/>
      <x:c r="M29" s="41"/>
      <x:c r="N29" s="38" t="str">
        <x:f t="shared" si="0"/>
      </x:c>
      <x:c r="O29" s="42"/>
    </x:row>
    <x:row r="30">
      <x:c r="A30" s="54"/>
      <x:c r="B30" s="59"/>
      <x:c r="C30" s="59"/>
      <x:c r="D30" s="59"/>
      <x:c r="E30" s="64"/>
      <x:c r="F30" s="70"/>
      <x:c r="G30" s="70"/>
      <x:c r="H30" s="39" t="str">
        <x:f t="shared" si="1"/>
      </x:c>
      <x:c r="I30" s="59"/>
      <x:c r="J30" s="64"/>
      <x:c r="K30" s="59"/>
      <x:c r="L30" s="75"/>
      <x:c r="M30" s="46"/>
      <x:c r="N30" s="39" t="str">
        <x:f t="shared" si="0"/>
      </x:c>
      <x:c r="O30" s="47"/>
    </x:row>
    <x:row r="31">
      <x:c r="A31" s="54"/>
      <x:c r="B31" s="59"/>
      <x:c r="C31" s="59"/>
      <x:c r="D31" s="59"/>
      <x:c r="E31" s="64"/>
      <x:c r="F31" s="69"/>
      <x:c r="G31" s="69"/>
      <x:c r="H31" s="38" t="str">
        <x:f t="shared" si="1"/>
      </x:c>
      <x:c r="I31" s="59"/>
      <x:c r="J31" s="64"/>
      <x:c r="K31" s="59"/>
      <x:c r="L31" s="75"/>
      <x:c r="M31" s="41"/>
      <x:c r="N31" s="38" t="str">
        <x:f t="shared" si="0"/>
      </x:c>
      <x:c r="O31" s="42"/>
    </x:row>
    <x:row r="32">
      <x:c r="A32" s="54"/>
      <x:c r="B32" s="59"/>
      <x:c r="C32" s="59"/>
      <x:c r="D32" s="59"/>
      <x:c r="E32" s="64"/>
      <x:c r="F32" s="70"/>
      <x:c r="G32" s="70"/>
      <x:c r="H32" s="39" t="str">
        <x:f t="shared" si="1"/>
      </x:c>
      <x:c r="I32" s="59"/>
      <x:c r="J32" s="64"/>
      <x:c r="K32" s="59"/>
      <x:c r="L32" s="75"/>
      <x:c r="M32" s="46"/>
      <x:c r="N32" s="39" t="str">
        <x:f t="shared" si="0"/>
      </x:c>
      <x:c r="O32" s="47"/>
    </x:row>
    <x:row r="33">
      <x:c r="A33" s="54"/>
      <x:c r="B33" s="59"/>
      <x:c r="C33" s="59"/>
      <x:c r="D33" s="59"/>
      <x:c r="E33" s="64"/>
      <x:c r="F33" s="69"/>
      <x:c r="G33" s="69"/>
      <x:c r="H33" s="38" t="str">
        <x:f t="shared" si="1"/>
      </x:c>
      <x:c r="I33" s="59"/>
      <x:c r="J33" s="64"/>
      <x:c r="K33" s="59"/>
      <x:c r="L33" s="75"/>
      <x:c r="M33" s="41"/>
      <x:c r="N33" s="38" t="str">
        <x:f t="shared" si="0"/>
      </x:c>
      <x:c r="O33" s="42"/>
    </x:row>
    <x:row r="34">
      <x:c r="A34" s="54"/>
      <x:c r="B34" s="59"/>
      <x:c r="C34" s="59"/>
      <x:c r="D34" s="59"/>
      <x:c r="E34" s="64"/>
      <x:c r="F34" s="70"/>
      <x:c r="G34" s="70"/>
      <x:c r="H34" s="39" t="str">
        <x:f t="shared" si="1"/>
      </x:c>
      <x:c r="I34" s="59"/>
      <x:c r="J34" s="64"/>
      <x:c r="K34" s="59"/>
      <x:c r="L34" s="75"/>
      <x:c r="M34" s="46"/>
      <x:c r="N34" s="39" t="str">
        <x:f t="shared" si="0"/>
      </x:c>
      <x:c r="O34" s="47"/>
    </x:row>
    <x:row r="35">
      <x:c r="A35" s="54"/>
      <x:c r="B35" s="59"/>
      <x:c r="C35" s="59"/>
      <x:c r="D35" s="59"/>
      <x:c r="E35" s="64"/>
      <x:c r="F35" s="69"/>
      <x:c r="G35" s="69"/>
      <x:c r="H35" s="38" t="str">
        <x:f t="shared" si="1"/>
      </x:c>
      <x:c r="I35" s="59"/>
      <x:c r="J35" s="64"/>
      <x:c r="K35" s="59"/>
      <x:c r="L35" s="75"/>
      <x:c r="M35" s="41"/>
      <x:c r="N35" s="38" t="str">
        <x:f t="shared" si="0"/>
      </x:c>
      <x:c r="O35" s="42"/>
    </x:row>
    <x:row r="36">
      <x:c r="A36" s="54"/>
      <x:c r="B36" s="59"/>
      <x:c r="C36" s="59"/>
      <x:c r="D36" s="59"/>
      <x:c r="E36" s="64"/>
      <x:c r="F36" s="70"/>
      <x:c r="G36" s="70"/>
      <x:c r="H36" s="39" t="str">
        <x:f t="shared" si="1"/>
      </x:c>
      <x:c r="I36" s="59"/>
      <x:c r="J36" s="64"/>
      <x:c r="K36" s="59"/>
      <x:c r="L36" s="75"/>
      <x:c r="M36" s="46"/>
      <x:c r="N36" s="39" t="str">
        <x:f t="shared" si="0"/>
      </x:c>
      <x:c r="O36" s="47"/>
    </x:row>
    <x:row r="37">
      <x:c r="A37" s="54"/>
      <x:c r="B37" s="59"/>
      <x:c r="C37" s="59"/>
      <x:c r="D37" s="59"/>
      <x:c r="E37" s="64"/>
      <x:c r="F37" s="69"/>
      <x:c r="G37" s="69"/>
      <x:c r="H37" s="38" t="str">
        <x:f t="shared" si="1"/>
      </x:c>
      <x:c r="I37" s="59"/>
      <x:c r="J37" s="64"/>
      <x:c r="K37" s="59"/>
      <x:c r="L37" s="75"/>
      <x:c r="M37" s="41"/>
      <x:c r="N37" s="38" t="str">
        <x:f t="shared" si="0"/>
      </x:c>
      <x:c r="O37" s="42"/>
    </x:row>
    <x:row r="38">
      <x:c r="A38" s="54"/>
      <x:c r="B38" s="59"/>
      <x:c r="C38" s="59"/>
      <x:c r="D38" s="59"/>
      <x:c r="E38" s="64"/>
      <x:c r="F38" s="70"/>
      <x:c r="G38" s="70"/>
      <x:c r="H38" s="39" t="str">
        <x:f t="shared" si="1"/>
      </x:c>
      <x:c r="I38" s="59"/>
      <x:c r="J38" s="64"/>
      <x:c r="K38" s="59"/>
      <x:c r="L38" s="75"/>
      <x:c r="M38" s="46"/>
      <x:c r="N38" s="39" t="str">
        <x:f t="shared" si="0"/>
      </x:c>
      <x:c r="O38" s="47"/>
    </x:row>
    <x:row r="39">
      <x:c r="A39" s="54"/>
      <x:c r="B39" s="59"/>
      <x:c r="C39" s="59"/>
      <x:c r="D39" s="59"/>
      <x:c r="E39" s="64"/>
      <x:c r="F39" s="69"/>
      <x:c r="G39" s="69"/>
      <x:c r="H39" s="38" t="str">
        <x:f t="shared" si="1"/>
      </x:c>
      <x:c r="I39" s="59"/>
      <x:c r="J39" s="64"/>
      <x:c r="K39" s="59"/>
      <x:c r="L39" s="75"/>
      <x:c r="M39" s="41"/>
      <x:c r="N39" s="38" t="str">
        <x:f t="shared" si="0"/>
      </x:c>
      <x:c r="O39" s="42"/>
    </x:row>
    <x:row r="40">
      <x:c r="A40" s="54"/>
      <x:c r="B40" s="59"/>
      <x:c r="C40" s="59"/>
      <x:c r="D40" s="59"/>
      <x:c r="E40" s="64"/>
      <x:c r="F40" s="70"/>
      <x:c r="G40" s="70"/>
      <x:c r="H40" s="39" t="str">
        <x:f t="shared" si="1"/>
      </x:c>
      <x:c r="I40" s="59"/>
      <x:c r="J40" s="64"/>
      <x:c r="K40" s="59"/>
      <x:c r="L40" s="75"/>
      <x:c r="M40" s="46"/>
      <x:c r="N40" s="39" t="str">
        <x:f t="shared" si="0"/>
      </x:c>
      <x:c r="O40" s="47"/>
    </x:row>
    <x:row r="41">
      <x:c r="A41" s="54"/>
      <x:c r="B41" s="59"/>
      <x:c r="C41" s="59"/>
      <x:c r="D41" s="59"/>
      <x:c r="E41" s="64"/>
      <x:c r="F41" s="69"/>
      <x:c r="G41" s="69"/>
      <x:c r="H41" s="38" t="str">
        <x:f t="shared" si="1"/>
      </x:c>
      <x:c r="I41" s="59"/>
      <x:c r="J41" s="64"/>
      <x:c r="K41" s="59"/>
      <x:c r="L41" s="75"/>
      <x:c r="M41" s="41"/>
      <x:c r="N41" s="38" t="str">
        <x:f t="shared" si="0"/>
      </x:c>
      <x:c r="O41" s="42"/>
    </x:row>
    <x:row r="42">
      <x:c r="A42" s="54"/>
      <x:c r="B42" s="59"/>
      <x:c r="C42" s="59"/>
      <x:c r="D42" s="59"/>
      <x:c r="E42" s="64"/>
      <x:c r="F42" s="70"/>
      <x:c r="G42" s="70"/>
      <x:c r="H42" s="39" t="str">
        <x:f t="shared" si="1"/>
      </x:c>
      <x:c r="I42" s="59"/>
      <x:c r="J42" s="64"/>
      <x:c r="K42" s="59"/>
      <x:c r="L42" s="75"/>
      <x:c r="M42" s="46"/>
      <x:c r="N42" s="39" t="str">
        <x:f t="shared" si="0"/>
      </x:c>
      <x:c r="O42" s="47"/>
    </x:row>
    <x:row r="43">
      <x:c r="A43" s="54"/>
      <x:c r="B43" s="59"/>
      <x:c r="C43" s="59"/>
      <x:c r="D43" s="59"/>
      <x:c r="E43" s="64"/>
      <x:c r="F43" s="69"/>
      <x:c r="G43" s="69"/>
      <x:c r="H43" s="38" t="str">
        <x:f t="shared" si="1"/>
      </x:c>
      <x:c r="I43" s="59"/>
      <x:c r="J43" s="64"/>
      <x:c r="K43" s="59"/>
      <x:c r="L43" s="75"/>
      <x:c r="M43" s="41"/>
      <x:c r="N43" s="38" t="str">
        <x:f t="shared" si="0"/>
      </x:c>
      <x:c r="O43" s="42"/>
    </x:row>
    <x:row r="44">
      <x:c r="A44" s="54"/>
      <x:c r="B44" s="59"/>
      <x:c r="C44" s="59"/>
      <x:c r="D44" s="59"/>
      <x:c r="E44" s="64"/>
      <x:c r="F44" s="70"/>
      <x:c r="G44" s="70"/>
      <x:c r="H44" s="39" t="str">
        <x:f t="shared" si="1"/>
      </x:c>
      <x:c r="I44" s="59"/>
      <x:c r="J44" s="64"/>
      <x:c r="K44" s="59"/>
      <x:c r="L44" s="75"/>
      <x:c r="M44" s="46"/>
      <x:c r="N44" s="39" t="str">
        <x:f t="shared" si="0"/>
      </x:c>
      <x:c r="O44" s="47"/>
    </x:row>
    <x:row r="45">
      <x:c r="A45" s="54"/>
      <x:c r="B45" s="59"/>
      <x:c r="C45" s="59"/>
      <x:c r="D45" s="59"/>
      <x:c r="E45" s="64"/>
      <x:c r="F45" s="69"/>
      <x:c r="G45" s="69"/>
      <x:c r="H45" s="38" t="str">
        <x:f t="shared" si="1"/>
      </x:c>
      <x:c r="I45" s="59"/>
      <x:c r="J45" s="64"/>
      <x:c r="K45" s="59"/>
      <x:c r="L45" s="75"/>
      <x:c r="M45" s="41"/>
      <x:c r="N45" s="38" t="str">
        <x:f t="shared" si="0"/>
      </x:c>
      <x:c r="O45" s="42"/>
    </x:row>
    <x:row r="46">
      <x:c r="A46" s="54"/>
      <x:c r="B46" s="59"/>
      <x:c r="C46" s="59"/>
      <x:c r="D46" s="59"/>
      <x:c r="E46" s="64"/>
      <x:c r="F46" s="70"/>
      <x:c r="G46" s="70"/>
      <x:c r="H46" s="39" t="str">
        <x:f t="shared" si="1"/>
      </x:c>
      <x:c r="I46" s="59"/>
      <x:c r="J46" s="64"/>
      <x:c r="K46" s="59"/>
      <x:c r="L46" s="75"/>
      <x:c r="M46" s="46"/>
      <x:c r="N46" s="39" t="str">
        <x:f t="shared" si="0"/>
      </x:c>
      <x:c r="O46" s="47"/>
    </x:row>
    <x:row r="47">
      <x:c r="A47" s="54"/>
      <x:c r="B47" s="59"/>
      <x:c r="C47" s="59"/>
      <x:c r="D47" s="59"/>
      <x:c r="E47" s="64"/>
      <x:c r="F47" s="69"/>
      <x:c r="G47" s="69"/>
      <x:c r="H47" s="38" t="str">
        <x:f t="shared" si="1"/>
      </x:c>
      <x:c r="I47" s="59"/>
      <x:c r="J47" s="64"/>
      <x:c r="K47" s="59"/>
      <x:c r="L47" s="75"/>
      <x:c r="M47" s="41"/>
      <x:c r="N47" s="38" t="str">
        <x:f t="shared" si="0"/>
      </x:c>
      <x:c r="O47" s="42"/>
    </x:row>
    <x:row r="48">
      <x:c r="A48" s="54"/>
      <x:c r="B48" s="59"/>
      <x:c r="C48" s="59"/>
      <x:c r="D48" s="59"/>
      <x:c r="E48" s="64"/>
      <x:c r="F48" s="70"/>
      <x:c r="G48" s="70"/>
      <x:c r="H48" s="39" t="str">
        <x:f t="shared" si="1"/>
      </x:c>
      <x:c r="I48" s="59"/>
      <x:c r="J48" s="64"/>
      <x:c r="K48" s="59"/>
      <x:c r="L48" s="75"/>
      <x:c r="M48" s="46"/>
      <x:c r="N48" s="39" t="str">
        <x:f t="shared" si="0"/>
      </x:c>
      <x:c r="O48" s="47"/>
    </x:row>
    <x:row r="49">
      <x:c r="A49" s="54"/>
      <x:c r="B49" s="59"/>
      <x:c r="C49" s="59"/>
      <x:c r="D49" s="59"/>
      <x:c r="E49" s="64"/>
      <x:c r="F49" s="69"/>
      <x:c r="G49" s="69"/>
      <x:c r="H49" s="38" t="str">
        <x:f t="shared" si="1"/>
      </x:c>
      <x:c r="I49" s="59"/>
      <x:c r="J49" s="64"/>
      <x:c r="K49" s="59"/>
      <x:c r="L49" s="75"/>
      <x:c r="M49" s="41"/>
      <x:c r="N49" s="38" t="str">
        <x:f t="shared" si="0"/>
      </x:c>
      <x:c r="O49" s="42"/>
    </x:row>
    <x:row r="50">
      <x:c r="A50" s="54"/>
      <x:c r="B50" s="59"/>
      <x:c r="C50" s="59"/>
      <x:c r="D50" s="59"/>
      <x:c r="E50" s="64"/>
      <x:c r="F50" s="70"/>
      <x:c r="G50" s="70"/>
      <x:c r="H50" s="39" t="str">
        <x:f t="shared" si="1"/>
      </x:c>
      <x:c r="I50" s="59"/>
      <x:c r="J50" s="64"/>
      <x:c r="K50" s="59"/>
      <x:c r="L50" s="75"/>
      <x:c r="M50" s="46"/>
      <x:c r="N50" s="39" t="str">
        <x:f t="shared" si="0"/>
      </x:c>
      <x:c r="O50" s="47"/>
    </x:row>
    <x:row r="51">
      <x:c r="A51" s="54"/>
      <x:c r="B51" s="59"/>
      <x:c r="C51" s="59"/>
      <x:c r="D51" s="59"/>
      <x:c r="E51" s="64"/>
      <x:c r="F51" s="69"/>
      <x:c r="G51" s="69"/>
      <x:c r="H51" s="38" t="str">
        <x:f t="shared" si="1"/>
      </x:c>
      <x:c r="I51" s="59"/>
      <x:c r="J51" s="64"/>
      <x:c r="K51" s="59"/>
      <x:c r="L51" s="75"/>
      <x:c r="M51" s="41"/>
      <x:c r="N51" s="38" t="str">
        <x:f t="shared" si="0"/>
      </x:c>
      <x:c r="O51" s="42"/>
    </x:row>
    <x:row r="52">
      <x:c r="A52" s="54"/>
      <x:c r="B52" s="59"/>
      <x:c r="C52" s="59"/>
      <x:c r="D52" s="59"/>
      <x:c r="E52" s="64"/>
      <x:c r="F52" s="70"/>
      <x:c r="G52" s="70"/>
      <x:c r="H52" s="39" t="str">
        <x:f t="shared" si="1"/>
      </x:c>
      <x:c r="I52" s="59"/>
      <x:c r="J52" s="64"/>
      <x:c r="K52" s="59"/>
      <x:c r="L52" s="75"/>
      <x:c r="M52" s="46"/>
      <x:c r="N52" s="39" t="str">
        <x:f t="shared" si="0"/>
      </x:c>
      <x:c r="O52" s="47"/>
    </x:row>
    <x:row r="53">
      <x:c r="A53" s="54"/>
      <x:c r="B53" s="59"/>
      <x:c r="C53" s="59"/>
      <x:c r="D53" s="59"/>
      <x:c r="E53" s="64"/>
      <x:c r="F53" s="69"/>
      <x:c r="G53" s="69"/>
      <x:c r="H53" s="38" t="str">
        <x:f t="shared" si="1"/>
      </x:c>
      <x:c r="I53" s="59"/>
      <x:c r="J53" s="64"/>
      <x:c r="K53" s="59"/>
      <x:c r="L53" s="75"/>
      <x:c r="M53" s="41"/>
      <x:c r="N53" s="38" t="str">
        <x:f t="shared" si="0"/>
      </x:c>
      <x:c r="O53" s="42"/>
    </x:row>
    <x:row r="54">
      <x:c r="A54" s="54"/>
      <x:c r="B54" s="59"/>
      <x:c r="C54" s="59"/>
      <x:c r="D54" s="59"/>
      <x:c r="E54" s="64"/>
      <x:c r="F54" s="70"/>
      <x:c r="G54" s="70"/>
      <x:c r="H54" s="39" t="str">
        <x:f t="shared" si="1"/>
      </x:c>
      <x:c r="I54" s="59"/>
      <x:c r="J54" s="64"/>
      <x:c r="K54" s="59"/>
      <x:c r="L54" s="75"/>
      <x:c r="M54" s="46"/>
      <x:c r="N54" s="39" t="str">
        <x:f t="shared" si="0"/>
      </x:c>
      <x:c r="O54" s="47"/>
    </x:row>
    <x:row r="55">
      <x:c r="A55" s="54"/>
      <x:c r="B55" s="59"/>
      <x:c r="C55" s="59"/>
      <x:c r="D55" s="59"/>
      <x:c r="E55" s="64"/>
      <x:c r="F55" s="69"/>
      <x:c r="G55" s="69"/>
      <x:c r="H55" s="38" t="str">
        <x:f t="shared" si="1"/>
      </x:c>
      <x:c r="I55" s="59"/>
      <x:c r="J55" s="64"/>
      <x:c r="K55" s="59"/>
      <x:c r="L55" s="75"/>
      <x:c r="M55" s="41"/>
      <x:c r="N55" s="38" t="str">
        <x:f t="shared" si="0"/>
      </x:c>
      <x:c r="O55" s="42"/>
    </x:row>
    <x:row r="56">
      <x:c r="A56" s="54"/>
      <x:c r="B56" s="59"/>
      <x:c r="C56" s="59"/>
      <x:c r="D56" s="59"/>
      <x:c r="E56" s="64"/>
      <x:c r="F56" s="70"/>
      <x:c r="G56" s="70"/>
      <x:c r="H56" s="39" t="str">
        <x:f t="shared" si="1"/>
      </x:c>
      <x:c r="I56" s="59"/>
      <x:c r="J56" s="64"/>
      <x:c r="K56" s="59"/>
      <x:c r="L56" s="75"/>
      <x:c r="M56" s="46"/>
      <x:c r="N56" s="39" t="str">
        <x:f t="shared" si="0"/>
      </x:c>
      <x:c r="O56" s="47"/>
    </x:row>
    <x:row r="57">
      <x:c r="A57" s="54"/>
      <x:c r="B57" s="59"/>
      <x:c r="C57" s="59"/>
      <x:c r="D57" s="59"/>
      <x:c r="E57" s="64"/>
      <x:c r="F57" s="69"/>
      <x:c r="G57" s="69"/>
      <x:c r="H57" s="38" t="str">
        <x:f t="shared" si="1"/>
      </x:c>
      <x:c r="I57" s="59"/>
      <x:c r="J57" s="64"/>
      <x:c r="K57" s="59"/>
      <x:c r="L57" s="75"/>
      <x:c r="M57" s="41"/>
      <x:c r="N57" s="38" t="str">
        <x:f t="shared" si="0"/>
      </x:c>
      <x:c r="O57" s="42"/>
    </x:row>
    <x:row r="58">
      <x:c r="A58" s="54"/>
      <x:c r="B58" s="59"/>
      <x:c r="C58" s="59"/>
      <x:c r="D58" s="59"/>
      <x:c r="E58" s="64"/>
      <x:c r="F58" s="70"/>
      <x:c r="G58" s="70"/>
      <x:c r="H58" s="39" t="str">
        <x:f t="shared" si="1"/>
      </x:c>
      <x:c r="I58" s="59"/>
      <x:c r="J58" s="64"/>
      <x:c r="K58" s="59"/>
      <x:c r="L58" s="75"/>
      <x:c r="M58" s="46"/>
      <x:c r="N58" s="39" t="str">
        <x:f t="shared" si="0"/>
      </x:c>
      <x:c r="O58" s="47"/>
    </x:row>
    <x:row r="59">
      <x:c r="A59" s="54"/>
      <x:c r="B59" s="59"/>
      <x:c r="C59" s="59"/>
      <x:c r="D59" s="59"/>
      <x:c r="E59" s="64"/>
      <x:c r="F59" s="69"/>
      <x:c r="G59" s="69"/>
      <x:c r="H59" s="38" t="str">
        <x:f t="shared" si="1"/>
      </x:c>
      <x:c r="I59" s="59"/>
      <x:c r="J59" s="64"/>
      <x:c r="K59" s="59"/>
      <x:c r="L59" s="75"/>
      <x:c r="M59" s="41"/>
      <x:c r="N59" s="38" t="str">
        <x:f t="shared" si="0"/>
      </x:c>
      <x:c r="O59" s="42"/>
    </x:row>
    <x:row r="60">
      <x:c r="A60" s="54"/>
      <x:c r="B60" s="59"/>
      <x:c r="C60" s="59"/>
      <x:c r="D60" s="59"/>
      <x:c r="E60" s="64"/>
      <x:c r="F60" s="70"/>
      <x:c r="G60" s="70"/>
      <x:c r="H60" s="39" t="str">
        <x:f t="shared" si="1"/>
      </x:c>
      <x:c r="I60" s="59"/>
      <x:c r="J60" s="64"/>
      <x:c r="K60" s="59"/>
      <x:c r="L60" s="75"/>
      <x:c r="M60" s="46"/>
      <x:c r="N60" s="39" t="str">
        <x:f t="shared" si="0"/>
      </x:c>
      <x:c r="O60" s="47"/>
    </x:row>
    <x:row r="61">
      <x:c r="A61" s="54"/>
      <x:c r="B61" s="59"/>
      <x:c r="C61" s="59"/>
      <x:c r="D61" s="59"/>
      <x:c r="E61" s="64"/>
      <x:c r="F61" s="69"/>
      <x:c r="G61" s="69"/>
      <x:c r="H61" s="38" t="str">
        <x:f t="shared" si="1"/>
      </x:c>
      <x:c r="I61" s="59"/>
      <x:c r="J61" s="64"/>
      <x:c r="K61" s="59"/>
      <x:c r="L61" s="75"/>
      <x:c r="M61" s="41"/>
      <x:c r="N61" s="38" t="str">
        <x:f t="shared" si="0"/>
      </x:c>
      <x:c r="O61" s="42"/>
    </x:row>
    <x:row r="62">
      <x:c r="A62" s="54"/>
      <x:c r="B62" s="59"/>
      <x:c r="C62" s="59"/>
      <x:c r="D62" s="59"/>
      <x:c r="E62" s="64"/>
      <x:c r="F62" s="70"/>
      <x:c r="G62" s="70"/>
      <x:c r="H62" s="39" t="str">
        <x:f t="shared" si="1"/>
      </x:c>
      <x:c r="I62" s="59"/>
      <x:c r="J62" s="64"/>
      <x:c r="K62" s="59"/>
      <x:c r="L62" s="75"/>
      <x:c r="M62" s="46"/>
      <x:c r="N62" s="39" t="str">
        <x:f t="shared" si="0"/>
      </x:c>
      <x:c r="O62" s="47"/>
    </x:row>
    <x:row r="63">
      <x:c r="A63" s="54"/>
      <x:c r="B63" s="59"/>
      <x:c r="C63" s="59"/>
      <x:c r="D63" s="59"/>
      <x:c r="E63" s="64"/>
      <x:c r="F63" s="69"/>
      <x:c r="G63" s="69"/>
      <x:c r="H63" s="38" t="str">
        <x:f t="shared" si="1"/>
      </x:c>
      <x:c r="I63" s="59"/>
      <x:c r="J63" s="64"/>
      <x:c r="K63" s="59"/>
      <x:c r="L63" s="75"/>
      <x:c r="M63" s="41"/>
      <x:c r="N63" s="38" t="str">
        <x:f t="shared" si="0"/>
      </x:c>
      <x:c r="O63" s="42"/>
    </x:row>
    <x:row r="64">
      <x:c r="A64" s="54"/>
      <x:c r="B64" s="59"/>
      <x:c r="C64" s="59"/>
      <x:c r="D64" s="59"/>
      <x:c r="E64" s="64"/>
      <x:c r="F64" s="70"/>
      <x:c r="G64" s="70"/>
      <x:c r="H64" s="39" t="str">
        <x:f t="shared" si="1"/>
      </x:c>
      <x:c r="I64" s="59"/>
      <x:c r="J64" s="64"/>
      <x:c r="K64" s="59"/>
      <x:c r="L64" s="75"/>
      <x:c r="M64" s="46"/>
      <x:c r="N64" s="39" t="str">
        <x:f t="shared" si="0"/>
      </x:c>
      <x:c r="O64" s="47"/>
    </x:row>
    <x:row r="65">
      <x:c r="A65" s="54"/>
      <x:c r="B65" s="59"/>
      <x:c r="C65" s="59"/>
      <x:c r="D65" s="59"/>
      <x:c r="E65" s="64"/>
      <x:c r="F65" s="69"/>
      <x:c r="G65" s="69"/>
      <x:c r="H65" s="38" t="str">
        <x:f t="shared" si="1"/>
      </x:c>
      <x:c r="I65" s="59"/>
      <x:c r="J65" s="64"/>
      <x:c r="K65" s="59"/>
      <x:c r="L65" s="75"/>
      <x:c r="M65" s="41"/>
      <x:c r="N65" s="38" t="str">
        <x:f t="shared" si="0"/>
      </x:c>
      <x:c r="O65" s="42"/>
    </x:row>
    <x:row r="66">
      <x:c r="A66" s="54"/>
      <x:c r="B66" s="59"/>
      <x:c r="C66" s="59"/>
      <x:c r="D66" s="59"/>
      <x:c r="E66" s="64"/>
      <x:c r="F66" s="70"/>
      <x:c r="G66" s="70"/>
      <x:c r="H66" s="39" t="str">
        <x:f t="shared" ref="H66:H129" si="2">IF(OR(F66="",G66=""),"",F66+G66)</x:f>
      </x:c>
      <x:c r="I66" s="59"/>
      <x:c r="J66" s="64"/>
      <x:c r="K66" s="59"/>
      <x:c r="L66" s="75"/>
      <x:c r="M66" s="46"/>
      <x:c r="N66" s="39" t="str">
        <x:f t="shared" ref="N66:N129" si="3">IF(H66="","",IF(AND(L66&gt;0,M66&gt;=TODAY()),H66*(1-L66),H66))</x:f>
      </x:c>
      <x:c r="O66" s="47"/>
    </x:row>
    <x:row r="67">
      <x:c r="A67" s="54"/>
      <x:c r="B67" s="59"/>
      <x:c r="C67" s="59"/>
      <x:c r="D67" s="59"/>
      <x:c r="E67" s="64"/>
      <x:c r="F67" s="69"/>
      <x:c r="G67" s="69"/>
      <x:c r="H67" s="38" t="str">
        <x:f t="shared" si="2"/>
      </x:c>
      <x:c r="I67" s="59"/>
      <x:c r="J67" s="64"/>
      <x:c r="K67" s="59"/>
      <x:c r="L67" s="75"/>
      <x:c r="M67" s="41"/>
      <x:c r="N67" s="38" t="str">
        <x:f t="shared" si="3"/>
      </x:c>
      <x:c r="O67" s="42"/>
    </x:row>
    <x:row r="68">
      <x:c r="A68" s="54"/>
      <x:c r="B68" s="59"/>
      <x:c r="C68" s="59"/>
      <x:c r="D68" s="59"/>
      <x:c r="E68" s="64"/>
      <x:c r="F68" s="70"/>
      <x:c r="G68" s="70"/>
      <x:c r="H68" s="39" t="str">
        <x:f t="shared" si="2"/>
      </x:c>
      <x:c r="I68" s="59"/>
      <x:c r="J68" s="64"/>
      <x:c r="K68" s="59"/>
      <x:c r="L68" s="75"/>
      <x:c r="M68" s="46"/>
      <x:c r="N68" s="39" t="str">
        <x:f t="shared" si="3"/>
      </x:c>
      <x:c r="O68" s="47"/>
    </x:row>
    <x:row r="69">
      <x:c r="A69" s="54"/>
      <x:c r="B69" s="59"/>
      <x:c r="C69" s="59"/>
      <x:c r="D69" s="59"/>
      <x:c r="E69" s="64"/>
      <x:c r="F69" s="69"/>
      <x:c r="G69" s="69"/>
      <x:c r="H69" s="38" t="str">
        <x:f t="shared" si="2"/>
      </x:c>
      <x:c r="I69" s="59"/>
      <x:c r="J69" s="64"/>
      <x:c r="K69" s="59"/>
      <x:c r="L69" s="75"/>
      <x:c r="M69" s="41"/>
      <x:c r="N69" s="38" t="str">
        <x:f t="shared" si="3"/>
      </x:c>
      <x:c r="O69" s="42"/>
    </x:row>
    <x:row r="70">
      <x:c r="A70" s="54"/>
      <x:c r="B70" s="59"/>
      <x:c r="C70" s="59"/>
      <x:c r="D70" s="59"/>
      <x:c r="E70" s="64"/>
      <x:c r="F70" s="70"/>
      <x:c r="G70" s="70"/>
      <x:c r="H70" s="39" t="str">
        <x:f t="shared" si="2"/>
      </x:c>
      <x:c r="I70" s="59"/>
      <x:c r="J70" s="64"/>
      <x:c r="K70" s="59"/>
      <x:c r="L70" s="75"/>
      <x:c r="M70" s="46"/>
      <x:c r="N70" s="39" t="str">
        <x:f t="shared" si="3"/>
      </x:c>
      <x:c r="O70" s="47"/>
    </x:row>
    <x:row r="71">
      <x:c r="A71" s="54"/>
      <x:c r="B71" s="59"/>
      <x:c r="C71" s="59"/>
      <x:c r="D71" s="59"/>
      <x:c r="E71" s="64"/>
      <x:c r="F71" s="69"/>
      <x:c r="G71" s="69"/>
      <x:c r="H71" s="38" t="str">
        <x:f t="shared" si="2"/>
      </x:c>
      <x:c r="I71" s="59"/>
      <x:c r="J71" s="64"/>
      <x:c r="K71" s="59"/>
      <x:c r="L71" s="75"/>
      <x:c r="M71" s="41"/>
      <x:c r="N71" s="38" t="str">
        <x:f t="shared" si="3"/>
      </x:c>
      <x:c r="O71" s="42"/>
    </x:row>
    <x:row r="72">
      <x:c r="A72" s="54"/>
      <x:c r="B72" s="59"/>
      <x:c r="C72" s="59"/>
      <x:c r="D72" s="59"/>
      <x:c r="E72" s="64"/>
      <x:c r="F72" s="70"/>
      <x:c r="G72" s="70"/>
      <x:c r="H72" s="39" t="str">
        <x:f t="shared" si="2"/>
      </x:c>
      <x:c r="I72" s="59"/>
      <x:c r="J72" s="64"/>
      <x:c r="K72" s="59"/>
      <x:c r="L72" s="75"/>
      <x:c r="M72" s="46"/>
      <x:c r="N72" s="39" t="str">
        <x:f t="shared" si="3"/>
      </x:c>
      <x:c r="O72" s="47"/>
    </x:row>
    <x:row r="73">
      <x:c r="A73" s="54"/>
      <x:c r="B73" s="59"/>
      <x:c r="C73" s="59"/>
      <x:c r="D73" s="59"/>
      <x:c r="E73" s="64"/>
      <x:c r="F73" s="69"/>
      <x:c r="G73" s="69"/>
      <x:c r="H73" s="38" t="str">
        <x:f t="shared" si="2"/>
      </x:c>
      <x:c r="I73" s="59"/>
      <x:c r="J73" s="64"/>
      <x:c r="K73" s="59"/>
      <x:c r="L73" s="75"/>
      <x:c r="M73" s="41"/>
      <x:c r="N73" s="38" t="str">
        <x:f t="shared" si="3"/>
      </x:c>
      <x:c r="O73" s="42"/>
    </x:row>
    <x:row r="74">
      <x:c r="A74" s="54"/>
      <x:c r="B74" s="59"/>
      <x:c r="C74" s="59"/>
      <x:c r="D74" s="59"/>
      <x:c r="E74" s="64"/>
      <x:c r="F74" s="70"/>
      <x:c r="G74" s="70"/>
      <x:c r="H74" s="39" t="str">
        <x:f t="shared" si="2"/>
      </x:c>
      <x:c r="I74" s="59"/>
      <x:c r="J74" s="64"/>
      <x:c r="K74" s="59"/>
      <x:c r="L74" s="75"/>
      <x:c r="M74" s="46"/>
      <x:c r="N74" s="39" t="str">
        <x:f t="shared" si="3"/>
      </x:c>
      <x:c r="O74" s="47"/>
    </x:row>
    <x:row r="75">
      <x:c r="A75" s="54"/>
      <x:c r="B75" s="59"/>
      <x:c r="C75" s="59"/>
      <x:c r="D75" s="59"/>
      <x:c r="E75" s="64"/>
      <x:c r="F75" s="69"/>
      <x:c r="G75" s="69"/>
      <x:c r="H75" s="38" t="str">
        <x:f t="shared" si="2"/>
      </x:c>
      <x:c r="I75" s="59"/>
      <x:c r="J75" s="64"/>
      <x:c r="K75" s="59"/>
      <x:c r="L75" s="75"/>
      <x:c r="M75" s="41"/>
      <x:c r="N75" s="38" t="str">
        <x:f t="shared" si="3"/>
      </x:c>
      <x:c r="O75" s="42"/>
    </x:row>
    <x:row r="76">
      <x:c r="A76" s="54"/>
      <x:c r="B76" s="59"/>
      <x:c r="C76" s="59"/>
      <x:c r="D76" s="59"/>
      <x:c r="E76" s="64"/>
      <x:c r="F76" s="70"/>
      <x:c r="G76" s="70"/>
      <x:c r="H76" s="39" t="str">
        <x:f t="shared" si="2"/>
      </x:c>
      <x:c r="I76" s="59"/>
      <x:c r="J76" s="64"/>
      <x:c r="K76" s="59"/>
      <x:c r="L76" s="75"/>
      <x:c r="M76" s="46"/>
      <x:c r="N76" s="39" t="str">
        <x:f t="shared" si="3"/>
      </x:c>
      <x:c r="O76" s="47"/>
    </x:row>
    <x:row r="77">
      <x:c r="A77" s="54"/>
      <x:c r="B77" s="59"/>
      <x:c r="C77" s="59"/>
      <x:c r="D77" s="59"/>
      <x:c r="E77" s="64"/>
      <x:c r="F77" s="69"/>
      <x:c r="G77" s="69"/>
      <x:c r="H77" s="38" t="str">
        <x:f t="shared" si="2"/>
      </x:c>
      <x:c r="I77" s="59"/>
      <x:c r="J77" s="64"/>
      <x:c r="K77" s="59"/>
      <x:c r="L77" s="75"/>
      <x:c r="M77" s="41"/>
      <x:c r="N77" s="38" t="str">
        <x:f t="shared" si="3"/>
      </x:c>
      <x:c r="O77" s="42"/>
    </x:row>
    <x:row r="78">
      <x:c r="A78" s="54"/>
      <x:c r="B78" s="59"/>
      <x:c r="C78" s="59"/>
      <x:c r="D78" s="59"/>
      <x:c r="E78" s="64"/>
      <x:c r="F78" s="70"/>
      <x:c r="G78" s="70"/>
      <x:c r="H78" s="39" t="str">
        <x:f t="shared" si="2"/>
      </x:c>
      <x:c r="I78" s="59"/>
      <x:c r="J78" s="64"/>
      <x:c r="K78" s="59"/>
      <x:c r="L78" s="75"/>
      <x:c r="M78" s="46"/>
      <x:c r="N78" s="39" t="str">
        <x:f t="shared" si="3"/>
      </x:c>
      <x:c r="O78" s="47"/>
    </x:row>
    <x:row r="79">
      <x:c r="A79" s="54"/>
      <x:c r="B79" s="59"/>
      <x:c r="C79" s="59"/>
      <x:c r="D79" s="59"/>
      <x:c r="E79" s="64"/>
      <x:c r="F79" s="69"/>
      <x:c r="G79" s="69"/>
      <x:c r="H79" s="38" t="str">
        <x:f t="shared" si="2"/>
      </x:c>
      <x:c r="I79" s="59"/>
      <x:c r="J79" s="64"/>
      <x:c r="K79" s="59"/>
      <x:c r="L79" s="75"/>
      <x:c r="M79" s="41"/>
      <x:c r="N79" s="38" t="str">
        <x:f t="shared" si="3"/>
      </x:c>
      <x:c r="O79" s="42"/>
    </x:row>
    <x:row r="80">
      <x:c r="A80" s="54"/>
      <x:c r="B80" s="59"/>
      <x:c r="C80" s="59"/>
      <x:c r="D80" s="59"/>
      <x:c r="E80" s="64"/>
      <x:c r="F80" s="70"/>
      <x:c r="G80" s="70"/>
      <x:c r="H80" s="39" t="str">
        <x:f t="shared" si="2"/>
      </x:c>
      <x:c r="I80" s="59"/>
      <x:c r="J80" s="64"/>
      <x:c r="K80" s="59"/>
      <x:c r="L80" s="75"/>
      <x:c r="M80" s="46"/>
      <x:c r="N80" s="39" t="str">
        <x:f t="shared" si="3"/>
      </x:c>
      <x:c r="O80" s="47"/>
    </x:row>
    <x:row r="81">
      <x:c r="A81" s="54"/>
      <x:c r="B81" s="59"/>
      <x:c r="C81" s="59"/>
      <x:c r="D81" s="59"/>
      <x:c r="E81" s="64"/>
      <x:c r="F81" s="69"/>
      <x:c r="G81" s="69"/>
      <x:c r="H81" s="38" t="str">
        <x:f t="shared" si="2"/>
      </x:c>
      <x:c r="I81" s="59"/>
      <x:c r="J81" s="64"/>
      <x:c r="K81" s="59"/>
      <x:c r="L81" s="75"/>
      <x:c r="M81" s="41"/>
      <x:c r="N81" s="38" t="str">
        <x:f t="shared" si="3"/>
      </x:c>
      <x:c r="O81" s="42"/>
    </x:row>
    <x:row r="82">
      <x:c r="A82" s="54"/>
      <x:c r="B82" s="59"/>
      <x:c r="C82" s="59"/>
      <x:c r="D82" s="59"/>
      <x:c r="E82" s="64"/>
      <x:c r="F82" s="70"/>
      <x:c r="G82" s="70"/>
      <x:c r="H82" s="39" t="str">
        <x:f t="shared" si="2"/>
      </x:c>
      <x:c r="I82" s="59"/>
      <x:c r="J82" s="64"/>
      <x:c r="K82" s="59"/>
      <x:c r="L82" s="75"/>
      <x:c r="M82" s="46"/>
      <x:c r="N82" s="39" t="str">
        <x:f t="shared" si="3"/>
      </x:c>
      <x:c r="O82" s="47"/>
    </x:row>
    <x:row r="83">
      <x:c r="A83" s="54"/>
      <x:c r="B83" s="59"/>
      <x:c r="C83" s="59"/>
      <x:c r="D83" s="59"/>
      <x:c r="E83" s="64"/>
      <x:c r="F83" s="69"/>
      <x:c r="G83" s="69"/>
      <x:c r="H83" s="38" t="str">
        <x:f t="shared" si="2"/>
      </x:c>
      <x:c r="I83" s="59"/>
      <x:c r="J83" s="64"/>
      <x:c r="K83" s="59"/>
      <x:c r="L83" s="75"/>
      <x:c r="M83" s="41"/>
      <x:c r="N83" s="38" t="str">
        <x:f t="shared" si="3"/>
      </x:c>
      <x:c r="O83" s="42"/>
    </x:row>
    <x:row r="84">
      <x:c r="A84" s="54"/>
      <x:c r="B84" s="59"/>
      <x:c r="C84" s="59"/>
      <x:c r="D84" s="59"/>
      <x:c r="E84" s="64"/>
      <x:c r="F84" s="70"/>
      <x:c r="G84" s="70"/>
      <x:c r="H84" s="39" t="str">
        <x:f t="shared" si="2"/>
      </x:c>
      <x:c r="I84" s="59"/>
      <x:c r="J84" s="64"/>
      <x:c r="K84" s="59"/>
      <x:c r="L84" s="75"/>
      <x:c r="M84" s="46"/>
      <x:c r="N84" s="39" t="str">
        <x:f t="shared" si="3"/>
      </x:c>
      <x:c r="O84" s="47"/>
    </x:row>
    <x:row r="85">
      <x:c r="A85" s="54"/>
      <x:c r="B85" s="59"/>
      <x:c r="C85" s="59"/>
      <x:c r="D85" s="59"/>
      <x:c r="E85" s="64"/>
      <x:c r="F85" s="69"/>
      <x:c r="G85" s="69"/>
      <x:c r="H85" s="38" t="str">
        <x:f t="shared" si="2"/>
      </x:c>
      <x:c r="I85" s="59"/>
      <x:c r="J85" s="64"/>
      <x:c r="K85" s="59"/>
      <x:c r="L85" s="75"/>
      <x:c r="M85" s="41"/>
      <x:c r="N85" s="38" t="str">
        <x:f t="shared" si="3"/>
      </x:c>
      <x:c r="O85" s="42"/>
    </x:row>
    <x:row r="86">
      <x:c r="A86" s="54"/>
      <x:c r="B86" s="59"/>
      <x:c r="C86" s="59"/>
      <x:c r="D86" s="59"/>
      <x:c r="E86" s="64"/>
      <x:c r="F86" s="70"/>
      <x:c r="G86" s="70"/>
      <x:c r="H86" s="39" t="str">
        <x:f t="shared" si="2"/>
      </x:c>
      <x:c r="I86" s="59"/>
      <x:c r="J86" s="64"/>
      <x:c r="K86" s="59"/>
      <x:c r="L86" s="75"/>
      <x:c r="M86" s="46"/>
      <x:c r="N86" s="39" t="str">
        <x:f t="shared" si="3"/>
      </x:c>
      <x:c r="O86" s="47"/>
    </x:row>
    <x:row r="87">
      <x:c r="A87" s="54"/>
      <x:c r="B87" s="59"/>
      <x:c r="C87" s="59"/>
      <x:c r="D87" s="59"/>
      <x:c r="E87" s="64"/>
      <x:c r="F87" s="69"/>
      <x:c r="G87" s="69"/>
      <x:c r="H87" s="38" t="str">
        <x:f t="shared" si="2"/>
      </x:c>
      <x:c r="I87" s="59"/>
      <x:c r="J87" s="64"/>
      <x:c r="K87" s="59"/>
      <x:c r="L87" s="75"/>
      <x:c r="M87" s="41"/>
      <x:c r="N87" s="38" t="str">
        <x:f t="shared" si="3"/>
      </x:c>
      <x:c r="O87" s="42"/>
    </x:row>
    <x:row r="88">
      <x:c r="A88" s="54"/>
      <x:c r="B88" s="59"/>
      <x:c r="C88" s="59"/>
      <x:c r="D88" s="59"/>
      <x:c r="E88" s="64"/>
      <x:c r="F88" s="70"/>
      <x:c r="G88" s="70"/>
      <x:c r="H88" s="39" t="str">
        <x:f t="shared" si="2"/>
      </x:c>
      <x:c r="I88" s="59"/>
      <x:c r="J88" s="64"/>
      <x:c r="K88" s="59"/>
      <x:c r="L88" s="75"/>
      <x:c r="M88" s="46"/>
      <x:c r="N88" s="39" t="str">
        <x:f t="shared" si="3"/>
      </x:c>
      <x:c r="O88" s="47"/>
    </x:row>
    <x:row r="89">
      <x:c r="A89" s="54"/>
      <x:c r="B89" s="59"/>
      <x:c r="C89" s="59"/>
      <x:c r="D89" s="59"/>
      <x:c r="E89" s="64"/>
      <x:c r="F89" s="69"/>
      <x:c r="G89" s="69"/>
      <x:c r="H89" s="38" t="str">
        <x:f t="shared" si="2"/>
      </x:c>
      <x:c r="I89" s="59"/>
      <x:c r="J89" s="64"/>
      <x:c r="K89" s="59"/>
      <x:c r="L89" s="75"/>
      <x:c r="M89" s="41"/>
      <x:c r="N89" s="38" t="str">
        <x:f t="shared" si="3"/>
      </x:c>
      <x:c r="O89" s="42"/>
    </x:row>
    <x:row r="90">
      <x:c r="A90" s="54"/>
      <x:c r="B90" s="59"/>
      <x:c r="C90" s="59"/>
      <x:c r="D90" s="59"/>
      <x:c r="E90" s="64"/>
      <x:c r="F90" s="70"/>
      <x:c r="G90" s="70"/>
      <x:c r="H90" s="39" t="str">
        <x:f t="shared" si="2"/>
      </x:c>
      <x:c r="I90" s="59"/>
      <x:c r="J90" s="64"/>
      <x:c r="K90" s="59"/>
      <x:c r="L90" s="75"/>
      <x:c r="M90" s="46"/>
      <x:c r="N90" s="39" t="str">
        <x:f t="shared" si="3"/>
      </x:c>
      <x:c r="O90" s="47"/>
    </x:row>
    <x:row r="91">
      <x:c r="A91" s="54"/>
      <x:c r="B91" s="59"/>
      <x:c r="C91" s="59"/>
      <x:c r="D91" s="59"/>
      <x:c r="E91" s="64"/>
      <x:c r="F91" s="69"/>
      <x:c r="G91" s="69"/>
      <x:c r="H91" s="38" t="str">
        <x:f t="shared" si="2"/>
      </x:c>
      <x:c r="I91" s="59"/>
      <x:c r="J91" s="64"/>
      <x:c r="K91" s="59"/>
      <x:c r="L91" s="75"/>
      <x:c r="M91" s="41"/>
      <x:c r="N91" s="38" t="str">
        <x:f t="shared" si="3"/>
      </x:c>
      <x:c r="O91" s="42"/>
    </x:row>
    <x:row r="92">
      <x:c r="A92" s="54"/>
      <x:c r="B92" s="59"/>
      <x:c r="C92" s="59"/>
      <x:c r="D92" s="59"/>
      <x:c r="E92" s="64"/>
      <x:c r="F92" s="70"/>
      <x:c r="G92" s="70"/>
      <x:c r="H92" s="39" t="str">
        <x:f t="shared" si="2"/>
      </x:c>
      <x:c r="I92" s="59"/>
      <x:c r="J92" s="64"/>
      <x:c r="K92" s="59"/>
      <x:c r="L92" s="75"/>
      <x:c r="M92" s="46"/>
      <x:c r="N92" s="39" t="str">
        <x:f t="shared" si="3"/>
      </x:c>
      <x:c r="O92" s="47"/>
    </x:row>
    <x:row r="93">
      <x:c r="A93" s="54"/>
      <x:c r="B93" s="59"/>
      <x:c r="C93" s="59"/>
      <x:c r="D93" s="59"/>
      <x:c r="E93" s="64"/>
      <x:c r="F93" s="69"/>
      <x:c r="G93" s="69"/>
      <x:c r="H93" s="38" t="str">
        <x:f t="shared" si="2"/>
      </x:c>
      <x:c r="I93" s="59"/>
      <x:c r="J93" s="64"/>
      <x:c r="K93" s="59"/>
      <x:c r="L93" s="75"/>
      <x:c r="M93" s="41"/>
      <x:c r="N93" s="38" t="str">
        <x:f t="shared" si="3"/>
      </x:c>
      <x:c r="O93" s="42"/>
    </x:row>
    <x:row r="94">
      <x:c r="A94" s="54"/>
      <x:c r="B94" s="59"/>
      <x:c r="C94" s="59"/>
      <x:c r="D94" s="59"/>
      <x:c r="E94" s="64"/>
      <x:c r="F94" s="70"/>
      <x:c r="G94" s="70"/>
      <x:c r="H94" s="39" t="str">
        <x:f t="shared" si="2"/>
      </x:c>
      <x:c r="I94" s="59"/>
      <x:c r="J94" s="64"/>
      <x:c r="K94" s="59"/>
      <x:c r="L94" s="75"/>
      <x:c r="M94" s="46"/>
      <x:c r="N94" s="39" t="str">
        <x:f t="shared" si="3"/>
      </x:c>
      <x:c r="O94" s="47"/>
    </x:row>
    <x:row r="95">
      <x:c r="A95" s="54"/>
      <x:c r="B95" s="59"/>
      <x:c r="C95" s="59"/>
      <x:c r="D95" s="59"/>
      <x:c r="E95" s="64"/>
      <x:c r="F95" s="69"/>
      <x:c r="G95" s="69"/>
      <x:c r="H95" s="38" t="str">
        <x:f t="shared" si="2"/>
      </x:c>
      <x:c r="I95" s="59"/>
      <x:c r="J95" s="64"/>
      <x:c r="K95" s="59"/>
      <x:c r="L95" s="75"/>
      <x:c r="M95" s="41"/>
      <x:c r="N95" s="38" t="str">
        <x:f t="shared" si="3"/>
      </x:c>
      <x:c r="O95" s="42"/>
    </x:row>
    <x:row r="96">
      <x:c r="A96" s="54"/>
      <x:c r="B96" s="59"/>
      <x:c r="C96" s="59"/>
      <x:c r="D96" s="59"/>
      <x:c r="E96" s="64"/>
      <x:c r="F96" s="70"/>
      <x:c r="G96" s="70"/>
      <x:c r="H96" s="39" t="str">
        <x:f t="shared" si="2"/>
      </x:c>
      <x:c r="I96" s="59"/>
      <x:c r="J96" s="64"/>
      <x:c r="K96" s="59"/>
      <x:c r="L96" s="75"/>
      <x:c r="M96" s="46"/>
      <x:c r="N96" s="39" t="str">
        <x:f t="shared" si="3"/>
      </x:c>
      <x:c r="O96" s="47"/>
    </x:row>
    <x:row r="97">
      <x:c r="A97" s="54"/>
      <x:c r="B97" s="59"/>
      <x:c r="C97" s="59"/>
      <x:c r="D97" s="59"/>
      <x:c r="E97" s="64"/>
      <x:c r="F97" s="69"/>
      <x:c r="G97" s="69"/>
      <x:c r="H97" s="38" t="str">
        <x:f t="shared" si="2"/>
      </x:c>
      <x:c r="I97" s="59"/>
      <x:c r="J97" s="64"/>
      <x:c r="K97" s="59"/>
      <x:c r="L97" s="75"/>
      <x:c r="M97" s="41"/>
      <x:c r="N97" s="38" t="str">
        <x:f t="shared" si="3"/>
      </x:c>
      <x:c r="O97" s="42"/>
    </x:row>
    <x:row r="98">
      <x:c r="A98" s="54"/>
      <x:c r="B98" s="59"/>
      <x:c r="C98" s="59"/>
      <x:c r="D98" s="59"/>
      <x:c r="E98" s="64"/>
      <x:c r="F98" s="70"/>
      <x:c r="G98" s="70"/>
      <x:c r="H98" s="39" t="str">
        <x:f t="shared" si="2"/>
      </x:c>
      <x:c r="I98" s="59"/>
      <x:c r="J98" s="64"/>
      <x:c r="K98" s="59"/>
      <x:c r="L98" s="75"/>
      <x:c r="M98" s="46"/>
      <x:c r="N98" s="39" t="str">
        <x:f t="shared" si="3"/>
      </x:c>
      <x:c r="O98" s="47"/>
    </x:row>
    <x:row r="99">
      <x:c r="A99" s="54"/>
      <x:c r="B99" s="59"/>
      <x:c r="C99" s="59"/>
      <x:c r="D99" s="59"/>
      <x:c r="E99" s="64"/>
      <x:c r="F99" s="69"/>
      <x:c r="G99" s="69"/>
      <x:c r="H99" s="38" t="str">
        <x:f t="shared" si="2"/>
      </x:c>
      <x:c r="I99" s="59"/>
      <x:c r="J99" s="64"/>
      <x:c r="K99" s="59"/>
      <x:c r="L99" s="75"/>
      <x:c r="M99" s="41"/>
      <x:c r="N99" s="38" t="str">
        <x:f t="shared" si="3"/>
      </x:c>
      <x:c r="O99" s="42"/>
    </x:row>
    <x:row r="100">
      <x:c r="A100" s="54"/>
      <x:c r="B100" s="59"/>
      <x:c r="C100" s="59"/>
      <x:c r="D100" s="59"/>
      <x:c r="E100" s="64"/>
      <x:c r="F100" s="70"/>
      <x:c r="G100" s="70"/>
      <x:c r="H100" s="39" t="str">
        <x:f t="shared" si="2"/>
      </x:c>
      <x:c r="I100" s="59"/>
      <x:c r="J100" s="64"/>
      <x:c r="K100" s="59"/>
      <x:c r="L100" s="75"/>
      <x:c r="M100" s="46"/>
      <x:c r="N100" s="39" t="str">
        <x:f t="shared" si="3"/>
      </x:c>
      <x:c r="O100" s="47"/>
    </x:row>
    <x:row r="101">
      <x:c r="A101" s="54"/>
      <x:c r="B101" s="59"/>
      <x:c r="C101" s="59"/>
      <x:c r="D101" s="59"/>
      <x:c r="E101" s="64"/>
      <x:c r="F101" s="69"/>
      <x:c r="G101" s="69"/>
      <x:c r="H101" s="38" t="str">
        <x:f t="shared" si="2"/>
      </x:c>
      <x:c r="I101" s="59"/>
      <x:c r="J101" s="64"/>
      <x:c r="K101" s="59"/>
      <x:c r="L101" s="75"/>
      <x:c r="M101" s="41"/>
      <x:c r="N101" s="38" t="str">
        <x:f t="shared" si="3"/>
      </x:c>
      <x:c r="O101" s="42"/>
    </x:row>
    <x:row r="102">
      <x:c r="A102" s="54"/>
      <x:c r="B102" s="59"/>
      <x:c r="C102" s="59"/>
      <x:c r="D102" s="59"/>
      <x:c r="E102" s="64"/>
      <x:c r="F102" s="70"/>
      <x:c r="G102" s="70"/>
      <x:c r="H102" s="39" t="str">
        <x:f t="shared" si="2"/>
      </x:c>
      <x:c r="I102" s="59"/>
      <x:c r="J102" s="64"/>
      <x:c r="K102" s="59"/>
      <x:c r="L102" s="75"/>
      <x:c r="M102" s="46"/>
      <x:c r="N102" s="39" t="str">
        <x:f t="shared" si="3"/>
      </x:c>
      <x:c r="O102" s="47"/>
    </x:row>
    <x:row r="103">
      <x:c r="A103" s="54"/>
      <x:c r="B103" s="59"/>
      <x:c r="C103" s="59"/>
      <x:c r="D103" s="59"/>
      <x:c r="E103" s="64"/>
      <x:c r="F103" s="69"/>
      <x:c r="G103" s="69"/>
      <x:c r="H103" s="38" t="str">
        <x:f t="shared" si="2"/>
      </x:c>
      <x:c r="I103" s="59"/>
      <x:c r="J103" s="64"/>
      <x:c r="K103" s="59"/>
      <x:c r="L103" s="75"/>
      <x:c r="M103" s="41"/>
      <x:c r="N103" s="38" t="str">
        <x:f t="shared" si="3"/>
      </x:c>
      <x:c r="O103" s="42"/>
    </x:row>
    <x:row r="104">
      <x:c r="A104" s="54"/>
      <x:c r="B104" s="59"/>
      <x:c r="C104" s="59"/>
      <x:c r="D104" s="59"/>
      <x:c r="E104" s="64"/>
      <x:c r="F104" s="70"/>
      <x:c r="G104" s="70"/>
      <x:c r="H104" s="39" t="str">
        <x:f t="shared" si="2"/>
      </x:c>
      <x:c r="I104" s="59"/>
      <x:c r="J104" s="64"/>
      <x:c r="K104" s="59"/>
      <x:c r="L104" s="75"/>
      <x:c r="M104" s="46"/>
      <x:c r="N104" s="39" t="str">
        <x:f t="shared" si="3"/>
      </x:c>
      <x:c r="O104" s="47"/>
    </x:row>
    <x:row r="105">
      <x:c r="A105" s="54"/>
      <x:c r="B105" s="59"/>
      <x:c r="C105" s="59"/>
      <x:c r="D105" s="59"/>
      <x:c r="E105" s="64"/>
      <x:c r="F105" s="69"/>
      <x:c r="G105" s="69"/>
      <x:c r="H105" s="38" t="str">
        <x:f t="shared" si="2"/>
      </x:c>
      <x:c r="I105" s="59"/>
      <x:c r="J105" s="64"/>
      <x:c r="K105" s="59"/>
      <x:c r="L105" s="75"/>
      <x:c r="M105" s="41"/>
      <x:c r="N105" s="38" t="str">
        <x:f t="shared" si="3"/>
      </x:c>
      <x:c r="O105" s="42"/>
    </x:row>
    <x:row r="106">
      <x:c r="A106" s="54"/>
      <x:c r="B106" s="59"/>
      <x:c r="C106" s="59"/>
      <x:c r="D106" s="59"/>
      <x:c r="E106" s="64"/>
      <x:c r="F106" s="70"/>
      <x:c r="G106" s="70"/>
      <x:c r="H106" s="39" t="str">
        <x:f t="shared" si="2"/>
      </x:c>
      <x:c r="I106" s="59"/>
      <x:c r="J106" s="64"/>
      <x:c r="K106" s="59"/>
      <x:c r="L106" s="75"/>
      <x:c r="M106" s="46"/>
      <x:c r="N106" s="39" t="str">
        <x:f t="shared" si="3"/>
      </x:c>
      <x:c r="O106" s="47"/>
    </x:row>
    <x:row r="107">
      <x:c r="A107" s="54"/>
      <x:c r="B107" s="59"/>
      <x:c r="C107" s="59"/>
      <x:c r="D107" s="59"/>
      <x:c r="E107" s="64"/>
      <x:c r="F107" s="69"/>
      <x:c r="G107" s="69"/>
      <x:c r="H107" s="38" t="str">
        <x:f t="shared" si="2"/>
      </x:c>
      <x:c r="I107" s="59"/>
      <x:c r="J107" s="64"/>
      <x:c r="K107" s="59"/>
      <x:c r="L107" s="75"/>
      <x:c r="M107" s="41"/>
      <x:c r="N107" s="38" t="str">
        <x:f t="shared" si="3"/>
      </x:c>
      <x:c r="O107" s="42"/>
    </x:row>
    <x:row r="108">
      <x:c r="A108" s="54"/>
      <x:c r="B108" s="59"/>
      <x:c r="C108" s="59"/>
      <x:c r="D108" s="59"/>
      <x:c r="E108" s="64"/>
      <x:c r="F108" s="70"/>
      <x:c r="G108" s="70"/>
      <x:c r="H108" s="39" t="str">
        <x:f t="shared" si="2"/>
      </x:c>
      <x:c r="I108" s="59"/>
      <x:c r="J108" s="64"/>
      <x:c r="K108" s="59"/>
      <x:c r="L108" s="75"/>
      <x:c r="M108" s="46"/>
      <x:c r="N108" s="39" t="str">
        <x:f t="shared" si="3"/>
      </x:c>
      <x:c r="O108" s="47"/>
    </x:row>
    <x:row r="109">
      <x:c r="A109" s="54"/>
      <x:c r="B109" s="59"/>
      <x:c r="C109" s="59"/>
      <x:c r="D109" s="59"/>
      <x:c r="E109" s="64"/>
      <x:c r="F109" s="69"/>
      <x:c r="G109" s="69"/>
      <x:c r="H109" s="38" t="str">
        <x:f t="shared" si="2"/>
      </x:c>
      <x:c r="I109" s="59"/>
      <x:c r="J109" s="64"/>
      <x:c r="K109" s="59"/>
      <x:c r="L109" s="75"/>
      <x:c r="M109" s="41"/>
      <x:c r="N109" s="38" t="str">
        <x:f t="shared" si="3"/>
      </x:c>
      <x:c r="O109" s="42"/>
    </x:row>
    <x:row r="110">
      <x:c r="A110" s="54"/>
      <x:c r="B110" s="59"/>
      <x:c r="C110" s="59"/>
      <x:c r="D110" s="59"/>
      <x:c r="E110" s="64"/>
      <x:c r="F110" s="70"/>
      <x:c r="G110" s="70"/>
      <x:c r="H110" s="39" t="str">
        <x:f t="shared" si="2"/>
      </x:c>
      <x:c r="I110" s="59"/>
      <x:c r="J110" s="64"/>
      <x:c r="K110" s="59"/>
      <x:c r="L110" s="75"/>
      <x:c r="M110" s="46"/>
      <x:c r="N110" s="39" t="str">
        <x:f t="shared" si="3"/>
      </x:c>
      <x:c r="O110" s="47"/>
    </x:row>
    <x:row r="111">
      <x:c r="A111" s="54"/>
      <x:c r="B111" s="59"/>
      <x:c r="C111" s="59"/>
      <x:c r="D111" s="59"/>
      <x:c r="E111" s="64"/>
      <x:c r="F111" s="69"/>
      <x:c r="G111" s="69"/>
      <x:c r="H111" s="38" t="str">
        <x:f t="shared" si="2"/>
      </x:c>
      <x:c r="I111" s="59"/>
      <x:c r="J111" s="64"/>
      <x:c r="K111" s="59"/>
      <x:c r="L111" s="75"/>
      <x:c r="M111" s="41"/>
      <x:c r="N111" s="38" t="str">
        <x:f t="shared" si="3"/>
      </x:c>
      <x:c r="O111" s="42"/>
    </x:row>
    <x:row r="112">
      <x:c r="A112" s="54"/>
      <x:c r="B112" s="59"/>
      <x:c r="C112" s="59"/>
      <x:c r="D112" s="59"/>
      <x:c r="E112" s="64"/>
      <x:c r="F112" s="70"/>
      <x:c r="G112" s="70"/>
      <x:c r="H112" s="39" t="str">
        <x:f t="shared" si="2"/>
      </x:c>
      <x:c r="I112" s="59"/>
      <x:c r="J112" s="64"/>
      <x:c r="K112" s="59"/>
      <x:c r="L112" s="75"/>
      <x:c r="M112" s="46"/>
      <x:c r="N112" s="39" t="str">
        <x:f t="shared" si="3"/>
      </x:c>
      <x:c r="O112" s="47"/>
    </x:row>
    <x:row r="113">
      <x:c r="A113" s="54"/>
      <x:c r="B113" s="59"/>
      <x:c r="C113" s="59"/>
      <x:c r="D113" s="59"/>
      <x:c r="E113" s="64"/>
      <x:c r="F113" s="69"/>
      <x:c r="G113" s="69"/>
      <x:c r="H113" s="38" t="str">
        <x:f t="shared" si="2"/>
      </x:c>
      <x:c r="I113" s="59"/>
      <x:c r="J113" s="64"/>
      <x:c r="K113" s="59"/>
      <x:c r="L113" s="75"/>
      <x:c r="M113" s="41"/>
      <x:c r="N113" s="38" t="str">
        <x:f t="shared" si="3"/>
      </x:c>
      <x:c r="O113" s="42"/>
    </x:row>
    <x:row r="114">
      <x:c r="A114" s="54"/>
      <x:c r="B114" s="59"/>
      <x:c r="C114" s="59"/>
      <x:c r="D114" s="59"/>
      <x:c r="E114" s="64"/>
      <x:c r="F114" s="70"/>
      <x:c r="G114" s="70"/>
      <x:c r="H114" s="39" t="str">
        <x:f t="shared" si="2"/>
      </x:c>
      <x:c r="I114" s="59"/>
      <x:c r="J114" s="64"/>
      <x:c r="K114" s="59"/>
      <x:c r="L114" s="75"/>
      <x:c r="M114" s="46"/>
      <x:c r="N114" s="39" t="str">
        <x:f t="shared" si="3"/>
      </x:c>
      <x:c r="O114" s="47"/>
    </x:row>
    <x:row r="115">
      <x:c r="A115" s="54"/>
      <x:c r="B115" s="59"/>
      <x:c r="C115" s="59"/>
      <x:c r="D115" s="59"/>
      <x:c r="E115" s="64"/>
      <x:c r="F115" s="69"/>
      <x:c r="G115" s="69"/>
      <x:c r="H115" s="38" t="str">
        <x:f t="shared" si="2"/>
      </x:c>
      <x:c r="I115" s="59"/>
      <x:c r="J115" s="64"/>
      <x:c r="K115" s="59"/>
      <x:c r="L115" s="75"/>
      <x:c r="M115" s="41"/>
      <x:c r="N115" s="38" t="str">
        <x:f t="shared" si="3"/>
      </x:c>
      <x:c r="O115" s="42"/>
    </x:row>
    <x:row r="116">
      <x:c r="A116" s="54"/>
      <x:c r="B116" s="59"/>
      <x:c r="C116" s="59"/>
      <x:c r="D116" s="59"/>
      <x:c r="E116" s="64"/>
      <x:c r="F116" s="70"/>
      <x:c r="G116" s="70"/>
      <x:c r="H116" s="39" t="str">
        <x:f t="shared" si="2"/>
      </x:c>
      <x:c r="I116" s="59"/>
      <x:c r="J116" s="64"/>
      <x:c r="K116" s="59"/>
      <x:c r="L116" s="75"/>
      <x:c r="M116" s="46"/>
      <x:c r="N116" s="39" t="str">
        <x:f t="shared" si="3"/>
      </x:c>
      <x:c r="O116" s="47"/>
    </x:row>
    <x:row r="117">
      <x:c r="A117" s="54"/>
      <x:c r="B117" s="59"/>
      <x:c r="C117" s="59"/>
      <x:c r="D117" s="59"/>
      <x:c r="E117" s="64"/>
      <x:c r="F117" s="69"/>
      <x:c r="G117" s="69"/>
      <x:c r="H117" s="38" t="str">
        <x:f t="shared" si="2"/>
      </x:c>
      <x:c r="I117" s="59"/>
      <x:c r="J117" s="64"/>
      <x:c r="K117" s="59"/>
      <x:c r="L117" s="75"/>
      <x:c r="M117" s="41"/>
      <x:c r="N117" s="38" t="str">
        <x:f t="shared" si="3"/>
      </x:c>
      <x:c r="O117" s="42"/>
    </x:row>
    <x:row r="118">
      <x:c r="A118" s="54"/>
      <x:c r="B118" s="59"/>
      <x:c r="C118" s="59"/>
      <x:c r="D118" s="59"/>
      <x:c r="E118" s="64"/>
      <x:c r="F118" s="70"/>
      <x:c r="G118" s="70"/>
      <x:c r="H118" s="39" t="str">
        <x:f t="shared" si="2"/>
      </x:c>
      <x:c r="I118" s="59"/>
      <x:c r="J118" s="64"/>
      <x:c r="K118" s="59"/>
      <x:c r="L118" s="75"/>
      <x:c r="M118" s="46"/>
      <x:c r="N118" s="39" t="str">
        <x:f t="shared" si="3"/>
      </x:c>
      <x:c r="O118" s="47"/>
    </x:row>
    <x:row r="119">
      <x:c r="A119" s="54"/>
      <x:c r="B119" s="59"/>
      <x:c r="C119" s="59"/>
      <x:c r="D119" s="59"/>
      <x:c r="E119" s="64"/>
      <x:c r="F119" s="69"/>
      <x:c r="G119" s="69"/>
      <x:c r="H119" s="38" t="str">
        <x:f t="shared" si="2"/>
      </x:c>
      <x:c r="I119" s="59"/>
      <x:c r="J119" s="64"/>
      <x:c r="K119" s="59"/>
      <x:c r="L119" s="75"/>
      <x:c r="M119" s="41"/>
      <x:c r="N119" s="38" t="str">
        <x:f t="shared" si="3"/>
      </x:c>
      <x:c r="O119" s="42"/>
    </x:row>
    <x:row r="120">
      <x:c r="A120" s="54"/>
      <x:c r="B120" s="59"/>
      <x:c r="C120" s="59"/>
      <x:c r="D120" s="59"/>
      <x:c r="E120" s="64"/>
      <x:c r="F120" s="70"/>
      <x:c r="G120" s="70"/>
      <x:c r="H120" s="39" t="str">
        <x:f t="shared" si="2"/>
      </x:c>
      <x:c r="I120" s="59"/>
      <x:c r="J120" s="64"/>
      <x:c r="K120" s="59"/>
      <x:c r="L120" s="75"/>
      <x:c r="M120" s="46"/>
      <x:c r="N120" s="39" t="str">
        <x:f t="shared" si="3"/>
      </x:c>
      <x:c r="O120" s="47"/>
    </x:row>
    <x:row r="121">
      <x:c r="A121" s="54"/>
      <x:c r="B121" s="59"/>
      <x:c r="C121" s="59"/>
      <x:c r="D121" s="59"/>
      <x:c r="E121" s="64"/>
      <x:c r="F121" s="69"/>
      <x:c r="G121" s="69"/>
      <x:c r="H121" s="38" t="str">
        <x:f t="shared" si="2"/>
      </x:c>
      <x:c r="I121" s="59"/>
      <x:c r="J121" s="64"/>
      <x:c r="K121" s="59"/>
      <x:c r="L121" s="75"/>
      <x:c r="M121" s="41"/>
      <x:c r="N121" s="38" t="str">
        <x:f t="shared" si="3"/>
      </x:c>
      <x:c r="O121" s="42"/>
    </x:row>
    <x:row r="122">
      <x:c r="A122" s="54"/>
      <x:c r="B122" s="59"/>
      <x:c r="C122" s="59"/>
      <x:c r="D122" s="59"/>
      <x:c r="E122" s="64"/>
      <x:c r="F122" s="70"/>
      <x:c r="G122" s="70"/>
      <x:c r="H122" s="39" t="str">
        <x:f t="shared" si="2"/>
      </x:c>
      <x:c r="I122" s="59"/>
      <x:c r="J122" s="64"/>
      <x:c r="K122" s="59"/>
      <x:c r="L122" s="75"/>
      <x:c r="M122" s="46"/>
      <x:c r="N122" s="39" t="str">
        <x:f t="shared" si="3"/>
      </x:c>
      <x:c r="O122" s="47"/>
    </x:row>
    <x:row r="123">
      <x:c r="A123" s="54"/>
      <x:c r="B123" s="59"/>
      <x:c r="C123" s="59"/>
      <x:c r="D123" s="59"/>
      <x:c r="E123" s="64"/>
      <x:c r="F123" s="69"/>
      <x:c r="G123" s="69"/>
      <x:c r="H123" s="38" t="str">
        <x:f t="shared" si="2"/>
      </x:c>
      <x:c r="I123" s="59"/>
      <x:c r="J123" s="64"/>
      <x:c r="K123" s="59"/>
      <x:c r="L123" s="75"/>
      <x:c r="M123" s="41"/>
      <x:c r="N123" s="38" t="str">
        <x:f t="shared" si="3"/>
      </x:c>
      <x:c r="O123" s="42"/>
    </x:row>
    <x:row r="124">
      <x:c r="A124" s="54"/>
      <x:c r="B124" s="59"/>
      <x:c r="C124" s="59"/>
      <x:c r="D124" s="59"/>
      <x:c r="E124" s="64"/>
      <x:c r="F124" s="70"/>
      <x:c r="G124" s="70"/>
      <x:c r="H124" s="39" t="str">
        <x:f t="shared" si="2"/>
      </x:c>
      <x:c r="I124" s="59"/>
      <x:c r="J124" s="64"/>
      <x:c r="K124" s="59"/>
      <x:c r="L124" s="75"/>
      <x:c r="M124" s="46"/>
      <x:c r="N124" s="39" t="str">
        <x:f t="shared" si="3"/>
      </x:c>
      <x:c r="O124" s="47"/>
    </x:row>
    <x:row r="125">
      <x:c r="A125" s="54"/>
      <x:c r="B125" s="59"/>
      <x:c r="C125" s="59"/>
      <x:c r="D125" s="59"/>
      <x:c r="E125" s="64"/>
      <x:c r="F125" s="69"/>
      <x:c r="G125" s="69"/>
      <x:c r="H125" s="38" t="str">
        <x:f t="shared" si="2"/>
      </x:c>
      <x:c r="I125" s="59"/>
      <x:c r="J125" s="64"/>
      <x:c r="K125" s="59"/>
      <x:c r="L125" s="75"/>
      <x:c r="M125" s="41"/>
      <x:c r="N125" s="38" t="str">
        <x:f t="shared" si="3"/>
      </x:c>
      <x:c r="O125" s="42"/>
    </x:row>
    <x:row r="126">
      <x:c r="A126" s="54"/>
      <x:c r="B126" s="59"/>
      <x:c r="C126" s="59"/>
      <x:c r="D126" s="59"/>
      <x:c r="E126" s="64"/>
      <x:c r="F126" s="70"/>
      <x:c r="G126" s="70"/>
      <x:c r="H126" s="39" t="str">
        <x:f t="shared" si="2"/>
      </x:c>
      <x:c r="I126" s="59"/>
      <x:c r="J126" s="64"/>
      <x:c r="K126" s="59"/>
      <x:c r="L126" s="75"/>
      <x:c r="M126" s="46"/>
      <x:c r="N126" s="39" t="str">
        <x:f t="shared" si="3"/>
      </x:c>
      <x:c r="O126" s="47"/>
    </x:row>
    <x:row r="127">
      <x:c r="A127" s="54"/>
      <x:c r="B127" s="59"/>
      <x:c r="C127" s="59"/>
      <x:c r="D127" s="59"/>
      <x:c r="E127" s="64"/>
      <x:c r="F127" s="69"/>
      <x:c r="G127" s="69"/>
      <x:c r="H127" s="38" t="str">
        <x:f t="shared" si="2"/>
      </x:c>
      <x:c r="I127" s="59"/>
      <x:c r="J127" s="64"/>
      <x:c r="K127" s="59"/>
      <x:c r="L127" s="75"/>
      <x:c r="M127" s="41"/>
      <x:c r="N127" s="38" t="str">
        <x:f t="shared" si="3"/>
      </x:c>
      <x:c r="O127" s="42"/>
    </x:row>
    <x:row r="128">
      <x:c r="A128" s="54"/>
      <x:c r="B128" s="59"/>
      <x:c r="C128" s="59"/>
      <x:c r="D128" s="59"/>
      <x:c r="E128" s="64"/>
      <x:c r="F128" s="70"/>
      <x:c r="G128" s="70"/>
      <x:c r="H128" s="39" t="str">
        <x:f t="shared" si="2"/>
      </x:c>
      <x:c r="I128" s="59"/>
      <x:c r="J128" s="64"/>
      <x:c r="K128" s="59"/>
      <x:c r="L128" s="75"/>
      <x:c r="M128" s="46"/>
      <x:c r="N128" s="39" t="str">
        <x:f t="shared" si="3"/>
      </x:c>
      <x:c r="O128" s="47"/>
    </x:row>
    <x:row r="129">
      <x:c r="A129" s="54"/>
      <x:c r="B129" s="59"/>
      <x:c r="C129" s="59"/>
      <x:c r="D129" s="59"/>
      <x:c r="E129" s="64"/>
      <x:c r="F129" s="69"/>
      <x:c r="G129" s="69"/>
      <x:c r="H129" s="38" t="str">
        <x:f t="shared" si="2"/>
      </x:c>
      <x:c r="I129" s="59"/>
      <x:c r="J129" s="64"/>
      <x:c r="K129" s="59"/>
      <x:c r="L129" s="75"/>
      <x:c r="M129" s="41"/>
      <x:c r="N129" s="38" t="str">
        <x:f t="shared" si="3"/>
      </x:c>
      <x:c r="O129" s="42"/>
    </x:row>
    <x:row r="130">
      <x:c r="A130" s="54"/>
      <x:c r="B130" s="59"/>
      <x:c r="C130" s="59"/>
      <x:c r="D130" s="59"/>
      <x:c r="E130" s="64"/>
      <x:c r="F130" s="70"/>
      <x:c r="G130" s="70"/>
      <x:c r="H130" s="39" t="str">
        <x:f t="shared" ref="H130:H193" si="4">IF(OR(F130="",G130=""),"",F130+G130)</x:f>
      </x:c>
      <x:c r="I130" s="59"/>
      <x:c r="J130" s="64"/>
      <x:c r="K130" s="59"/>
      <x:c r="L130" s="75"/>
      <x:c r="M130" s="46"/>
      <x:c r="N130" s="39" t="str">
        <x:f t="shared" ref="N130:N193" si="5">IF(H130="","",IF(AND(L130&gt;0,M130&gt;=TODAY()),H130*(1-L130),H130))</x:f>
      </x:c>
      <x:c r="O130" s="47"/>
    </x:row>
    <x:row r="131">
      <x:c r="A131" s="54"/>
      <x:c r="B131" s="59"/>
      <x:c r="C131" s="59"/>
      <x:c r="D131" s="59"/>
      <x:c r="E131" s="64"/>
      <x:c r="F131" s="69"/>
      <x:c r="G131" s="69"/>
      <x:c r="H131" s="38" t="str">
        <x:f t="shared" si="4"/>
      </x:c>
      <x:c r="I131" s="59"/>
      <x:c r="J131" s="64"/>
      <x:c r="K131" s="59"/>
      <x:c r="L131" s="75"/>
      <x:c r="M131" s="41"/>
      <x:c r="N131" s="38" t="str">
        <x:f t="shared" si="5"/>
      </x:c>
      <x:c r="O131" s="42"/>
    </x:row>
    <x:row r="132">
      <x:c r="A132" s="54"/>
      <x:c r="B132" s="59"/>
      <x:c r="C132" s="59"/>
      <x:c r="D132" s="59"/>
      <x:c r="E132" s="64"/>
      <x:c r="F132" s="70"/>
      <x:c r="G132" s="70"/>
      <x:c r="H132" s="39" t="str">
        <x:f t="shared" si="4"/>
      </x:c>
      <x:c r="I132" s="59"/>
      <x:c r="J132" s="64"/>
      <x:c r="K132" s="59"/>
      <x:c r="L132" s="75"/>
      <x:c r="M132" s="46"/>
      <x:c r="N132" s="39" t="str">
        <x:f t="shared" si="5"/>
      </x:c>
      <x:c r="O132" s="47"/>
    </x:row>
    <x:row r="133">
      <x:c r="A133" s="54"/>
      <x:c r="B133" s="59"/>
      <x:c r="C133" s="59"/>
      <x:c r="D133" s="59"/>
      <x:c r="E133" s="64"/>
      <x:c r="F133" s="69"/>
      <x:c r="G133" s="69"/>
      <x:c r="H133" s="38" t="str">
        <x:f t="shared" si="4"/>
      </x:c>
      <x:c r="I133" s="59"/>
      <x:c r="J133" s="64"/>
      <x:c r="K133" s="59"/>
      <x:c r="L133" s="75"/>
      <x:c r="M133" s="41"/>
      <x:c r="N133" s="38" t="str">
        <x:f t="shared" si="5"/>
      </x:c>
      <x:c r="O133" s="42"/>
    </x:row>
    <x:row r="134">
      <x:c r="A134" s="54"/>
      <x:c r="B134" s="59"/>
      <x:c r="C134" s="59"/>
      <x:c r="D134" s="59"/>
      <x:c r="E134" s="64"/>
      <x:c r="F134" s="70"/>
      <x:c r="G134" s="70"/>
      <x:c r="H134" s="39" t="str">
        <x:f t="shared" si="4"/>
      </x:c>
      <x:c r="I134" s="59"/>
      <x:c r="J134" s="64"/>
      <x:c r="K134" s="59"/>
      <x:c r="L134" s="75"/>
      <x:c r="M134" s="46"/>
      <x:c r="N134" s="39" t="str">
        <x:f t="shared" si="5"/>
      </x:c>
      <x:c r="O134" s="47"/>
    </x:row>
    <x:row r="135">
      <x:c r="A135" s="54"/>
      <x:c r="B135" s="59"/>
      <x:c r="C135" s="59"/>
      <x:c r="D135" s="59"/>
      <x:c r="E135" s="64"/>
      <x:c r="F135" s="69"/>
      <x:c r="G135" s="69"/>
      <x:c r="H135" s="38" t="str">
        <x:f t="shared" si="4"/>
      </x:c>
      <x:c r="I135" s="59"/>
      <x:c r="J135" s="64"/>
      <x:c r="K135" s="59"/>
      <x:c r="L135" s="75"/>
      <x:c r="M135" s="41"/>
      <x:c r="N135" s="38" t="str">
        <x:f t="shared" si="5"/>
      </x:c>
      <x:c r="O135" s="42"/>
    </x:row>
    <x:row r="136">
      <x:c r="A136" s="54"/>
      <x:c r="B136" s="59"/>
      <x:c r="C136" s="59"/>
      <x:c r="D136" s="59"/>
      <x:c r="E136" s="64"/>
      <x:c r="F136" s="70"/>
      <x:c r="G136" s="70"/>
      <x:c r="H136" s="39" t="str">
        <x:f t="shared" si="4"/>
      </x:c>
      <x:c r="I136" s="59"/>
      <x:c r="J136" s="64"/>
      <x:c r="K136" s="59"/>
      <x:c r="L136" s="75"/>
      <x:c r="M136" s="46"/>
      <x:c r="N136" s="39" t="str">
        <x:f t="shared" si="5"/>
      </x:c>
      <x:c r="O136" s="47"/>
    </x:row>
    <x:row r="137">
      <x:c r="A137" s="54"/>
      <x:c r="B137" s="59"/>
      <x:c r="C137" s="59"/>
      <x:c r="D137" s="59"/>
      <x:c r="E137" s="64"/>
      <x:c r="F137" s="69"/>
      <x:c r="G137" s="69"/>
      <x:c r="H137" s="38" t="str">
        <x:f t="shared" si="4"/>
      </x:c>
      <x:c r="I137" s="59"/>
      <x:c r="J137" s="64"/>
      <x:c r="K137" s="59"/>
      <x:c r="L137" s="75"/>
      <x:c r="M137" s="41"/>
      <x:c r="N137" s="38" t="str">
        <x:f t="shared" si="5"/>
      </x:c>
      <x:c r="O137" s="42"/>
    </x:row>
    <x:row r="138">
      <x:c r="A138" s="54"/>
      <x:c r="B138" s="59"/>
      <x:c r="C138" s="59"/>
      <x:c r="D138" s="59"/>
      <x:c r="E138" s="64"/>
      <x:c r="F138" s="70"/>
      <x:c r="G138" s="70"/>
      <x:c r="H138" s="39" t="str">
        <x:f t="shared" si="4"/>
      </x:c>
      <x:c r="I138" s="59"/>
      <x:c r="J138" s="64"/>
      <x:c r="K138" s="59"/>
      <x:c r="L138" s="75"/>
      <x:c r="M138" s="46"/>
      <x:c r="N138" s="39" t="str">
        <x:f t="shared" si="5"/>
      </x:c>
      <x:c r="O138" s="47"/>
    </x:row>
    <x:row r="139">
      <x:c r="A139" s="54"/>
      <x:c r="B139" s="59"/>
      <x:c r="C139" s="59"/>
      <x:c r="D139" s="59"/>
      <x:c r="E139" s="64"/>
      <x:c r="F139" s="69"/>
      <x:c r="G139" s="69"/>
      <x:c r="H139" s="38" t="str">
        <x:f t="shared" si="4"/>
      </x:c>
      <x:c r="I139" s="59"/>
      <x:c r="J139" s="64"/>
      <x:c r="K139" s="59"/>
      <x:c r="L139" s="75"/>
      <x:c r="M139" s="41"/>
      <x:c r="N139" s="38" t="str">
        <x:f t="shared" si="5"/>
      </x:c>
      <x:c r="O139" s="42"/>
    </x:row>
    <x:row r="140">
      <x:c r="A140" s="54"/>
      <x:c r="B140" s="59"/>
      <x:c r="C140" s="59"/>
      <x:c r="D140" s="59"/>
      <x:c r="E140" s="64"/>
      <x:c r="F140" s="70"/>
      <x:c r="G140" s="70"/>
      <x:c r="H140" s="39" t="str">
        <x:f t="shared" si="4"/>
      </x:c>
      <x:c r="I140" s="59"/>
      <x:c r="J140" s="64"/>
      <x:c r="K140" s="59"/>
      <x:c r="L140" s="75"/>
      <x:c r="M140" s="46"/>
      <x:c r="N140" s="39" t="str">
        <x:f t="shared" si="5"/>
      </x:c>
      <x:c r="O140" s="47"/>
    </x:row>
    <x:row r="141">
      <x:c r="A141" s="54"/>
      <x:c r="B141" s="59"/>
      <x:c r="C141" s="59"/>
      <x:c r="D141" s="59"/>
      <x:c r="E141" s="64"/>
      <x:c r="F141" s="69"/>
      <x:c r="G141" s="69"/>
      <x:c r="H141" s="38" t="str">
        <x:f t="shared" si="4"/>
      </x:c>
      <x:c r="I141" s="59"/>
      <x:c r="J141" s="64"/>
      <x:c r="K141" s="59"/>
      <x:c r="L141" s="75"/>
      <x:c r="M141" s="41"/>
      <x:c r="N141" s="38" t="str">
        <x:f t="shared" si="5"/>
      </x:c>
      <x:c r="O141" s="42"/>
    </x:row>
    <x:row r="142">
      <x:c r="A142" s="54"/>
      <x:c r="B142" s="59"/>
      <x:c r="C142" s="59"/>
      <x:c r="D142" s="59"/>
      <x:c r="E142" s="64"/>
      <x:c r="F142" s="70"/>
      <x:c r="G142" s="70"/>
      <x:c r="H142" s="39" t="str">
        <x:f t="shared" si="4"/>
      </x:c>
      <x:c r="I142" s="59"/>
      <x:c r="J142" s="64"/>
      <x:c r="K142" s="59"/>
      <x:c r="L142" s="75"/>
      <x:c r="M142" s="46"/>
      <x:c r="N142" s="39" t="str">
        <x:f t="shared" si="5"/>
      </x:c>
      <x:c r="O142" s="47"/>
    </x:row>
    <x:row r="143">
      <x:c r="A143" s="54"/>
      <x:c r="B143" s="59"/>
      <x:c r="C143" s="59"/>
      <x:c r="D143" s="59"/>
      <x:c r="E143" s="64"/>
      <x:c r="F143" s="69"/>
      <x:c r="G143" s="69"/>
      <x:c r="H143" s="38" t="str">
        <x:f t="shared" si="4"/>
      </x:c>
      <x:c r="I143" s="59"/>
      <x:c r="J143" s="64"/>
      <x:c r="K143" s="59"/>
      <x:c r="L143" s="75"/>
      <x:c r="M143" s="41"/>
      <x:c r="N143" s="38" t="str">
        <x:f t="shared" si="5"/>
      </x:c>
      <x:c r="O143" s="42"/>
    </x:row>
    <x:row r="144">
      <x:c r="A144" s="54"/>
      <x:c r="B144" s="59"/>
      <x:c r="C144" s="59"/>
      <x:c r="D144" s="59"/>
      <x:c r="E144" s="64"/>
      <x:c r="F144" s="70"/>
      <x:c r="G144" s="70"/>
      <x:c r="H144" s="39" t="str">
        <x:f t="shared" si="4"/>
      </x:c>
      <x:c r="I144" s="59"/>
      <x:c r="J144" s="64"/>
      <x:c r="K144" s="59"/>
      <x:c r="L144" s="75"/>
      <x:c r="M144" s="46"/>
      <x:c r="N144" s="39" t="str">
        <x:f t="shared" si="5"/>
      </x:c>
      <x:c r="O144" s="47"/>
    </x:row>
    <x:row r="145">
      <x:c r="A145" s="54"/>
      <x:c r="B145" s="59"/>
      <x:c r="C145" s="59"/>
      <x:c r="D145" s="59"/>
      <x:c r="E145" s="64"/>
      <x:c r="F145" s="69"/>
      <x:c r="G145" s="69"/>
      <x:c r="H145" s="38" t="str">
        <x:f t="shared" si="4"/>
      </x:c>
      <x:c r="I145" s="59"/>
      <x:c r="J145" s="64"/>
      <x:c r="K145" s="59"/>
      <x:c r="L145" s="75"/>
      <x:c r="M145" s="41"/>
      <x:c r="N145" s="38" t="str">
        <x:f t="shared" si="5"/>
      </x:c>
      <x:c r="O145" s="42"/>
    </x:row>
    <x:row r="146">
      <x:c r="A146" s="54"/>
      <x:c r="B146" s="59"/>
      <x:c r="C146" s="59"/>
      <x:c r="D146" s="59"/>
      <x:c r="E146" s="64"/>
      <x:c r="F146" s="70"/>
      <x:c r="G146" s="70"/>
      <x:c r="H146" s="39" t="str">
        <x:f t="shared" si="4"/>
      </x:c>
      <x:c r="I146" s="59"/>
      <x:c r="J146" s="64"/>
      <x:c r="K146" s="59"/>
      <x:c r="L146" s="75"/>
      <x:c r="M146" s="46"/>
      <x:c r="N146" s="39" t="str">
        <x:f t="shared" si="5"/>
      </x:c>
      <x:c r="O146" s="47"/>
    </x:row>
    <x:row r="147">
      <x:c r="A147" s="54"/>
      <x:c r="B147" s="59"/>
      <x:c r="C147" s="59"/>
      <x:c r="D147" s="59"/>
      <x:c r="E147" s="64"/>
      <x:c r="F147" s="69"/>
      <x:c r="G147" s="69"/>
      <x:c r="H147" s="38" t="str">
        <x:f t="shared" si="4"/>
      </x:c>
      <x:c r="I147" s="59"/>
      <x:c r="J147" s="64"/>
      <x:c r="K147" s="59"/>
      <x:c r="L147" s="75"/>
      <x:c r="M147" s="41"/>
      <x:c r="N147" s="38" t="str">
        <x:f t="shared" si="5"/>
      </x:c>
      <x:c r="O147" s="42"/>
    </x:row>
    <x:row r="148">
      <x:c r="A148" s="54"/>
      <x:c r="B148" s="59"/>
      <x:c r="C148" s="59"/>
      <x:c r="D148" s="59"/>
      <x:c r="E148" s="64"/>
      <x:c r="F148" s="70"/>
      <x:c r="G148" s="70"/>
      <x:c r="H148" s="39" t="str">
        <x:f t="shared" si="4"/>
      </x:c>
      <x:c r="I148" s="59"/>
      <x:c r="J148" s="64"/>
      <x:c r="K148" s="59"/>
      <x:c r="L148" s="75"/>
      <x:c r="M148" s="46"/>
      <x:c r="N148" s="39" t="str">
        <x:f t="shared" si="5"/>
      </x:c>
      <x:c r="O148" s="47"/>
    </x:row>
    <x:row r="149">
      <x:c r="A149" s="54"/>
      <x:c r="B149" s="59"/>
      <x:c r="C149" s="59"/>
      <x:c r="D149" s="59"/>
      <x:c r="E149" s="64"/>
      <x:c r="F149" s="69"/>
      <x:c r="G149" s="69"/>
      <x:c r="H149" s="38" t="str">
        <x:f t="shared" si="4"/>
      </x:c>
      <x:c r="I149" s="59"/>
      <x:c r="J149" s="64"/>
      <x:c r="K149" s="59"/>
      <x:c r="L149" s="75"/>
      <x:c r="M149" s="41"/>
      <x:c r="N149" s="38" t="str">
        <x:f t="shared" si="5"/>
      </x:c>
      <x:c r="O149" s="42"/>
    </x:row>
    <x:row r="150">
      <x:c r="A150" s="54"/>
      <x:c r="B150" s="59"/>
      <x:c r="C150" s="59"/>
      <x:c r="D150" s="59"/>
      <x:c r="E150" s="64"/>
      <x:c r="F150" s="70"/>
      <x:c r="G150" s="70"/>
      <x:c r="H150" s="39" t="str">
        <x:f t="shared" si="4"/>
      </x:c>
      <x:c r="I150" s="59"/>
      <x:c r="J150" s="64"/>
      <x:c r="K150" s="59"/>
      <x:c r="L150" s="75"/>
      <x:c r="M150" s="46"/>
      <x:c r="N150" s="39" t="str">
        <x:f t="shared" si="5"/>
      </x:c>
      <x:c r="O150" s="47"/>
    </x:row>
    <x:row r="151">
      <x:c r="A151" s="54"/>
      <x:c r="B151" s="59"/>
      <x:c r="C151" s="59"/>
      <x:c r="D151" s="59"/>
      <x:c r="E151" s="64"/>
      <x:c r="F151" s="69"/>
      <x:c r="G151" s="69"/>
      <x:c r="H151" s="38" t="str">
        <x:f t="shared" si="4"/>
      </x:c>
      <x:c r="I151" s="59"/>
      <x:c r="J151" s="64"/>
      <x:c r="K151" s="59"/>
      <x:c r="L151" s="75"/>
      <x:c r="M151" s="41"/>
      <x:c r="N151" s="38" t="str">
        <x:f t="shared" si="5"/>
      </x:c>
      <x:c r="O151" s="42"/>
    </x:row>
    <x:row r="152">
      <x:c r="A152" s="54"/>
      <x:c r="B152" s="59"/>
      <x:c r="C152" s="59"/>
      <x:c r="D152" s="59"/>
      <x:c r="E152" s="64"/>
      <x:c r="F152" s="70"/>
      <x:c r="G152" s="70"/>
      <x:c r="H152" s="39" t="str">
        <x:f t="shared" si="4"/>
      </x:c>
      <x:c r="I152" s="59"/>
      <x:c r="J152" s="64"/>
      <x:c r="K152" s="59"/>
      <x:c r="L152" s="75"/>
      <x:c r="M152" s="46"/>
      <x:c r="N152" s="39" t="str">
        <x:f t="shared" si="5"/>
      </x:c>
      <x:c r="O152" s="47"/>
    </x:row>
    <x:row r="153">
      <x:c r="A153" s="54"/>
      <x:c r="B153" s="59"/>
      <x:c r="C153" s="59"/>
      <x:c r="D153" s="59"/>
      <x:c r="E153" s="64"/>
      <x:c r="F153" s="69"/>
      <x:c r="G153" s="69"/>
      <x:c r="H153" s="38" t="str">
        <x:f t="shared" si="4"/>
      </x:c>
      <x:c r="I153" s="59"/>
      <x:c r="J153" s="64"/>
      <x:c r="K153" s="59"/>
      <x:c r="L153" s="75"/>
      <x:c r="M153" s="41"/>
      <x:c r="N153" s="38" t="str">
        <x:f t="shared" si="5"/>
      </x:c>
      <x:c r="O153" s="42"/>
    </x:row>
    <x:row r="154">
      <x:c r="A154" s="54"/>
      <x:c r="B154" s="59"/>
      <x:c r="C154" s="59"/>
      <x:c r="D154" s="59"/>
      <x:c r="E154" s="64"/>
      <x:c r="F154" s="70"/>
      <x:c r="G154" s="70"/>
      <x:c r="H154" s="39" t="str">
        <x:f t="shared" si="4"/>
      </x:c>
      <x:c r="I154" s="59"/>
      <x:c r="J154" s="64"/>
      <x:c r="K154" s="59"/>
      <x:c r="L154" s="75"/>
      <x:c r="M154" s="46"/>
      <x:c r="N154" s="39" t="str">
        <x:f t="shared" si="5"/>
      </x:c>
      <x:c r="O154" s="47"/>
    </x:row>
    <x:row r="155">
      <x:c r="A155" s="54"/>
      <x:c r="B155" s="59"/>
      <x:c r="C155" s="59"/>
      <x:c r="D155" s="59"/>
      <x:c r="E155" s="64"/>
      <x:c r="F155" s="69"/>
      <x:c r="G155" s="69"/>
      <x:c r="H155" s="38" t="str">
        <x:f t="shared" si="4"/>
      </x:c>
      <x:c r="I155" s="59"/>
      <x:c r="J155" s="64"/>
      <x:c r="K155" s="59"/>
      <x:c r="L155" s="75"/>
      <x:c r="M155" s="41"/>
      <x:c r="N155" s="38" t="str">
        <x:f t="shared" si="5"/>
      </x:c>
      <x:c r="O155" s="42"/>
    </x:row>
    <x:row r="156">
      <x:c r="A156" s="54"/>
      <x:c r="B156" s="59"/>
      <x:c r="C156" s="59"/>
      <x:c r="D156" s="59"/>
      <x:c r="E156" s="64"/>
      <x:c r="F156" s="70"/>
      <x:c r="G156" s="70"/>
      <x:c r="H156" s="39" t="str">
        <x:f t="shared" si="4"/>
      </x:c>
      <x:c r="I156" s="59"/>
      <x:c r="J156" s="64"/>
      <x:c r="K156" s="59"/>
      <x:c r="L156" s="75"/>
      <x:c r="M156" s="46"/>
      <x:c r="N156" s="39" t="str">
        <x:f t="shared" si="5"/>
      </x:c>
      <x:c r="O156" s="47"/>
    </x:row>
    <x:row r="157">
      <x:c r="A157" s="54"/>
      <x:c r="B157" s="59"/>
      <x:c r="C157" s="59"/>
      <x:c r="D157" s="59"/>
      <x:c r="E157" s="64"/>
      <x:c r="F157" s="69"/>
      <x:c r="G157" s="69"/>
      <x:c r="H157" s="38" t="str">
        <x:f t="shared" si="4"/>
      </x:c>
      <x:c r="I157" s="59"/>
      <x:c r="J157" s="64"/>
      <x:c r="K157" s="59"/>
      <x:c r="L157" s="75"/>
      <x:c r="M157" s="41"/>
      <x:c r="N157" s="38" t="str">
        <x:f t="shared" si="5"/>
      </x:c>
      <x:c r="O157" s="42"/>
    </x:row>
    <x:row r="158">
      <x:c r="A158" s="54"/>
      <x:c r="B158" s="59"/>
      <x:c r="C158" s="59"/>
      <x:c r="D158" s="59"/>
      <x:c r="E158" s="64"/>
      <x:c r="F158" s="70"/>
      <x:c r="G158" s="70"/>
      <x:c r="H158" s="39" t="str">
        <x:f t="shared" si="4"/>
      </x:c>
      <x:c r="I158" s="59"/>
      <x:c r="J158" s="64"/>
      <x:c r="K158" s="59"/>
      <x:c r="L158" s="75"/>
      <x:c r="M158" s="46"/>
      <x:c r="N158" s="39" t="str">
        <x:f t="shared" si="5"/>
      </x:c>
      <x:c r="O158" s="47"/>
    </x:row>
    <x:row r="159">
      <x:c r="A159" s="54"/>
      <x:c r="B159" s="59"/>
      <x:c r="C159" s="59"/>
      <x:c r="D159" s="59"/>
      <x:c r="E159" s="64"/>
      <x:c r="F159" s="69"/>
      <x:c r="G159" s="69"/>
      <x:c r="H159" s="38" t="str">
        <x:f t="shared" si="4"/>
      </x:c>
      <x:c r="I159" s="59"/>
      <x:c r="J159" s="64"/>
      <x:c r="K159" s="59"/>
      <x:c r="L159" s="75"/>
      <x:c r="M159" s="41"/>
      <x:c r="N159" s="38" t="str">
        <x:f t="shared" si="5"/>
      </x:c>
      <x:c r="O159" s="42"/>
    </x:row>
    <x:row r="160">
      <x:c r="A160" s="54"/>
      <x:c r="B160" s="59"/>
      <x:c r="C160" s="59"/>
      <x:c r="D160" s="59"/>
      <x:c r="E160" s="64"/>
      <x:c r="F160" s="70"/>
      <x:c r="G160" s="70"/>
      <x:c r="H160" s="39" t="str">
        <x:f t="shared" si="4"/>
      </x:c>
      <x:c r="I160" s="59"/>
      <x:c r="J160" s="64"/>
      <x:c r="K160" s="59"/>
      <x:c r="L160" s="75"/>
      <x:c r="M160" s="46"/>
      <x:c r="N160" s="39" t="str">
        <x:f t="shared" si="5"/>
      </x:c>
      <x:c r="O160" s="47"/>
    </x:row>
    <x:row r="161">
      <x:c r="A161" s="54"/>
      <x:c r="B161" s="59"/>
      <x:c r="C161" s="59"/>
      <x:c r="D161" s="59"/>
      <x:c r="E161" s="64"/>
      <x:c r="F161" s="69"/>
      <x:c r="G161" s="69"/>
      <x:c r="H161" s="38" t="str">
        <x:f t="shared" si="4"/>
      </x:c>
      <x:c r="I161" s="59"/>
      <x:c r="J161" s="64"/>
      <x:c r="K161" s="59"/>
      <x:c r="L161" s="75"/>
      <x:c r="M161" s="41"/>
      <x:c r="N161" s="38" t="str">
        <x:f t="shared" si="5"/>
      </x:c>
      <x:c r="O161" s="42"/>
    </x:row>
    <x:row r="162">
      <x:c r="A162" s="54"/>
      <x:c r="B162" s="59"/>
      <x:c r="C162" s="59"/>
      <x:c r="D162" s="59"/>
      <x:c r="E162" s="64"/>
      <x:c r="F162" s="70"/>
      <x:c r="G162" s="70"/>
      <x:c r="H162" s="39" t="str">
        <x:f t="shared" si="4"/>
      </x:c>
      <x:c r="I162" s="59"/>
      <x:c r="J162" s="64"/>
      <x:c r="K162" s="59"/>
      <x:c r="L162" s="75"/>
      <x:c r="M162" s="46"/>
      <x:c r="N162" s="39" t="str">
        <x:f t="shared" si="5"/>
      </x:c>
      <x:c r="O162" s="47"/>
    </x:row>
    <x:row r="163">
      <x:c r="A163" s="54"/>
      <x:c r="B163" s="59"/>
      <x:c r="C163" s="59"/>
      <x:c r="D163" s="59"/>
      <x:c r="E163" s="64"/>
      <x:c r="F163" s="69"/>
      <x:c r="G163" s="69"/>
      <x:c r="H163" s="38" t="str">
        <x:f t="shared" si="4"/>
      </x:c>
      <x:c r="I163" s="59"/>
      <x:c r="J163" s="64"/>
      <x:c r="K163" s="59"/>
      <x:c r="L163" s="75"/>
      <x:c r="M163" s="41"/>
      <x:c r="N163" s="38" t="str">
        <x:f t="shared" si="5"/>
      </x:c>
      <x:c r="O163" s="42"/>
    </x:row>
    <x:row r="164">
      <x:c r="A164" s="54"/>
      <x:c r="B164" s="59"/>
      <x:c r="C164" s="59"/>
      <x:c r="D164" s="59"/>
      <x:c r="E164" s="64"/>
      <x:c r="F164" s="70"/>
      <x:c r="G164" s="70"/>
      <x:c r="H164" s="39" t="str">
        <x:f t="shared" si="4"/>
      </x:c>
      <x:c r="I164" s="59"/>
      <x:c r="J164" s="64"/>
      <x:c r="K164" s="59"/>
      <x:c r="L164" s="75"/>
      <x:c r="M164" s="46"/>
      <x:c r="N164" s="39" t="str">
        <x:f t="shared" si="5"/>
      </x:c>
      <x:c r="O164" s="47"/>
    </x:row>
    <x:row r="165">
      <x:c r="A165" s="54"/>
      <x:c r="B165" s="59"/>
      <x:c r="C165" s="59"/>
      <x:c r="D165" s="59"/>
      <x:c r="E165" s="64"/>
      <x:c r="F165" s="69"/>
      <x:c r="G165" s="69"/>
      <x:c r="H165" s="38" t="str">
        <x:f t="shared" si="4"/>
      </x:c>
      <x:c r="I165" s="59"/>
      <x:c r="J165" s="64"/>
      <x:c r="K165" s="59"/>
      <x:c r="L165" s="75"/>
      <x:c r="M165" s="41"/>
      <x:c r="N165" s="38" t="str">
        <x:f t="shared" si="5"/>
      </x:c>
      <x:c r="O165" s="42"/>
    </x:row>
    <x:row r="166">
      <x:c r="A166" s="54"/>
      <x:c r="B166" s="59"/>
      <x:c r="C166" s="59"/>
      <x:c r="D166" s="59"/>
      <x:c r="E166" s="64"/>
      <x:c r="F166" s="70"/>
      <x:c r="G166" s="70"/>
      <x:c r="H166" s="39" t="str">
        <x:f t="shared" si="4"/>
      </x:c>
      <x:c r="I166" s="59"/>
      <x:c r="J166" s="64"/>
      <x:c r="K166" s="59"/>
      <x:c r="L166" s="75"/>
      <x:c r="M166" s="46"/>
      <x:c r="N166" s="39" t="str">
        <x:f t="shared" si="5"/>
      </x:c>
      <x:c r="O166" s="47"/>
    </x:row>
    <x:row r="167">
      <x:c r="A167" s="54"/>
      <x:c r="B167" s="59"/>
      <x:c r="C167" s="59"/>
      <x:c r="D167" s="59"/>
      <x:c r="E167" s="64"/>
      <x:c r="F167" s="69"/>
      <x:c r="G167" s="69"/>
      <x:c r="H167" s="38" t="str">
        <x:f t="shared" si="4"/>
      </x:c>
      <x:c r="I167" s="59"/>
      <x:c r="J167" s="64"/>
      <x:c r="K167" s="59"/>
      <x:c r="L167" s="75"/>
      <x:c r="M167" s="41"/>
      <x:c r="N167" s="38" t="str">
        <x:f t="shared" si="5"/>
      </x:c>
      <x:c r="O167" s="42"/>
    </x:row>
    <x:row r="168">
      <x:c r="A168" s="54"/>
      <x:c r="B168" s="59"/>
      <x:c r="C168" s="59"/>
      <x:c r="D168" s="59"/>
      <x:c r="E168" s="64"/>
      <x:c r="F168" s="70"/>
      <x:c r="G168" s="70"/>
      <x:c r="H168" s="39" t="str">
        <x:f t="shared" si="4"/>
      </x:c>
      <x:c r="I168" s="59"/>
      <x:c r="J168" s="64"/>
      <x:c r="K168" s="59"/>
      <x:c r="L168" s="75"/>
      <x:c r="M168" s="46"/>
      <x:c r="N168" s="39" t="str">
        <x:f t="shared" si="5"/>
      </x:c>
      <x:c r="O168" s="47"/>
    </x:row>
    <x:row r="169">
      <x:c r="A169" s="54"/>
      <x:c r="B169" s="59"/>
      <x:c r="C169" s="59"/>
      <x:c r="D169" s="59"/>
      <x:c r="E169" s="64"/>
      <x:c r="F169" s="69"/>
      <x:c r="G169" s="69"/>
      <x:c r="H169" s="38" t="str">
        <x:f t="shared" si="4"/>
      </x:c>
      <x:c r="I169" s="59"/>
      <x:c r="J169" s="64"/>
      <x:c r="K169" s="59"/>
      <x:c r="L169" s="75"/>
      <x:c r="M169" s="41"/>
      <x:c r="N169" s="38" t="str">
        <x:f t="shared" si="5"/>
      </x:c>
      <x:c r="O169" s="42"/>
    </x:row>
    <x:row r="170">
      <x:c r="A170" s="54"/>
      <x:c r="B170" s="59"/>
      <x:c r="C170" s="59"/>
      <x:c r="D170" s="59"/>
      <x:c r="E170" s="64"/>
      <x:c r="F170" s="70"/>
      <x:c r="G170" s="70"/>
      <x:c r="H170" s="39" t="str">
        <x:f t="shared" si="4"/>
      </x:c>
      <x:c r="I170" s="59"/>
      <x:c r="J170" s="64"/>
      <x:c r="K170" s="59"/>
      <x:c r="L170" s="75"/>
      <x:c r="M170" s="46"/>
      <x:c r="N170" s="39" t="str">
        <x:f t="shared" si="5"/>
      </x:c>
      <x:c r="O170" s="47"/>
    </x:row>
    <x:row r="171">
      <x:c r="A171" s="54"/>
      <x:c r="B171" s="59"/>
      <x:c r="C171" s="59"/>
      <x:c r="D171" s="59"/>
      <x:c r="E171" s="64"/>
      <x:c r="F171" s="69"/>
      <x:c r="G171" s="69"/>
      <x:c r="H171" s="38" t="str">
        <x:f t="shared" si="4"/>
      </x:c>
      <x:c r="I171" s="59"/>
      <x:c r="J171" s="64"/>
      <x:c r="K171" s="59"/>
      <x:c r="L171" s="75"/>
      <x:c r="M171" s="41"/>
      <x:c r="N171" s="38" t="str">
        <x:f t="shared" si="5"/>
      </x:c>
      <x:c r="O171" s="42"/>
    </x:row>
    <x:row r="172">
      <x:c r="A172" s="54"/>
      <x:c r="B172" s="59"/>
      <x:c r="C172" s="59"/>
      <x:c r="D172" s="59"/>
      <x:c r="E172" s="64"/>
      <x:c r="F172" s="70"/>
      <x:c r="G172" s="70"/>
      <x:c r="H172" s="39" t="str">
        <x:f t="shared" si="4"/>
      </x:c>
      <x:c r="I172" s="59"/>
      <x:c r="J172" s="64"/>
      <x:c r="K172" s="59"/>
      <x:c r="L172" s="75"/>
      <x:c r="M172" s="46"/>
      <x:c r="N172" s="39" t="str">
        <x:f t="shared" si="5"/>
      </x:c>
      <x:c r="O172" s="47"/>
    </x:row>
    <x:row r="173">
      <x:c r="A173" s="54"/>
      <x:c r="B173" s="59"/>
      <x:c r="C173" s="59"/>
      <x:c r="D173" s="59"/>
      <x:c r="E173" s="64"/>
      <x:c r="F173" s="69"/>
      <x:c r="G173" s="69"/>
      <x:c r="H173" s="38" t="str">
        <x:f t="shared" si="4"/>
      </x:c>
      <x:c r="I173" s="59"/>
      <x:c r="J173" s="64"/>
      <x:c r="K173" s="59"/>
      <x:c r="L173" s="75"/>
      <x:c r="M173" s="41"/>
      <x:c r="N173" s="38" t="str">
        <x:f t="shared" si="5"/>
      </x:c>
      <x:c r="O173" s="42"/>
    </x:row>
    <x:row r="174">
      <x:c r="A174" s="54"/>
      <x:c r="B174" s="59"/>
      <x:c r="C174" s="59"/>
      <x:c r="D174" s="59"/>
      <x:c r="E174" s="64"/>
      <x:c r="F174" s="70"/>
      <x:c r="G174" s="70"/>
      <x:c r="H174" s="39" t="str">
        <x:f t="shared" si="4"/>
      </x:c>
      <x:c r="I174" s="59"/>
      <x:c r="J174" s="64"/>
      <x:c r="K174" s="59"/>
      <x:c r="L174" s="75"/>
      <x:c r="M174" s="46"/>
      <x:c r="N174" s="39" t="str">
        <x:f t="shared" si="5"/>
      </x:c>
      <x:c r="O174" s="47"/>
    </x:row>
    <x:row r="175">
      <x:c r="A175" s="54"/>
      <x:c r="B175" s="59"/>
      <x:c r="C175" s="59"/>
      <x:c r="D175" s="59"/>
      <x:c r="E175" s="64"/>
      <x:c r="F175" s="69"/>
      <x:c r="G175" s="69"/>
      <x:c r="H175" s="38" t="str">
        <x:f t="shared" si="4"/>
      </x:c>
      <x:c r="I175" s="59"/>
      <x:c r="J175" s="64"/>
      <x:c r="K175" s="59"/>
      <x:c r="L175" s="75"/>
      <x:c r="M175" s="41"/>
      <x:c r="N175" s="38" t="str">
        <x:f t="shared" si="5"/>
      </x:c>
      <x:c r="O175" s="42"/>
    </x:row>
    <x:row r="176">
      <x:c r="A176" s="54"/>
      <x:c r="B176" s="59"/>
      <x:c r="C176" s="59"/>
      <x:c r="D176" s="59"/>
      <x:c r="E176" s="64"/>
      <x:c r="F176" s="70"/>
      <x:c r="G176" s="70"/>
      <x:c r="H176" s="39" t="str">
        <x:f t="shared" si="4"/>
      </x:c>
      <x:c r="I176" s="59"/>
      <x:c r="J176" s="64"/>
      <x:c r="K176" s="59"/>
      <x:c r="L176" s="75"/>
      <x:c r="M176" s="46"/>
      <x:c r="N176" s="39" t="str">
        <x:f t="shared" si="5"/>
      </x:c>
      <x:c r="O176" s="47"/>
    </x:row>
    <x:row r="177">
      <x:c r="A177" s="54"/>
      <x:c r="B177" s="59"/>
      <x:c r="C177" s="59"/>
      <x:c r="D177" s="59"/>
      <x:c r="E177" s="64"/>
      <x:c r="F177" s="69"/>
      <x:c r="G177" s="69"/>
      <x:c r="H177" s="38" t="str">
        <x:f t="shared" si="4"/>
      </x:c>
      <x:c r="I177" s="59"/>
      <x:c r="J177" s="64"/>
      <x:c r="K177" s="59"/>
      <x:c r="L177" s="75"/>
      <x:c r="M177" s="41"/>
      <x:c r="N177" s="38" t="str">
        <x:f t="shared" si="5"/>
      </x:c>
      <x:c r="O177" s="42"/>
    </x:row>
    <x:row r="178">
      <x:c r="A178" s="54"/>
      <x:c r="B178" s="59"/>
      <x:c r="C178" s="59"/>
      <x:c r="D178" s="59"/>
      <x:c r="E178" s="64"/>
      <x:c r="F178" s="70"/>
      <x:c r="G178" s="70"/>
      <x:c r="H178" s="39" t="str">
        <x:f t="shared" si="4"/>
      </x:c>
      <x:c r="I178" s="59"/>
      <x:c r="J178" s="64"/>
      <x:c r="K178" s="59"/>
      <x:c r="L178" s="75"/>
      <x:c r="M178" s="46"/>
      <x:c r="N178" s="39" t="str">
        <x:f t="shared" si="5"/>
      </x:c>
      <x:c r="O178" s="47"/>
    </x:row>
    <x:row r="179">
      <x:c r="A179" s="54"/>
      <x:c r="B179" s="59"/>
      <x:c r="C179" s="59"/>
      <x:c r="D179" s="59"/>
      <x:c r="E179" s="64"/>
      <x:c r="F179" s="69"/>
      <x:c r="G179" s="69"/>
      <x:c r="H179" s="38" t="str">
        <x:f t="shared" si="4"/>
      </x:c>
      <x:c r="I179" s="59"/>
      <x:c r="J179" s="64"/>
      <x:c r="K179" s="59"/>
      <x:c r="L179" s="75"/>
      <x:c r="M179" s="41"/>
      <x:c r="N179" s="38" t="str">
        <x:f t="shared" si="5"/>
      </x:c>
      <x:c r="O179" s="42"/>
    </x:row>
    <x:row r="180">
      <x:c r="A180" s="54"/>
      <x:c r="B180" s="59"/>
      <x:c r="C180" s="59"/>
      <x:c r="D180" s="59"/>
      <x:c r="E180" s="64"/>
      <x:c r="F180" s="70"/>
      <x:c r="G180" s="70"/>
      <x:c r="H180" s="39" t="str">
        <x:f t="shared" si="4"/>
      </x:c>
      <x:c r="I180" s="59"/>
      <x:c r="J180" s="64"/>
      <x:c r="K180" s="59"/>
      <x:c r="L180" s="75"/>
      <x:c r="M180" s="46"/>
      <x:c r="N180" s="39" t="str">
        <x:f t="shared" si="5"/>
      </x:c>
      <x:c r="O180" s="47"/>
    </x:row>
    <x:row r="181">
      <x:c r="A181" s="54"/>
      <x:c r="B181" s="59"/>
      <x:c r="C181" s="59"/>
      <x:c r="D181" s="59"/>
      <x:c r="E181" s="64"/>
      <x:c r="F181" s="69"/>
      <x:c r="G181" s="69"/>
      <x:c r="H181" s="38" t="str">
        <x:f t="shared" si="4"/>
      </x:c>
      <x:c r="I181" s="59"/>
      <x:c r="J181" s="64"/>
      <x:c r="K181" s="59"/>
      <x:c r="L181" s="75"/>
      <x:c r="M181" s="41"/>
      <x:c r="N181" s="38" t="str">
        <x:f t="shared" si="5"/>
      </x:c>
      <x:c r="O181" s="42"/>
    </x:row>
    <x:row r="182">
      <x:c r="A182" s="54"/>
      <x:c r="B182" s="59"/>
      <x:c r="C182" s="59"/>
      <x:c r="D182" s="59"/>
      <x:c r="E182" s="64"/>
      <x:c r="F182" s="70"/>
      <x:c r="G182" s="70"/>
      <x:c r="H182" s="39" t="str">
        <x:f t="shared" si="4"/>
      </x:c>
      <x:c r="I182" s="59"/>
      <x:c r="J182" s="64"/>
      <x:c r="K182" s="59"/>
      <x:c r="L182" s="75"/>
      <x:c r="M182" s="46"/>
      <x:c r="N182" s="39" t="str">
        <x:f t="shared" si="5"/>
      </x:c>
      <x:c r="O182" s="47"/>
    </x:row>
    <x:row r="183">
      <x:c r="A183" s="54"/>
      <x:c r="B183" s="59"/>
      <x:c r="C183" s="59"/>
      <x:c r="D183" s="59"/>
      <x:c r="E183" s="64"/>
      <x:c r="F183" s="69"/>
      <x:c r="G183" s="69"/>
      <x:c r="H183" s="38" t="str">
        <x:f t="shared" si="4"/>
      </x:c>
      <x:c r="I183" s="59"/>
      <x:c r="J183" s="64"/>
      <x:c r="K183" s="59"/>
      <x:c r="L183" s="75"/>
      <x:c r="M183" s="41"/>
      <x:c r="N183" s="38" t="str">
        <x:f t="shared" si="5"/>
      </x:c>
      <x:c r="O183" s="42"/>
    </x:row>
    <x:row r="184">
      <x:c r="A184" s="54"/>
      <x:c r="B184" s="59"/>
      <x:c r="C184" s="59"/>
      <x:c r="D184" s="59"/>
      <x:c r="E184" s="64"/>
      <x:c r="F184" s="70"/>
      <x:c r="G184" s="70"/>
      <x:c r="H184" s="39" t="str">
        <x:f t="shared" si="4"/>
      </x:c>
      <x:c r="I184" s="59"/>
      <x:c r="J184" s="64"/>
      <x:c r="K184" s="59"/>
      <x:c r="L184" s="75"/>
      <x:c r="M184" s="46"/>
      <x:c r="N184" s="39" t="str">
        <x:f t="shared" si="5"/>
      </x:c>
      <x:c r="O184" s="47"/>
    </x:row>
    <x:row r="185">
      <x:c r="A185" s="54"/>
      <x:c r="B185" s="59"/>
      <x:c r="C185" s="59"/>
      <x:c r="D185" s="59"/>
      <x:c r="E185" s="64"/>
      <x:c r="F185" s="69"/>
      <x:c r="G185" s="69"/>
      <x:c r="H185" s="38" t="str">
        <x:f t="shared" si="4"/>
      </x:c>
      <x:c r="I185" s="59"/>
      <x:c r="J185" s="64"/>
      <x:c r="K185" s="59"/>
      <x:c r="L185" s="75"/>
      <x:c r="M185" s="41"/>
      <x:c r="N185" s="38" t="str">
        <x:f t="shared" si="5"/>
      </x:c>
      <x:c r="O185" s="42"/>
    </x:row>
    <x:row r="186">
      <x:c r="A186" s="54"/>
      <x:c r="B186" s="59"/>
      <x:c r="C186" s="59"/>
      <x:c r="D186" s="59"/>
      <x:c r="E186" s="64"/>
      <x:c r="F186" s="70"/>
      <x:c r="G186" s="70"/>
      <x:c r="H186" s="39" t="str">
        <x:f t="shared" si="4"/>
      </x:c>
      <x:c r="I186" s="59"/>
      <x:c r="J186" s="64"/>
      <x:c r="K186" s="59"/>
      <x:c r="L186" s="75"/>
      <x:c r="M186" s="46"/>
      <x:c r="N186" s="39" t="str">
        <x:f t="shared" si="5"/>
      </x:c>
      <x:c r="O186" s="47"/>
    </x:row>
    <x:row r="187">
      <x:c r="A187" s="54"/>
      <x:c r="B187" s="59"/>
      <x:c r="C187" s="59"/>
      <x:c r="D187" s="59"/>
      <x:c r="E187" s="64"/>
      <x:c r="F187" s="69"/>
      <x:c r="G187" s="69"/>
      <x:c r="H187" s="38" t="str">
        <x:f t="shared" si="4"/>
      </x:c>
      <x:c r="I187" s="59"/>
      <x:c r="J187" s="64"/>
      <x:c r="K187" s="59"/>
      <x:c r="L187" s="75"/>
      <x:c r="M187" s="41"/>
      <x:c r="N187" s="38" t="str">
        <x:f t="shared" si="5"/>
      </x:c>
      <x:c r="O187" s="42"/>
    </x:row>
    <x:row r="188">
      <x:c r="A188" s="54"/>
      <x:c r="B188" s="59"/>
      <x:c r="C188" s="59"/>
      <x:c r="D188" s="59"/>
      <x:c r="E188" s="64"/>
      <x:c r="F188" s="70"/>
      <x:c r="G188" s="70"/>
      <x:c r="H188" s="39" t="str">
        <x:f t="shared" si="4"/>
      </x:c>
      <x:c r="I188" s="59"/>
      <x:c r="J188" s="64"/>
      <x:c r="K188" s="59"/>
      <x:c r="L188" s="75"/>
      <x:c r="M188" s="46"/>
      <x:c r="N188" s="39" t="str">
        <x:f t="shared" si="5"/>
      </x:c>
      <x:c r="O188" s="47"/>
    </x:row>
    <x:row r="189">
      <x:c r="A189" s="54"/>
      <x:c r="B189" s="59"/>
      <x:c r="C189" s="59"/>
      <x:c r="D189" s="59"/>
      <x:c r="E189" s="64"/>
      <x:c r="F189" s="69"/>
      <x:c r="G189" s="69"/>
      <x:c r="H189" s="38" t="str">
        <x:f t="shared" si="4"/>
      </x:c>
      <x:c r="I189" s="59"/>
      <x:c r="J189" s="64"/>
      <x:c r="K189" s="59"/>
      <x:c r="L189" s="75"/>
      <x:c r="M189" s="41"/>
      <x:c r="N189" s="38" t="str">
        <x:f t="shared" si="5"/>
      </x:c>
      <x:c r="O189" s="42"/>
    </x:row>
    <x:row r="190">
      <x:c r="A190" s="54"/>
      <x:c r="B190" s="59"/>
      <x:c r="C190" s="59"/>
      <x:c r="D190" s="59"/>
      <x:c r="E190" s="64"/>
      <x:c r="F190" s="70"/>
      <x:c r="G190" s="70"/>
      <x:c r="H190" s="39" t="str">
        <x:f t="shared" si="4"/>
      </x:c>
      <x:c r="I190" s="59"/>
      <x:c r="J190" s="64"/>
      <x:c r="K190" s="59"/>
      <x:c r="L190" s="75"/>
      <x:c r="M190" s="46"/>
      <x:c r="N190" s="39" t="str">
        <x:f t="shared" si="5"/>
      </x:c>
      <x:c r="O190" s="47"/>
    </x:row>
    <x:row r="191">
      <x:c r="A191" s="54"/>
      <x:c r="B191" s="59"/>
      <x:c r="C191" s="59"/>
      <x:c r="D191" s="59"/>
      <x:c r="E191" s="64"/>
      <x:c r="F191" s="69"/>
      <x:c r="G191" s="69"/>
      <x:c r="H191" s="38" t="str">
        <x:f t="shared" si="4"/>
      </x:c>
      <x:c r="I191" s="59"/>
      <x:c r="J191" s="64"/>
      <x:c r="K191" s="59"/>
      <x:c r="L191" s="75"/>
      <x:c r="M191" s="41"/>
      <x:c r="N191" s="38" t="str">
        <x:f t="shared" si="5"/>
      </x:c>
      <x:c r="O191" s="42"/>
    </x:row>
    <x:row r="192">
      <x:c r="A192" s="54"/>
      <x:c r="B192" s="59"/>
      <x:c r="C192" s="59"/>
      <x:c r="D192" s="59"/>
      <x:c r="E192" s="64"/>
      <x:c r="F192" s="70"/>
      <x:c r="G192" s="70"/>
      <x:c r="H192" s="39" t="str">
        <x:f t="shared" si="4"/>
      </x:c>
      <x:c r="I192" s="59"/>
      <x:c r="J192" s="64"/>
      <x:c r="K192" s="59"/>
      <x:c r="L192" s="75"/>
      <x:c r="M192" s="46"/>
      <x:c r="N192" s="39" t="str">
        <x:f t="shared" si="5"/>
      </x:c>
      <x:c r="O192" s="47"/>
    </x:row>
    <x:row r="193">
      <x:c r="A193" s="54"/>
      <x:c r="B193" s="59"/>
      <x:c r="C193" s="59"/>
      <x:c r="D193" s="59"/>
      <x:c r="E193" s="64"/>
      <x:c r="F193" s="69"/>
      <x:c r="G193" s="69"/>
      <x:c r="H193" s="38" t="str">
        <x:f t="shared" si="4"/>
      </x:c>
      <x:c r="I193" s="59"/>
      <x:c r="J193" s="64"/>
      <x:c r="K193" s="59"/>
      <x:c r="L193" s="75"/>
      <x:c r="M193" s="41"/>
      <x:c r="N193" s="38" t="str">
        <x:f t="shared" si="5"/>
      </x:c>
      <x:c r="O193" s="42"/>
    </x:row>
    <x:row r="194">
      <x:c r="A194" s="54"/>
      <x:c r="B194" s="59"/>
      <x:c r="C194" s="59"/>
      <x:c r="D194" s="59"/>
      <x:c r="E194" s="64"/>
      <x:c r="F194" s="70"/>
      <x:c r="G194" s="70"/>
      <x:c r="H194" s="39" t="str">
        <x:f t="shared" ref="H194:H257" si="6">IF(OR(F194="",G194=""),"",F194+G194)</x:f>
      </x:c>
      <x:c r="I194" s="59"/>
      <x:c r="J194" s="64"/>
      <x:c r="K194" s="59"/>
      <x:c r="L194" s="75"/>
      <x:c r="M194" s="46"/>
      <x:c r="N194" s="39" t="str">
        <x:f t="shared" ref="N194:N257" si="7">IF(H194="","",IF(AND(L194&gt;0,M194&gt;=TODAY()),H194*(1-L194),H194))</x:f>
      </x:c>
      <x:c r="O194" s="47"/>
    </x:row>
    <x:row r="195">
      <x:c r="A195" s="54"/>
      <x:c r="B195" s="59"/>
      <x:c r="C195" s="59"/>
      <x:c r="D195" s="59"/>
      <x:c r="E195" s="64"/>
      <x:c r="F195" s="69"/>
      <x:c r="G195" s="69"/>
      <x:c r="H195" s="38" t="str">
        <x:f t="shared" si="6"/>
      </x:c>
      <x:c r="I195" s="59"/>
      <x:c r="J195" s="64"/>
      <x:c r="K195" s="59"/>
      <x:c r="L195" s="75"/>
      <x:c r="M195" s="41"/>
      <x:c r="N195" s="38" t="str">
        <x:f t="shared" si="7"/>
      </x:c>
      <x:c r="O195" s="42"/>
    </x:row>
    <x:row r="196">
      <x:c r="A196" s="54"/>
      <x:c r="B196" s="59"/>
      <x:c r="C196" s="59"/>
      <x:c r="D196" s="59"/>
      <x:c r="E196" s="64"/>
      <x:c r="F196" s="70"/>
      <x:c r="G196" s="70"/>
      <x:c r="H196" s="39" t="str">
        <x:f t="shared" si="6"/>
      </x:c>
      <x:c r="I196" s="59"/>
      <x:c r="J196" s="64"/>
      <x:c r="K196" s="59"/>
      <x:c r="L196" s="75"/>
      <x:c r="M196" s="46"/>
      <x:c r="N196" s="39" t="str">
        <x:f t="shared" si="7"/>
      </x:c>
      <x:c r="O196" s="47"/>
    </x:row>
    <x:row r="197">
      <x:c r="A197" s="54"/>
      <x:c r="B197" s="59"/>
      <x:c r="C197" s="59"/>
      <x:c r="D197" s="59"/>
      <x:c r="E197" s="64"/>
      <x:c r="F197" s="69"/>
      <x:c r="G197" s="69"/>
      <x:c r="H197" s="38" t="str">
        <x:f t="shared" si="6"/>
      </x:c>
      <x:c r="I197" s="59"/>
      <x:c r="J197" s="64"/>
      <x:c r="K197" s="59"/>
      <x:c r="L197" s="75"/>
      <x:c r="M197" s="41"/>
      <x:c r="N197" s="38" t="str">
        <x:f t="shared" si="7"/>
      </x:c>
      <x:c r="O197" s="42"/>
    </x:row>
    <x:row r="198">
      <x:c r="A198" s="54"/>
      <x:c r="B198" s="59"/>
      <x:c r="C198" s="59"/>
      <x:c r="D198" s="59"/>
      <x:c r="E198" s="64"/>
      <x:c r="F198" s="70"/>
      <x:c r="G198" s="70"/>
      <x:c r="H198" s="39" t="str">
        <x:f t="shared" si="6"/>
      </x:c>
      <x:c r="I198" s="59"/>
      <x:c r="J198" s="64"/>
      <x:c r="K198" s="59"/>
      <x:c r="L198" s="75"/>
      <x:c r="M198" s="46"/>
      <x:c r="N198" s="39" t="str">
        <x:f t="shared" si="7"/>
      </x:c>
      <x:c r="O198" s="47"/>
    </x:row>
    <x:row r="199">
      <x:c r="A199" s="54"/>
      <x:c r="B199" s="59"/>
      <x:c r="C199" s="59"/>
      <x:c r="D199" s="59"/>
      <x:c r="E199" s="64"/>
      <x:c r="F199" s="69"/>
      <x:c r="G199" s="69"/>
      <x:c r="H199" s="38" t="str">
        <x:f t="shared" si="6"/>
      </x:c>
      <x:c r="I199" s="59"/>
      <x:c r="J199" s="64"/>
      <x:c r="K199" s="59"/>
      <x:c r="L199" s="75"/>
      <x:c r="M199" s="41"/>
      <x:c r="N199" s="38" t="str">
        <x:f t="shared" si="7"/>
      </x:c>
      <x:c r="O199" s="42"/>
    </x:row>
    <x:row r="200">
      <x:c r="A200" s="54"/>
      <x:c r="B200" s="59"/>
      <x:c r="C200" s="59"/>
      <x:c r="D200" s="59"/>
      <x:c r="E200" s="64"/>
      <x:c r="F200" s="70"/>
      <x:c r="G200" s="70"/>
      <x:c r="H200" s="39" t="str">
        <x:f t="shared" si="6"/>
      </x:c>
      <x:c r="I200" s="59"/>
      <x:c r="J200" s="64"/>
      <x:c r="K200" s="59"/>
      <x:c r="L200" s="75"/>
      <x:c r="M200" s="46"/>
      <x:c r="N200" s="39" t="str">
        <x:f t="shared" si="7"/>
      </x:c>
      <x:c r="O200" s="47"/>
    </x:row>
    <x:row r="201">
      <x:c r="A201" s="54"/>
      <x:c r="B201" s="59"/>
      <x:c r="C201" s="59"/>
      <x:c r="D201" s="59"/>
      <x:c r="E201" s="64"/>
      <x:c r="F201" s="69"/>
      <x:c r="G201" s="69"/>
      <x:c r="H201" s="38" t="str">
        <x:f t="shared" si="6"/>
      </x:c>
      <x:c r="I201" s="59"/>
      <x:c r="J201" s="64"/>
      <x:c r="K201" s="59"/>
      <x:c r="L201" s="75"/>
      <x:c r="M201" s="41"/>
      <x:c r="N201" s="38" t="str">
        <x:f t="shared" si="7"/>
      </x:c>
      <x:c r="O201" s="42"/>
    </x:row>
    <x:row r="202">
      <x:c r="A202" s="54"/>
      <x:c r="B202" s="59"/>
      <x:c r="C202" s="59"/>
      <x:c r="D202" s="59"/>
      <x:c r="E202" s="64"/>
      <x:c r="F202" s="70"/>
      <x:c r="G202" s="70"/>
      <x:c r="H202" s="39" t="str">
        <x:f t="shared" si="6"/>
      </x:c>
      <x:c r="I202" s="59"/>
      <x:c r="J202" s="64"/>
      <x:c r="K202" s="59"/>
      <x:c r="L202" s="75"/>
      <x:c r="M202" s="46"/>
      <x:c r="N202" s="39" t="str">
        <x:f t="shared" si="7"/>
      </x:c>
      <x:c r="O202" s="47"/>
    </x:row>
    <x:row r="203">
      <x:c r="A203" s="54"/>
      <x:c r="B203" s="59"/>
      <x:c r="C203" s="59"/>
      <x:c r="D203" s="59"/>
      <x:c r="E203" s="64"/>
      <x:c r="F203" s="69"/>
      <x:c r="G203" s="69"/>
      <x:c r="H203" s="38" t="str">
        <x:f t="shared" si="6"/>
      </x:c>
      <x:c r="I203" s="59"/>
      <x:c r="J203" s="64"/>
      <x:c r="K203" s="59"/>
      <x:c r="L203" s="75"/>
      <x:c r="M203" s="41"/>
      <x:c r="N203" s="38" t="str">
        <x:f t="shared" si="7"/>
      </x:c>
      <x:c r="O203" s="42"/>
    </x:row>
    <x:row r="204">
      <x:c r="A204" s="54"/>
      <x:c r="B204" s="59"/>
      <x:c r="C204" s="59"/>
      <x:c r="D204" s="59"/>
      <x:c r="E204" s="64"/>
      <x:c r="F204" s="70"/>
      <x:c r="G204" s="70"/>
      <x:c r="H204" s="39" t="str">
        <x:f t="shared" si="6"/>
      </x:c>
      <x:c r="I204" s="59"/>
      <x:c r="J204" s="64"/>
      <x:c r="K204" s="59"/>
      <x:c r="L204" s="75"/>
      <x:c r="M204" s="46"/>
      <x:c r="N204" s="39" t="str">
        <x:f t="shared" si="7"/>
      </x:c>
      <x:c r="O204" s="47"/>
    </x:row>
    <x:row r="205">
      <x:c r="A205" s="54"/>
      <x:c r="B205" s="59"/>
      <x:c r="C205" s="59"/>
      <x:c r="D205" s="59"/>
      <x:c r="E205" s="64"/>
      <x:c r="F205" s="69"/>
      <x:c r="G205" s="69"/>
      <x:c r="H205" s="38" t="str">
        <x:f t="shared" si="6"/>
      </x:c>
      <x:c r="I205" s="59"/>
      <x:c r="J205" s="64"/>
      <x:c r="K205" s="59"/>
      <x:c r="L205" s="75"/>
      <x:c r="M205" s="41"/>
      <x:c r="N205" s="38" t="str">
        <x:f t="shared" si="7"/>
      </x:c>
      <x:c r="O205" s="42"/>
    </x:row>
    <x:row r="206">
      <x:c r="A206" s="54"/>
      <x:c r="B206" s="59"/>
      <x:c r="C206" s="59"/>
      <x:c r="D206" s="59"/>
      <x:c r="E206" s="64"/>
      <x:c r="F206" s="70"/>
      <x:c r="G206" s="70"/>
      <x:c r="H206" s="39" t="str">
        <x:f t="shared" si="6"/>
      </x:c>
      <x:c r="I206" s="59"/>
      <x:c r="J206" s="64"/>
      <x:c r="K206" s="59"/>
      <x:c r="L206" s="75"/>
      <x:c r="M206" s="46"/>
      <x:c r="N206" s="39" t="str">
        <x:f t="shared" si="7"/>
      </x:c>
      <x:c r="O206" s="47"/>
    </x:row>
    <x:row r="207">
      <x:c r="A207" s="54"/>
      <x:c r="B207" s="59"/>
      <x:c r="C207" s="59"/>
      <x:c r="D207" s="59"/>
      <x:c r="E207" s="64"/>
      <x:c r="F207" s="69"/>
      <x:c r="G207" s="69"/>
      <x:c r="H207" s="38" t="str">
        <x:f t="shared" si="6"/>
      </x:c>
      <x:c r="I207" s="59"/>
      <x:c r="J207" s="64"/>
      <x:c r="K207" s="59"/>
      <x:c r="L207" s="75"/>
      <x:c r="M207" s="41"/>
      <x:c r="N207" s="38" t="str">
        <x:f t="shared" si="7"/>
      </x:c>
      <x:c r="O207" s="42"/>
    </x:row>
    <x:row r="208">
      <x:c r="A208" s="54"/>
      <x:c r="B208" s="59"/>
      <x:c r="C208" s="59"/>
      <x:c r="D208" s="59"/>
      <x:c r="E208" s="64"/>
      <x:c r="F208" s="70"/>
      <x:c r="G208" s="70"/>
      <x:c r="H208" s="39" t="str">
        <x:f t="shared" si="6"/>
      </x:c>
      <x:c r="I208" s="59"/>
      <x:c r="J208" s="64"/>
      <x:c r="K208" s="59"/>
      <x:c r="L208" s="75"/>
      <x:c r="M208" s="46"/>
      <x:c r="N208" s="39" t="str">
        <x:f t="shared" si="7"/>
      </x:c>
      <x:c r="O208" s="47"/>
    </x:row>
    <x:row r="209">
      <x:c r="A209" s="54"/>
      <x:c r="B209" s="59"/>
      <x:c r="C209" s="59"/>
      <x:c r="D209" s="59"/>
      <x:c r="E209" s="64"/>
      <x:c r="F209" s="69"/>
      <x:c r="G209" s="69"/>
      <x:c r="H209" s="38" t="str">
        <x:f t="shared" si="6"/>
      </x:c>
      <x:c r="I209" s="59"/>
      <x:c r="J209" s="64"/>
      <x:c r="K209" s="59"/>
      <x:c r="L209" s="75"/>
      <x:c r="M209" s="41"/>
      <x:c r="N209" s="38" t="str">
        <x:f t="shared" si="7"/>
      </x:c>
      <x:c r="O209" s="42"/>
    </x:row>
    <x:row r="210">
      <x:c r="A210" s="54"/>
      <x:c r="B210" s="59"/>
      <x:c r="C210" s="59"/>
      <x:c r="D210" s="59"/>
      <x:c r="E210" s="64"/>
      <x:c r="F210" s="70"/>
      <x:c r="G210" s="70"/>
      <x:c r="H210" s="39" t="str">
        <x:f t="shared" si="6"/>
      </x:c>
      <x:c r="I210" s="59"/>
      <x:c r="J210" s="64"/>
      <x:c r="K210" s="59"/>
      <x:c r="L210" s="75"/>
      <x:c r="M210" s="46"/>
      <x:c r="N210" s="39" t="str">
        <x:f t="shared" si="7"/>
      </x:c>
      <x:c r="O210" s="47"/>
    </x:row>
    <x:row r="211">
      <x:c r="A211" s="54"/>
      <x:c r="B211" s="59"/>
      <x:c r="C211" s="59"/>
      <x:c r="D211" s="59"/>
      <x:c r="E211" s="64"/>
      <x:c r="F211" s="69"/>
      <x:c r="G211" s="69"/>
      <x:c r="H211" s="38" t="str">
        <x:f t="shared" si="6"/>
      </x:c>
      <x:c r="I211" s="59"/>
      <x:c r="J211" s="64"/>
      <x:c r="K211" s="59"/>
      <x:c r="L211" s="75"/>
      <x:c r="M211" s="41"/>
      <x:c r="N211" s="38" t="str">
        <x:f t="shared" si="7"/>
      </x:c>
      <x:c r="O211" s="42"/>
    </x:row>
    <x:row r="212">
      <x:c r="A212" s="54"/>
      <x:c r="B212" s="59"/>
      <x:c r="C212" s="59"/>
      <x:c r="D212" s="59"/>
      <x:c r="E212" s="64"/>
      <x:c r="F212" s="70"/>
      <x:c r="G212" s="70"/>
      <x:c r="H212" s="39" t="str">
        <x:f t="shared" si="6"/>
      </x:c>
      <x:c r="I212" s="59"/>
      <x:c r="J212" s="64"/>
      <x:c r="K212" s="59"/>
      <x:c r="L212" s="75"/>
      <x:c r="M212" s="46"/>
      <x:c r="N212" s="39" t="str">
        <x:f t="shared" si="7"/>
      </x:c>
      <x:c r="O212" s="47"/>
    </x:row>
    <x:row r="213">
      <x:c r="A213" s="54"/>
      <x:c r="B213" s="59"/>
      <x:c r="C213" s="59"/>
      <x:c r="D213" s="59"/>
      <x:c r="E213" s="64"/>
      <x:c r="F213" s="69"/>
      <x:c r="G213" s="69"/>
      <x:c r="H213" s="38" t="str">
        <x:f t="shared" si="6"/>
      </x:c>
      <x:c r="I213" s="59"/>
      <x:c r="J213" s="64"/>
      <x:c r="K213" s="59"/>
      <x:c r="L213" s="75"/>
      <x:c r="M213" s="41"/>
      <x:c r="N213" s="38" t="str">
        <x:f t="shared" si="7"/>
      </x:c>
      <x:c r="O213" s="42"/>
    </x:row>
    <x:row r="214">
      <x:c r="A214" s="54"/>
      <x:c r="B214" s="59"/>
      <x:c r="C214" s="59"/>
      <x:c r="D214" s="59"/>
      <x:c r="E214" s="64"/>
      <x:c r="F214" s="70"/>
      <x:c r="G214" s="70"/>
      <x:c r="H214" s="39" t="str">
        <x:f t="shared" si="6"/>
      </x:c>
      <x:c r="I214" s="59"/>
      <x:c r="J214" s="64"/>
      <x:c r="K214" s="59"/>
      <x:c r="L214" s="75"/>
      <x:c r="M214" s="46"/>
      <x:c r="N214" s="39" t="str">
        <x:f t="shared" si="7"/>
      </x:c>
      <x:c r="O214" s="47"/>
    </x:row>
    <x:row r="215">
      <x:c r="A215" s="54"/>
      <x:c r="B215" s="59"/>
      <x:c r="C215" s="59"/>
      <x:c r="D215" s="59"/>
      <x:c r="E215" s="64"/>
      <x:c r="F215" s="69"/>
      <x:c r="G215" s="69"/>
      <x:c r="H215" s="38" t="str">
        <x:f t="shared" si="6"/>
      </x:c>
      <x:c r="I215" s="59"/>
      <x:c r="J215" s="64"/>
      <x:c r="K215" s="59"/>
      <x:c r="L215" s="75"/>
      <x:c r="M215" s="41"/>
      <x:c r="N215" s="38" t="str">
        <x:f t="shared" si="7"/>
      </x:c>
      <x:c r="O215" s="42"/>
    </x:row>
    <x:row r="216">
      <x:c r="A216" s="54"/>
      <x:c r="B216" s="59"/>
      <x:c r="C216" s="59"/>
      <x:c r="D216" s="59"/>
      <x:c r="E216" s="64"/>
      <x:c r="F216" s="70"/>
      <x:c r="G216" s="70"/>
      <x:c r="H216" s="39" t="str">
        <x:f t="shared" si="6"/>
      </x:c>
      <x:c r="I216" s="59"/>
      <x:c r="J216" s="64"/>
      <x:c r="K216" s="59"/>
      <x:c r="L216" s="75"/>
      <x:c r="M216" s="46"/>
      <x:c r="N216" s="39" t="str">
        <x:f t="shared" si="7"/>
      </x:c>
      <x:c r="O216" s="47"/>
    </x:row>
    <x:row r="217">
      <x:c r="A217" s="54"/>
      <x:c r="B217" s="59"/>
      <x:c r="C217" s="59"/>
      <x:c r="D217" s="59"/>
      <x:c r="E217" s="64"/>
      <x:c r="F217" s="69"/>
      <x:c r="G217" s="69"/>
      <x:c r="H217" s="38" t="str">
        <x:f t="shared" si="6"/>
      </x:c>
      <x:c r="I217" s="59"/>
      <x:c r="J217" s="64"/>
      <x:c r="K217" s="59"/>
      <x:c r="L217" s="75"/>
      <x:c r="M217" s="41"/>
      <x:c r="N217" s="38" t="str">
        <x:f t="shared" si="7"/>
      </x:c>
      <x:c r="O217" s="42"/>
    </x:row>
    <x:row r="218">
      <x:c r="A218" s="54"/>
      <x:c r="B218" s="59"/>
      <x:c r="C218" s="59"/>
      <x:c r="D218" s="59"/>
      <x:c r="E218" s="64"/>
      <x:c r="F218" s="70"/>
      <x:c r="G218" s="70"/>
      <x:c r="H218" s="39" t="str">
        <x:f t="shared" si="6"/>
      </x:c>
      <x:c r="I218" s="59"/>
      <x:c r="J218" s="64"/>
      <x:c r="K218" s="59"/>
      <x:c r="L218" s="75"/>
      <x:c r="M218" s="46"/>
      <x:c r="N218" s="39" t="str">
        <x:f t="shared" si="7"/>
      </x:c>
      <x:c r="O218" s="47"/>
    </x:row>
    <x:row r="219">
      <x:c r="A219" s="54"/>
      <x:c r="B219" s="59"/>
      <x:c r="C219" s="59"/>
      <x:c r="D219" s="59"/>
      <x:c r="E219" s="64"/>
      <x:c r="F219" s="69"/>
      <x:c r="G219" s="69"/>
      <x:c r="H219" s="38" t="str">
        <x:f t="shared" si="6"/>
      </x:c>
      <x:c r="I219" s="59"/>
      <x:c r="J219" s="64"/>
      <x:c r="K219" s="59"/>
      <x:c r="L219" s="75"/>
      <x:c r="M219" s="41"/>
      <x:c r="N219" s="38" t="str">
        <x:f t="shared" si="7"/>
      </x:c>
      <x:c r="O219" s="42"/>
    </x:row>
    <x:row r="220">
      <x:c r="A220" s="54"/>
      <x:c r="B220" s="59"/>
      <x:c r="C220" s="59"/>
      <x:c r="D220" s="59"/>
      <x:c r="E220" s="64"/>
      <x:c r="F220" s="70"/>
      <x:c r="G220" s="70"/>
      <x:c r="H220" s="39" t="str">
        <x:f t="shared" si="6"/>
      </x:c>
      <x:c r="I220" s="59"/>
      <x:c r="J220" s="64"/>
      <x:c r="K220" s="59"/>
      <x:c r="L220" s="75"/>
      <x:c r="M220" s="46"/>
      <x:c r="N220" s="39" t="str">
        <x:f t="shared" si="7"/>
      </x:c>
      <x:c r="O220" s="47"/>
    </x:row>
    <x:row r="221">
      <x:c r="A221" s="54"/>
      <x:c r="B221" s="59"/>
      <x:c r="C221" s="59"/>
      <x:c r="D221" s="59"/>
      <x:c r="E221" s="64"/>
      <x:c r="F221" s="69"/>
      <x:c r="G221" s="69"/>
      <x:c r="H221" s="38" t="str">
        <x:f t="shared" si="6"/>
      </x:c>
      <x:c r="I221" s="59"/>
      <x:c r="J221" s="64"/>
      <x:c r="K221" s="59"/>
      <x:c r="L221" s="75"/>
      <x:c r="M221" s="41"/>
      <x:c r="N221" s="38" t="str">
        <x:f t="shared" si="7"/>
      </x:c>
      <x:c r="O221" s="42"/>
    </x:row>
    <x:row r="222">
      <x:c r="A222" s="54"/>
      <x:c r="B222" s="59"/>
      <x:c r="C222" s="59"/>
      <x:c r="D222" s="59"/>
      <x:c r="E222" s="64"/>
      <x:c r="F222" s="70"/>
      <x:c r="G222" s="70"/>
      <x:c r="H222" s="39" t="str">
        <x:f t="shared" si="6"/>
      </x:c>
      <x:c r="I222" s="59"/>
      <x:c r="J222" s="64"/>
      <x:c r="K222" s="59"/>
      <x:c r="L222" s="75"/>
      <x:c r="M222" s="46"/>
      <x:c r="N222" s="39" t="str">
        <x:f t="shared" si="7"/>
      </x:c>
      <x:c r="O222" s="47"/>
    </x:row>
    <x:row r="223">
      <x:c r="A223" s="54"/>
      <x:c r="B223" s="59"/>
      <x:c r="C223" s="59"/>
      <x:c r="D223" s="59"/>
      <x:c r="E223" s="64"/>
      <x:c r="F223" s="69"/>
      <x:c r="G223" s="69"/>
      <x:c r="H223" s="38" t="str">
        <x:f t="shared" si="6"/>
      </x:c>
      <x:c r="I223" s="59"/>
      <x:c r="J223" s="64"/>
      <x:c r="K223" s="59"/>
      <x:c r="L223" s="75"/>
      <x:c r="M223" s="41"/>
      <x:c r="N223" s="38" t="str">
        <x:f t="shared" si="7"/>
      </x:c>
      <x:c r="O223" s="42"/>
    </x:row>
    <x:row r="224">
      <x:c r="A224" s="54"/>
      <x:c r="B224" s="59"/>
      <x:c r="C224" s="59"/>
      <x:c r="D224" s="59"/>
      <x:c r="E224" s="64"/>
      <x:c r="F224" s="70"/>
      <x:c r="G224" s="70"/>
      <x:c r="H224" s="39" t="str">
        <x:f t="shared" si="6"/>
      </x:c>
      <x:c r="I224" s="59"/>
      <x:c r="J224" s="64"/>
      <x:c r="K224" s="59"/>
      <x:c r="L224" s="75"/>
      <x:c r="M224" s="46"/>
      <x:c r="N224" s="39" t="str">
        <x:f t="shared" si="7"/>
      </x:c>
      <x:c r="O224" s="47"/>
    </x:row>
    <x:row r="225">
      <x:c r="A225" s="54"/>
      <x:c r="B225" s="59"/>
      <x:c r="C225" s="59"/>
      <x:c r="D225" s="59"/>
      <x:c r="E225" s="64"/>
      <x:c r="F225" s="69"/>
      <x:c r="G225" s="69"/>
      <x:c r="H225" s="38" t="str">
        <x:f t="shared" si="6"/>
      </x:c>
      <x:c r="I225" s="59"/>
      <x:c r="J225" s="64"/>
      <x:c r="K225" s="59"/>
      <x:c r="L225" s="75"/>
      <x:c r="M225" s="41"/>
      <x:c r="N225" s="38" t="str">
        <x:f t="shared" si="7"/>
      </x:c>
      <x:c r="O225" s="42"/>
    </x:row>
    <x:row r="226">
      <x:c r="A226" s="54"/>
      <x:c r="B226" s="59"/>
      <x:c r="C226" s="59"/>
      <x:c r="D226" s="59"/>
      <x:c r="E226" s="64"/>
      <x:c r="F226" s="70"/>
      <x:c r="G226" s="70"/>
      <x:c r="H226" s="39" t="str">
        <x:f t="shared" si="6"/>
      </x:c>
      <x:c r="I226" s="59"/>
      <x:c r="J226" s="64"/>
      <x:c r="K226" s="59"/>
      <x:c r="L226" s="75"/>
      <x:c r="M226" s="46"/>
      <x:c r="N226" s="39" t="str">
        <x:f t="shared" si="7"/>
      </x:c>
      <x:c r="O226" s="47"/>
    </x:row>
    <x:row r="227">
      <x:c r="A227" s="54"/>
      <x:c r="B227" s="59"/>
      <x:c r="C227" s="59"/>
      <x:c r="D227" s="59"/>
      <x:c r="E227" s="64"/>
      <x:c r="F227" s="69"/>
      <x:c r="G227" s="69"/>
      <x:c r="H227" s="38" t="str">
        <x:f t="shared" si="6"/>
      </x:c>
      <x:c r="I227" s="59"/>
      <x:c r="J227" s="64"/>
      <x:c r="K227" s="59"/>
      <x:c r="L227" s="75"/>
      <x:c r="M227" s="41"/>
      <x:c r="N227" s="38" t="str">
        <x:f t="shared" si="7"/>
      </x:c>
      <x:c r="O227" s="42"/>
    </x:row>
    <x:row r="228">
      <x:c r="A228" s="54"/>
      <x:c r="B228" s="59"/>
      <x:c r="C228" s="59"/>
      <x:c r="D228" s="59"/>
      <x:c r="E228" s="64"/>
      <x:c r="F228" s="70"/>
      <x:c r="G228" s="70"/>
      <x:c r="H228" s="39" t="str">
        <x:f t="shared" si="6"/>
      </x:c>
      <x:c r="I228" s="59"/>
      <x:c r="J228" s="64"/>
      <x:c r="K228" s="59"/>
      <x:c r="L228" s="75"/>
      <x:c r="M228" s="46"/>
      <x:c r="N228" s="39" t="str">
        <x:f t="shared" si="7"/>
      </x:c>
      <x:c r="O228" s="47"/>
    </x:row>
    <x:row r="229">
      <x:c r="A229" s="54"/>
      <x:c r="B229" s="59"/>
      <x:c r="C229" s="59"/>
      <x:c r="D229" s="59"/>
      <x:c r="E229" s="64"/>
      <x:c r="F229" s="69"/>
      <x:c r="G229" s="69"/>
      <x:c r="H229" s="38" t="str">
        <x:f t="shared" si="6"/>
      </x:c>
      <x:c r="I229" s="59"/>
      <x:c r="J229" s="64"/>
      <x:c r="K229" s="59"/>
      <x:c r="L229" s="75"/>
      <x:c r="M229" s="41"/>
      <x:c r="N229" s="38" t="str">
        <x:f t="shared" si="7"/>
      </x:c>
      <x:c r="O229" s="42"/>
    </x:row>
    <x:row r="230">
      <x:c r="A230" s="54"/>
      <x:c r="B230" s="59"/>
      <x:c r="C230" s="59"/>
      <x:c r="D230" s="59"/>
      <x:c r="E230" s="64"/>
      <x:c r="F230" s="70"/>
      <x:c r="G230" s="70"/>
      <x:c r="H230" s="39" t="str">
        <x:f t="shared" si="6"/>
      </x:c>
      <x:c r="I230" s="59"/>
      <x:c r="J230" s="64"/>
      <x:c r="K230" s="59"/>
      <x:c r="L230" s="75"/>
      <x:c r="M230" s="46"/>
      <x:c r="N230" s="39" t="str">
        <x:f t="shared" si="7"/>
      </x:c>
      <x:c r="O230" s="47"/>
    </x:row>
    <x:row r="231">
      <x:c r="A231" s="54"/>
      <x:c r="B231" s="59"/>
      <x:c r="C231" s="59"/>
      <x:c r="D231" s="59"/>
      <x:c r="E231" s="64"/>
      <x:c r="F231" s="69"/>
      <x:c r="G231" s="69"/>
      <x:c r="H231" s="38" t="str">
        <x:f t="shared" si="6"/>
      </x:c>
      <x:c r="I231" s="59"/>
      <x:c r="J231" s="64"/>
      <x:c r="K231" s="59"/>
      <x:c r="L231" s="75"/>
      <x:c r="M231" s="41"/>
      <x:c r="N231" s="38" t="str">
        <x:f t="shared" si="7"/>
      </x:c>
      <x:c r="O231" s="42"/>
    </x:row>
    <x:row r="232">
      <x:c r="A232" s="54"/>
      <x:c r="B232" s="59"/>
      <x:c r="C232" s="59"/>
      <x:c r="D232" s="59"/>
      <x:c r="E232" s="64"/>
      <x:c r="F232" s="70"/>
      <x:c r="G232" s="70"/>
      <x:c r="H232" s="39" t="str">
        <x:f t="shared" si="6"/>
      </x:c>
      <x:c r="I232" s="59"/>
      <x:c r="J232" s="64"/>
      <x:c r="K232" s="59"/>
      <x:c r="L232" s="75"/>
      <x:c r="M232" s="46"/>
      <x:c r="N232" s="39" t="str">
        <x:f t="shared" si="7"/>
      </x:c>
      <x:c r="O232" s="47"/>
    </x:row>
    <x:row r="233">
      <x:c r="A233" s="54"/>
      <x:c r="B233" s="59"/>
      <x:c r="C233" s="59"/>
      <x:c r="D233" s="59"/>
      <x:c r="E233" s="64"/>
      <x:c r="F233" s="69"/>
      <x:c r="G233" s="69"/>
      <x:c r="H233" s="38" t="str">
        <x:f t="shared" si="6"/>
      </x:c>
      <x:c r="I233" s="59"/>
      <x:c r="J233" s="64"/>
      <x:c r="K233" s="59"/>
      <x:c r="L233" s="75"/>
      <x:c r="M233" s="41"/>
      <x:c r="N233" s="38" t="str">
        <x:f t="shared" si="7"/>
      </x:c>
      <x:c r="O233" s="42"/>
    </x:row>
    <x:row r="234">
      <x:c r="A234" s="54"/>
      <x:c r="B234" s="59"/>
      <x:c r="C234" s="59"/>
      <x:c r="D234" s="59"/>
      <x:c r="E234" s="64"/>
      <x:c r="F234" s="70"/>
      <x:c r="G234" s="70"/>
      <x:c r="H234" s="39" t="str">
        <x:f t="shared" si="6"/>
      </x:c>
      <x:c r="I234" s="59"/>
      <x:c r="J234" s="64"/>
      <x:c r="K234" s="59"/>
      <x:c r="L234" s="75"/>
      <x:c r="M234" s="46"/>
      <x:c r="N234" s="39" t="str">
        <x:f t="shared" si="7"/>
      </x:c>
      <x:c r="O234" s="47"/>
    </x:row>
    <x:row r="235">
      <x:c r="A235" s="54"/>
      <x:c r="B235" s="59"/>
      <x:c r="C235" s="59"/>
      <x:c r="D235" s="59"/>
      <x:c r="E235" s="64"/>
      <x:c r="F235" s="69"/>
      <x:c r="G235" s="69"/>
      <x:c r="H235" s="38" t="str">
        <x:f t="shared" si="6"/>
      </x:c>
      <x:c r="I235" s="59"/>
      <x:c r="J235" s="64"/>
      <x:c r="K235" s="59"/>
      <x:c r="L235" s="75"/>
      <x:c r="M235" s="41"/>
      <x:c r="N235" s="38" t="str">
        <x:f t="shared" si="7"/>
      </x:c>
      <x:c r="O235" s="42"/>
    </x:row>
    <x:row r="236">
      <x:c r="A236" s="54"/>
      <x:c r="B236" s="59"/>
      <x:c r="C236" s="59"/>
      <x:c r="D236" s="59"/>
      <x:c r="E236" s="64"/>
      <x:c r="F236" s="70"/>
      <x:c r="G236" s="70"/>
      <x:c r="H236" s="39" t="str">
        <x:f t="shared" si="6"/>
      </x:c>
      <x:c r="I236" s="59"/>
      <x:c r="J236" s="64"/>
      <x:c r="K236" s="59"/>
      <x:c r="L236" s="75"/>
      <x:c r="M236" s="46"/>
      <x:c r="N236" s="39" t="str">
        <x:f t="shared" si="7"/>
      </x:c>
      <x:c r="O236" s="47"/>
    </x:row>
    <x:row r="237">
      <x:c r="A237" s="54"/>
      <x:c r="B237" s="59"/>
      <x:c r="C237" s="59"/>
      <x:c r="D237" s="59"/>
      <x:c r="E237" s="64"/>
      <x:c r="F237" s="69"/>
      <x:c r="G237" s="69"/>
      <x:c r="H237" s="38" t="str">
        <x:f t="shared" si="6"/>
      </x:c>
      <x:c r="I237" s="59"/>
      <x:c r="J237" s="64"/>
      <x:c r="K237" s="59"/>
      <x:c r="L237" s="75"/>
      <x:c r="M237" s="41"/>
      <x:c r="N237" s="38" t="str">
        <x:f t="shared" si="7"/>
      </x:c>
      <x:c r="O237" s="42"/>
    </x:row>
    <x:row r="238">
      <x:c r="A238" s="54"/>
      <x:c r="B238" s="59"/>
      <x:c r="C238" s="59"/>
      <x:c r="D238" s="59"/>
      <x:c r="E238" s="64"/>
      <x:c r="F238" s="70"/>
      <x:c r="G238" s="70"/>
      <x:c r="H238" s="39" t="str">
        <x:f t="shared" si="6"/>
      </x:c>
      <x:c r="I238" s="59"/>
      <x:c r="J238" s="64"/>
      <x:c r="K238" s="59"/>
      <x:c r="L238" s="75"/>
      <x:c r="M238" s="46"/>
      <x:c r="N238" s="39" t="str">
        <x:f t="shared" si="7"/>
      </x:c>
      <x:c r="O238" s="47"/>
    </x:row>
    <x:row r="239">
      <x:c r="A239" s="54"/>
      <x:c r="B239" s="59"/>
      <x:c r="C239" s="59"/>
      <x:c r="D239" s="59"/>
      <x:c r="E239" s="64"/>
      <x:c r="F239" s="69"/>
      <x:c r="G239" s="69"/>
      <x:c r="H239" s="38" t="str">
        <x:f t="shared" si="6"/>
      </x:c>
      <x:c r="I239" s="59"/>
      <x:c r="J239" s="64"/>
      <x:c r="K239" s="59"/>
      <x:c r="L239" s="75"/>
      <x:c r="M239" s="41"/>
      <x:c r="N239" s="38" t="str">
        <x:f t="shared" si="7"/>
      </x:c>
      <x:c r="O239" s="42"/>
    </x:row>
    <x:row r="240">
      <x:c r="A240" s="54"/>
      <x:c r="B240" s="59"/>
      <x:c r="C240" s="59"/>
      <x:c r="D240" s="59"/>
      <x:c r="E240" s="64"/>
      <x:c r="F240" s="70"/>
      <x:c r="G240" s="70"/>
      <x:c r="H240" s="39" t="str">
        <x:f t="shared" si="6"/>
      </x:c>
      <x:c r="I240" s="59"/>
      <x:c r="J240" s="64"/>
      <x:c r="K240" s="59"/>
      <x:c r="L240" s="75"/>
      <x:c r="M240" s="46"/>
      <x:c r="N240" s="39" t="str">
        <x:f t="shared" si="7"/>
      </x:c>
      <x:c r="O240" s="47"/>
    </x:row>
    <x:row r="241">
      <x:c r="A241" s="54"/>
      <x:c r="B241" s="59"/>
      <x:c r="C241" s="59"/>
      <x:c r="D241" s="59"/>
      <x:c r="E241" s="64"/>
      <x:c r="F241" s="69"/>
      <x:c r="G241" s="69"/>
      <x:c r="H241" s="38" t="str">
        <x:f t="shared" si="6"/>
      </x:c>
      <x:c r="I241" s="59"/>
      <x:c r="J241" s="64"/>
      <x:c r="K241" s="59"/>
      <x:c r="L241" s="75"/>
      <x:c r="M241" s="41"/>
      <x:c r="N241" s="38" t="str">
        <x:f t="shared" si="7"/>
      </x:c>
      <x:c r="O241" s="42"/>
    </x:row>
    <x:row r="242">
      <x:c r="A242" s="54"/>
      <x:c r="B242" s="59"/>
      <x:c r="C242" s="59"/>
      <x:c r="D242" s="59"/>
      <x:c r="E242" s="64"/>
      <x:c r="F242" s="70"/>
      <x:c r="G242" s="70"/>
      <x:c r="H242" s="39" t="str">
        <x:f t="shared" si="6"/>
      </x:c>
      <x:c r="I242" s="59"/>
      <x:c r="J242" s="64"/>
      <x:c r="K242" s="59"/>
      <x:c r="L242" s="75"/>
      <x:c r="M242" s="46"/>
      <x:c r="N242" s="39" t="str">
        <x:f t="shared" si="7"/>
      </x:c>
      <x:c r="O242" s="47"/>
    </x:row>
    <x:row r="243">
      <x:c r="A243" s="54"/>
      <x:c r="B243" s="59"/>
      <x:c r="C243" s="59"/>
      <x:c r="D243" s="59"/>
      <x:c r="E243" s="64"/>
      <x:c r="F243" s="69"/>
      <x:c r="G243" s="69"/>
      <x:c r="H243" s="38" t="str">
        <x:f t="shared" si="6"/>
      </x:c>
      <x:c r="I243" s="59"/>
      <x:c r="J243" s="64"/>
      <x:c r="K243" s="59"/>
      <x:c r="L243" s="75"/>
      <x:c r="M243" s="41"/>
      <x:c r="N243" s="38" t="str">
        <x:f t="shared" si="7"/>
      </x:c>
      <x:c r="O243" s="42"/>
    </x:row>
    <x:row r="244">
      <x:c r="A244" s="54"/>
      <x:c r="B244" s="59"/>
      <x:c r="C244" s="59"/>
      <x:c r="D244" s="59"/>
      <x:c r="E244" s="64"/>
      <x:c r="F244" s="70"/>
      <x:c r="G244" s="70"/>
      <x:c r="H244" s="39" t="str">
        <x:f t="shared" si="6"/>
      </x:c>
      <x:c r="I244" s="59"/>
      <x:c r="J244" s="64"/>
      <x:c r="K244" s="59"/>
      <x:c r="L244" s="75"/>
      <x:c r="M244" s="46"/>
      <x:c r="N244" s="39" t="str">
        <x:f t="shared" si="7"/>
      </x:c>
      <x:c r="O244" s="47"/>
    </x:row>
    <x:row r="245">
      <x:c r="A245" s="54"/>
      <x:c r="B245" s="59"/>
      <x:c r="C245" s="59"/>
      <x:c r="D245" s="59"/>
      <x:c r="E245" s="64"/>
      <x:c r="F245" s="69"/>
      <x:c r="G245" s="69"/>
      <x:c r="H245" s="38" t="str">
        <x:f t="shared" si="6"/>
      </x:c>
      <x:c r="I245" s="59"/>
      <x:c r="J245" s="64"/>
      <x:c r="K245" s="59"/>
      <x:c r="L245" s="75"/>
      <x:c r="M245" s="41"/>
      <x:c r="N245" s="38" t="str">
        <x:f t="shared" si="7"/>
      </x:c>
      <x:c r="O245" s="42"/>
    </x:row>
    <x:row r="246">
      <x:c r="A246" s="54"/>
      <x:c r="B246" s="59"/>
      <x:c r="C246" s="59"/>
      <x:c r="D246" s="59"/>
      <x:c r="E246" s="64"/>
      <x:c r="F246" s="70"/>
      <x:c r="G246" s="70"/>
      <x:c r="H246" s="39" t="str">
        <x:f t="shared" si="6"/>
      </x:c>
      <x:c r="I246" s="59"/>
      <x:c r="J246" s="64"/>
      <x:c r="K246" s="59"/>
      <x:c r="L246" s="75"/>
      <x:c r="M246" s="46"/>
      <x:c r="N246" s="39" t="str">
        <x:f t="shared" si="7"/>
      </x:c>
      <x:c r="O246" s="47"/>
    </x:row>
    <x:row r="247">
      <x:c r="A247" s="54"/>
      <x:c r="B247" s="59"/>
      <x:c r="C247" s="59"/>
      <x:c r="D247" s="59"/>
      <x:c r="E247" s="64"/>
      <x:c r="F247" s="69"/>
      <x:c r="G247" s="69"/>
      <x:c r="H247" s="38" t="str">
        <x:f t="shared" si="6"/>
      </x:c>
      <x:c r="I247" s="59"/>
      <x:c r="J247" s="64"/>
      <x:c r="K247" s="59"/>
      <x:c r="L247" s="75"/>
      <x:c r="M247" s="41"/>
      <x:c r="N247" s="38" t="str">
        <x:f t="shared" si="7"/>
      </x:c>
      <x:c r="O247" s="42"/>
    </x:row>
    <x:row r="248">
      <x:c r="A248" s="54"/>
      <x:c r="B248" s="59"/>
      <x:c r="C248" s="59"/>
      <x:c r="D248" s="59"/>
      <x:c r="E248" s="64"/>
      <x:c r="F248" s="70"/>
      <x:c r="G248" s="70"/>
      <x:c r="H248" s="39" t="str">
        <x:f t="shared" si="6"/>
      </x:c>
      <x:c r="I248" s="59"/>
      <x:c r="J248" s="64"/>
      <x:c r="K248" s="59"/>
      <x:c r="L248" s="75"/>
      <x:c r="M248" s="46"/>
      <x:c r="N248" s="39" t="str">
        <x:f t="shared" si="7"/>
      </x:c>
      <x:c r="O248" s="47"/>
    </x:row>
    <x:row r="249">
      <x:c r="A249" s="54"/>
      <x:c r="B249" s="59"/>
      <x:c r="C249" s="59"/>
      <x:c r="D249" s="59"/>
      <x:c r="E249" s="64"/>
      <x:c r="F249" s="69"/>
      <x:c r="G249" s="69"/>
      <x:c r="H249" s="38" t="str">
        <x:f t="shared" si="6"/>
      </x:c>
      <x:c r="I249" s="59"/>
      <x:c r="J249" s="64"/>
      <x:c r="K249" s="59"/>
      <x:c r="L249" s="75"/>
      <x:c r="M249" s="41"/>
      <x:c r="N249" s="38" t="str">
        <x:f t="shared" si="7"/>
      </x:c>
      <x:c r="O249" s="42"/>
    </x:row>
    <x:row r="250">
      <x:c r="A250" s="54"/>
      <x:c r="B250" s="59"/>
      <x:c r="C250" s="59"/>
      <x:c r="D250" s="59"/>
      <x:c r="E250" s="64"/>
      <x:c r="F250" s="70"/>
      <x:c r="G250" s="70"/>
      <x:c r="H250" s="39" t="str">
        <x:f t="shared" si="6"/>
      </x:c>
      <x:c r="I250" s="59"/>
      <x:c r="J250" s="64"/>
      <x:c r="K250" s="59"/>
      <x:c r="L250" s="75"/>
      <x:c r="M250" s="46"/>
      <x:c r="N250" s="39" t="str">
        <x:f t="shared" si="7"/>
      </x:c>
      <x:c r="O250" s="47"/>
    </x:row>
    <x:row r="251">
      <x:c r="A251" s="54"/>
      <x:c r="B251" s="59"/>
      <x:c r="C251" s="59"/>
      <x:c r="D251" s="59"/>
      <x:c r="E251" s="64"/>
      <x:c r="F251" s="69"/>
      <x:c r="G251" s="69"/>
      <x:c r="H251" s="38" t="str">
        <x:f t="shared" si="6"/>
      </x:c>
      <x:c r="I251" s="59"/>
      <x:c r="J251" s="64"/>
      <x:c r="K251" s="59"/>
      <x:c r="L251" s="75"/>
      <x:c r="M251" s="41"/>
      <x:c r="N251" s="38" t="str">
        <x:f t="shared" si="7"/>
      </x:c>
      <x:c r="O251" s="42"/>
    </x:row>
    <x:row r="252">
      <x:c r="A252" s="54"/>
      <x:c r="B252" s="59"/>
      <x:c r="C252" s="59"/>
      <x:c r="D252" s="59"/>
      <x:c r="E252" s="64"/>
      <x:c r="F252" s="70"/>
      <x:c r="G252" s="70"/>
      <x:c r="H252" s="39" t="str">
        <x:f t="shared" si="6"/>
      </x:c>
      <x:c r="I252" s="59"/>
      <x:c r="J252" s="64"/>
      <x:c r="K252" s="59"/>
      <x:c r="L252" s="75"/>
      <x:c r="M252" s="46"/>
      <x:c r="N252" s="39" t="str">
        <x:f t="shared" si="7"/>
      </x:c>
      <x:c r="O252" s="47"/>
    </x:row>
    <x:row r="253">
      <x:c r="A253" s="54"/>
      <x:c r="B253" s="59"/>
      <x:c r="C253" s="59"/>
      <x:c r="D253" s="59"/>
      <x:c r="E253" s="64"/>
      <x:c r="F253" s="69"/>
      <x:c r="G253" s="69"/>
      <x:c r="H253" s="38" t="str">
        <x:f t="shared" si="6"/>
      </x:c>
      <x:c r="I253" s="59"/>
      <x:c r="J253" s="64"/>
      <x:c r="K253" s="59"/>
      <x:c r="L253" s="75"/>
      <x:c r="M253" s="41"/>
      <x:c r="N253" s="38" t="str">
        <x:f t="shared" si="7"/>
      </x:c>
      <x:c r="O253" s="42"/>
    </x:row>
    <x:row r="254">
      <x:c r="A254" s="54"/>
      <x:c r="B254" s="59"/>
      <x:c r="C254" s="59"/>
      <x:c r="D254" s="59"/>
      <x:c r="E254" s="64"/>
      <x:c r="F254" s="70"/>
      <x:c r="G254" s="70"/>
      <x:c r="H254" s="39" t="str">
        <x:f t="shared" si="6"/>
      </x:c>
      <x:c r="I254" s="59"/>
      <x:c r="J254" s="64"/>
      <x:c r="K254" s="59"/>
      <x:c r="L254" s="75"/>
      <x:c r="M254" s="46"/>
      <x:c r="N254" s="39" t="str">
        <x:f t="shared" si="7"/>
      </x:c>
      <x:c r="O254" s="47"/>
    </x:row>
    <x:row r="255">
      <x:c r="A255" s="54"/>
      <x:c r="B255" s="59"/>
      <x:c r="C255" s="59"/>
      <x:c r="D255" s="59"/>
      <x:c r="E255" s="64"/>
      <x:c r="F255" s="69"/>
      <x:c r="G255" s="69"/>
      <x:c r="H255" s="38" t="str">
        <x:f t="shared" si="6"/>
      </x:c>
      <x:c r="I255" s="59"/>
      <x:c r="J255" s="64"/>
      <x:c r="K255" s="59"/>
      <x:c r="L255" s="75"/>
      <x:c r="M255" s="41"/>
      <x:c r="N255" s="38" t="str">
        <x:f t="shared" si="7"/>
      </x:c>
      <x:c r="O255" s="42"/>
    </x:row>
    <x:row r="256">
      <x:c r="A256" s="54"/>
      <x:c r="B256" s="59"/>
      <x:c r="C256" s="59"/>
      <x:c r="D256" s="59"/>
      <x:c r="E256" s="64"/>
      <x:c r="F256" s="70"/>
      <x:c r="G256" s="70"/>
      <x:c r="H256" s="39" t="str">
        <x:f t="shared" si="6"/>
      </x:c>
      <x:c r="I256" s="59"/>
      <x:c r="J256" s="64"/>
      <x:c r="K256" s="59"/>
      <x:c r="L256" s="75"/>
      <x:c r="M256" s="46"/>
      <x:c r="N256" s="39" t="str">
        <x:f t="shared" si="7"/>
      </x:c>
      <x:c r="O256" s="47"/>
    </x:row>
    <x:row r="257">
      <x:c r="A257" s="54"/>
      <x:c r="B257" s="59"/>
      <x:c r="C257" s="59"/>
      <x:c r="D257" s="59"/>
      <x:c r="E257" s="64"/>
      <x:c r="F257" s="69"/>
      <x:c r="G257" s="69"/>
      <x:c r="H257" s="38" t="str">
        <x:f t="shared" si="6"/>
      </x:c>
      <x:c r="I257" s="59"/>
      <x:c r="J257" s="64"/>
      <x:c r="K257" s="59"/>
      <x:c r="L257" s="75"/>
      <x:c r="M257" s="41"/>
      <x:c r="N257" s="38" t="str">
        <x:f t="shared" si="7"/>
      </x:c>
      <x:c r="O257" s="42"/>
    </x:row>
    <x:row r="258">
      <x:c r="A258" s="54"/>
      <x:c r="B258" s="59"/>
      <x:c r="C258" s="59"/>
      <x:c r="D258" s="59"/>
      <x:c r="E258" s="64"/>
      <x:c r="F258" s="70"/>
      <x:c r="G258" s="70"/>
      <x:c r="H258" s="39" t="str">
        <x:f t="shared" ref="H258:H301" si="8">IF(OR(F258="",G258=""),"",F258+G258)</x:f>
      </x:c>
      <x:c r="I258" s="59"/>
      <x:c r="J258" s="64"/>
      <x:c r="K258" s="59"/>
      <x:c r="L258" s="75"/>
      <x:c r="M258" s="46"/>
      <x:c r="N258" s="39" t="str">
        <x:f t="shared" ref="N258:N301" si="9">IF(H258="","",IF(AND(L258&gt;0,M258&gt;=TODAY()),H258*(1-L258),H258))</x:f>
      </x:c>
      <x:c r="O258" s="47"/>
    </x:row>
    <x:row r="259">
      <x:c r="A259" s="54"/>
      <x:c r="B259" s="59"/>
      <x:c r="C259" s="59"/>
      <x:c r="D259" s="59"/>
      <x:c r="E259" s="64"/>
      <x:c r="F259" s="69"/>
      <x:c r="G259" s="69"/>
      <x:c r="H259" s="38" t="str">
        <x:f t="shared" si="8"/>
      </x:c>
      <x:c r="I259" s="59"/>
      <x:c r="J259" s="64"/>
      <x:c r="K259" s="59"/>
      <x:c r="L259" s="75"/>
      <x:c r="M259" s="41"/>
      <x:c r="N259" s="38" t="str">
        <x:f t="shared" si="9"/>
      </x:c>
      <x:c r="O259" s="42"/>
    </x:row>
    <x:row r="260">
      <x:c r="A260" s="54"/>
      <x:c r="B260" s="59"/>
      <x:c r="C260" s="59"/>
      <x:c r="D260" s="59"/>
      <x:c r="E260" s="64"/>
      <x:c r="F260" s="70"/>
      <x:c r="G260" s="70"/>
      <x:c r="H260" s="39" t="str">
        <x:f t="shared" si="8"/>
      </x:c>
      <x:c r="I260" s="59"/>
      <x:c r="J260" s="64"/>
      <x:c r="K260" s="59"/>
      <x:c r="L260" s="75"/>
      <x:c r="M260" s="46"/>
      <x:c r="N260" s="39" t="str">
        <x:f t="shared" si="9"/>
      </x:c>
      <x:c r="O260" s="47"/>
    </x:row>
    <x:row r="261">
      <x:c r="A261" s="54"/>
      <x:c r="B261" s="59"/>
      <x:c r="C261" s="59"/>
      <x:c r="D261" s="59"/>
      <x:c r="E261" s="64"/>
      <x:c r="F261" s="69"/>
      <x:c r="G261" s="69"/>
      <x:c r="H261" s="38" t="str">
        <x:f t="shared" si="8"/>
      </x:c>
      <x:c r="I261" s="59"/>
      <x:c r="J261" s="64"/>
      <x:c r="K261" s="59"/>
      <x:c r="L261" s="75"/>
      <x:c r="M261" s="41"/>
      <x:c r="N261" s="38" t="str">
        <x:f t="shared" si="9"/>
      </x:c>
      <x:c r="O261" s="42"/>
    </x:row>
    <x:row r="262">
      <x:c r="A262" s="54"/>
      <x:c r="B262" s="59"/>
      <x:c r="C262" s="59"/>
      <x:c r="D262" s="59"/>
      <x:c r="E262" s="64"/>
      <x:c r="F262" s="70"/>
      <x:c r="G262" s="70"/>
      <x:c r="H262" s="39" t="str">
        <x:f t="shared" si="8"/>
      </x:c>
      <x:c r="I262" s="59"/>
      <x:c r="J262" s="64"/>
      <x:c r="K262" s="59"/>
      <x:c r="L262" s="75"/>
      <x:c r="M262" s="46"/>
      <x:c r="N262" s="39" t="str">
        <x:f t="shared" si="9"/>
      </x:c>
      <x:c r="O262" s="47"/>
    </x:row>
    <x:row r="263">
      <x:c r="A263" s="54"/>
      <x:c r="B263" s="59"/>
      <x:c r="C263" s="59"/>
      <x:c r="D263" s="59"/>
      <x:c r="E263" s="64"/>
      <x:c r="F263" s="69"/>
      <x:c r="G263" s="69"/>
      <x:c r="H263" s="38" t="str">
        <x:f t="shared" si="8"/>
      </x:c>
      <x:c r="I263" s="59"/>
      <x:c r="J263" s="64"/>
      <x:c r="K263" s="59"/>
      <x:c r="L263" s="75"/>
      <x:c r="M263" s="41"/>
      <x:c r="N263" s="38" t="str">
        <x:f t="shared" si="9"/>
      </x:c>
      <x:c r="O263" s="42"/>
    </x:row>
    <x:row r="264">
      <x:c r="A264" s="54"/>
      <x:c r="B264" s="59"/>
      <x:c r="C264" s="59"/>
      <x:c r="D264" s="59"/>
      <x:c r="E264" s="64"/>
      <x:c r="F264" s="70"/>
      <x:c r="G264" s="70"/>
      <x:c r="H264" s="39" t="str">
        <x:f t="shared" si="8"/>
      </x:c>
      <x:c r="I264" s="59"/>
      <x:c r="J264" s="64"/>
      <x:c r="K264" s="59"/>
      <x:c r="L264" s="75"/>
      <x:c r="M264" s="46"/>
      <x:c r="N264" s="39" t="str">
        <x:f t="shared" si="9"/>
      </x:c>
      <x:c r="O264" s="47"/>
    </x:row>
    <x:row r="265">
      <x:c r="A265" s="54"/>
      <x:c r="B265" s="59"/>
      <x:c r="C265" s="59"/>
      <x:c r="D265" s="59"/>
      <x:c r="E265" s="64"/>
      <x:c r="F265" s="69"/>
      <x:c r="G265" s="69"/>
      <x:c r="H265" s="38" t="str">
        <x:f t="shared" si="8"/>
      </x:c>
      <x:c r="I265" s="59"/>
      <x:c r="J265" s="64"/>
      <x:c r="K265" s="59"/>
      <x:c r="L265" s="75"/>
      <x:c r="M265" s="41"/>
      <x:c r="N265" s="38" t="str">
        <x:f t="shared" si="9"/>
      </x:c>
      <x:c r="O265" s="42"/>
    </x:row>
    <x:row r="266">
      <x:c r="A266" s="54"/>
      <x:c r="B266" s="59"/>
      <x:c r="C266" s="59"/>
      <x:c r="D266" s="59"/>
      <x:c r="E266" s="64"/>
      <x:c r="F266" s="70"/>
      <x:c r="G266" s="70"/>
      <x:c r="H266" s="39" t="str">
        <x:f t="shared" si="8"/>
      </x:c>
      <x:c r="I266" s="59"/>
      <x:c r="J266" s="64"/>
      <x:c r="K266" s="59"/>
      <x:c r="L266" s="75"/>
      <x:c r="M266" s="46"/>
      <x:c r="N266" s="39" t="str">
        <x:f t="shared" si="9"/>
      </x:c>
      <x:c r="O266" s="47"/>
    </x:row>
    <x:row r="267">
      <x:c r="A267" s="54"/>
      <x:c r="B267" s="59"/>
      <x:c r="C267" s="59"/>
      <x:c r="D267" s="59"/>
      <x:c r="E267" s="64"/>
      <x:c r="F267" s="69"/>
      <x:c r="G267" s="69"/>
      <x:c r="H267" s="38" t="str">
        <x:f t="shared" si="8"/>
      </x:c>
      <x:c r="I267" s="59"/>
      <x:c r="J267" s="64"/>
      <x:c r="K267" s="59"/>
      <x:c r="L267" s="75"/>
      <x:c r="M267" s="41"/>
      <x:c r="N267" s="38" t="str">
        <x:f t="shared" si="9"/>
      </x:c>
      <x:c r="O267" s="42"/>
    </x:row>
    <x:row r="268">
      <x:c r="A268" s="54"/>
      <x:c r="B268" s="59"/>
      <x:c r="C268" s="59"/>
      <x:c r="D268" s="59"/>
      <x:c r="E268" s="64"/>
      <x:c r="F268" s="70"/>
      <x:c r="G268" s="70"/>
      <x:c r="H268" s="39" t="str">
        <x:f t="shared" si="8"/>
      </x:c>
      <x:c r="I268" s="59"/>
      <x:c r="J268" s="64"/>
      <x:c r="K268" s="59"/>
      <x:c r="L268" s="75"/>
      <x:c r="M268" s="46"/>
      <x:c r="N268" s="39" t="str">
        <x:f t="shared" si="9"/>
      </x:c>
      <x:c r="O268" s="47"/>
    </x:row>
    <x:row r="269">
      <x:c r="A269" s="54"/>
      <x:c r="B269" s="59"/>
      <x:c r="C269" s="59"/>
      <x:c r="D269" s="59"/>
      <x:c r="E269" s="64"/>
      <x:c r="F269" s="69"/>
      <x:c r="G269" s="69"/>
      <x:c r="H269" s="38" t="str">
        <x:f t="shared" si="8"/>
      </x:c>
      <x:c r="I269" s="59"/>
      <x:c r="J269" s="64"/>
      <x:c r="K269" s="59"/>
      <x:c r="L269" s="75"/>
      <x:c r="M269" s="41"/>
      <x:c r="N269" s="38" t="str">
        <x:f t="shared" si="9"/>
      </x:c>
      <x:c r="O269" s="42"/>
    </x:row>
    <x:row r="270">
      <x:c r="A270" s="54"/>
      <x:c r="B270" s="59"/>
      <x:c r="C270" s="59"/>
      <x:c r="D270" s="59"/>
      <x:c r="E270" s="64"/>
      <x:c r="F270" s="70"/>
      <x:c r="G270" s="70"/>
      <x:c r="H270" s="39" t="str">
        <x:f t="shared" si="8"/>
      </x:c>
      <x:c r="I270" s="59"/>
      <x:c r="J270" s="64"/>
      <x:c r="K270" s="59"/>
      <x:c r="L270" s="75"/>
      <x:c r="M270" s="46"/>
      <x:c r="N270" s="39" t="str">
        <x:f t="shared" si="9"/>
      </x:c>
      <x:c r="O270" s="47"/>
    </x:row>
    <x:row r="271">
      <x:c r="A271" s="54"/>
      <x:c r="B271" s="59"/>
      <x:c r="C271" s="59"/>
      <x:c r="D271" s="59"/>
      <x:c r="E271" s="64"/>
      <x:c r="F271" s="69"/>
      <x:c r="G271" s="69"/>
      <x:c r="H271" s="38" t="str">
        <x:f t="shared" si="8"/>
      </x:c>
      <x:c r="I271" s="59"/>
      <x:c r="J271" s="64"/>
      <x:c r="K271" s="59"/>
      <x:c r="L271" s="75"/>
      <x:c r="M271" s="41"/>
      <x:c r="N271" s="38" t="str">
        <x:f t="shared" si="9"/>
      </x:c>
      <x:c r="O271" s="42"/>
    </x:row>
    <x:row r="272">
      <x:c r="A272" s="54"/>
      <x:c r="B272" s="59"/>
      <x:c r="C272" s="59"/>
      <x:c r="D272" s="59"/>
      <x:c r="E272" s="64"/>
      <x:c r="F272" s="70"/>
      <x:c r="G272" s="70"/>
      <x:c r="H272" s="39" t="str">
        <x:f t="shared" si="8"/>
      </x:c>
      <x:c r="I272" s="59"/>
      <x:c r="J272" s="64"/>
      <x:c r="K272" s="59"/>
      <x:c r="L272" s="75"/>
      <x:c r="M272" s="46"/>
      <x:c r="N272" s="39" t="str">
        <x:f t="shared" si="9"/>
      </x:c>
      <x:c r="O272" s="47"/>
    </x:row>
    <x:row r="273">
      <x:c r="A273" s="54"/>
      <x:c r="B273" s="59"/>
      <x:c r="C273" s="59"/>
      <x:c r="D273" s="59"/>
      <x:c r="E273" s="64"/>
      <x:c r="F273" s="69"/>
      <x:c r="G273" s="69"/>
      <x:c r="H273" s="38" t="str">
        <x:f t="shared" si="8"/>
      </x:c>
      <x:c r="I273" s="59"/>
      <x:c r="J273" s="64"/>
      <x:c r="K273" s="59"/>
      <x:c r="L273" s="75"/>
      <x:c r="M273" s="41"/>
      <x:c r="N273" s="38" t="str">
        <x:f t="shared" si="9"/>
      </x:c>
      <x:c r="O273" s="42"/>
    </x:row>
    <x:row r="274">
      <x:c r="A274" s="54"/>
      <x:c r="B274" s="59"/>
      <x:c r="C274" s="59"/>
      <x:c r="D274" s="59"/>
      <x:c r="E274" s="64"/>
      <x:c r="F274" s="70"/>
      <x:c r="G274" s="70"/>
      <x:c r="H274" s="39" t="str">
        <x:f t="shared" si="8"/>
      </x:c>
      <x:c r="I274" s="59"/>
      <x:c r="J274" s="64"/>
      <x:c r="K274" s="59"/>
      <x:c r="L274" s="75"/>
      <x:c r="M274" s="46"/>
      <x:c r="N274" s="39" t="str">
        <x:f t="shared" si="9"/>
      </x:c>
      <x:c r="O274" s="47"/>
    </x:row>
    <x:row r="275">
      <x:c r="A275" s="54"/>
      <x:c r="B275" s="59"/>
      <x:c r="C275" s="59"/>
      <x:c r="D275" s="59"/>
      <x:c r="E275" s="64"/>
      <x:c r="F275" s="69"/>
      <x:c r="G275" s="69"/>
      <x:c r="H275" s="38" t="str">
        <x:f t="shared" si="8"/>
      </x:c>
      <x:c r="I275" s="59"/>
      <x:c r="J275" s="64"/>
      <x:c r="K275" s="59"/>
      <x:c r="L275" s="75"/>
      <x:c r="M275" s="41"/>
      <x:c r="N275" s="38" t="str">
        <x:f t="shared" si="9"/>
      </x:c>
      <x:c r="O275" s="42"/>
    </x:row>
    <x:row r="276">
      <x:c r="A276" s="54"/>
      <x:c r="B276" s="59"/>
      <x:c r="C276" s="59"/>
      <x:c r="D276" s="59"/>
      <x:c r="E276" s="64"/>
      <x:c r="F276" s="70"/>
      <x:c r="G276" s="70"/>
      <x:c r="H276" s="39" t="str">
        <x:f t="shared" si="8"/>
      </x:c>
      <x:c r="I276" s="59"/>
      <x:c r="J276" s="64"/>
      <x:c r="K276" s="59"/>
      <x:c r="L276" s="75"/>
      <x:c r="M276" s="46"/>
      <x:c r="N276" s="39" t="str">
        <x:f t="shared" si="9"/>
      </x:c>
      <x:c r="O276" s="47"/>
    </x:row>
    <x:row r="277">
      <x:c r="A277" s="54"/>
      <x:c r="B277" s="59"/>
      <x:c r="C277" s="59"/>
      <x:c r="D277" s="59"/>
      <x:c r="E277" s="64"/>
      <x:c r="F277" s="69"/>
      <x:c r="G277" s="69"/>
      <x:c r="H277" s="38" t="str">
        <x:f t="shared" si="8"/>
      </x:c>
      <x:c r="I277" s="59"/>
      <x:c r="J277" s="64"/>
      <x:c r="K277" s="59"/>
      <x:c r="L277" s="75"/>
      <x:c r="M277" s="41"/>
      <x:c r="N277" s="38" t="str">
        <x:f t="shared" si="9"/>
      </x:c>
      <x:c r="O277" s="42"/>
    </x:row>
    <x:row r="278">
      <x:c r="A278" s="54"/>
      <x:c r="B278" s="59"/>
      <x:c r="C278" s="59"/>
      <x:c r="D278" s="59"/>
      <x:c r="E278" s="64"/>
      <x:c r="F278" s="70"/>
      <x:c r="G278" s="70"/>
      <x:c r="H278" s="39" t="str">
        <x:f t="shared" si="8"/>
      </x:c>
      <x:c r="I278" s="59"/>
      <x:c r="J278" s="64"/>
      <x:c r="K278" s="59"/>
      <x:c r="L278" s="75"/>
      <x:c r="M278" s="46"/>
      <x:c r="N278" s="39" t="str">
        <x:f t="shared" si="9"/>
      </x:c>
      <x:c r="O278" s="47"/>
    </x:row>
    <x:row r="279">
      <x:c r="A279" s="54"/>
      <x:c r="B279" s="59"/>
      <x:c r="C279" s="59"/>
      <x:c r="D279" s="59"/>
      <x:c r="E279" s="64"/>
      <x:c r="F279" s="69"/>
      <x:c r="G279" s="69"/>
      <x:c r="H279" s="38" t="str">
        <x:f t="shared" si="8"/>
      </x:c>
      <x:c r="I279" s="59"/>
      <x:c r="J279" s="64"/>
      <x:c r="K279" s="59"/>
      <x:c r="L279" s="75"/>
      <x:c r="M279" s="41"/>
      <x:c r="N279" s="38" t="str">
        <x:f t="shared" si="9"/>
      </x:c>
      <x:c r="O279" s="42"/>
    </x:row>
    <x:row r="280">
      <x:c r="A280" s="54"/>
      <x:c r="B280" s="59"/>
      <x:c r="C280" s="59"/>
      <x:c r="D280" s="59"/>
      <x:c r="E280" s="64"/>
      <x:c r="F280" s="70"/>
      <x:c r="G280" s="70"/>
      <x:c r="H280" s="39" t="str">
        <x:f t="shared" si="8"/>
      </x:c>
      <x:c r="I280" s="59"/>
      <x:c r="J280" s="64"/>
      <x:c r="K280" s="59"/>
      <x:c r="L280" s="75"/>
      <x:c r="M280" s="46"/>
      <x:c r="N280" s="39" t="str">
        <x:f t="shared" si="9"/>
      </x:c>
      <x:c r="O280" s="47"/>
    </x:row>
    <x:row r="281">
      <x:c r="A281" s="54"/>
      <x:c r="B281" s="59"/>
      <x:c r="C281" s="59"/>
      <x:c r="D281" s="59"/>
      <x:c r="E281" s="64"/>
      <x:c r="F281" s="69"/>
      <x:c r="G281" s="69"/>
      <x:c r="H281" s="38" t="str">
        <x:f t="shared" si="8"/>
      </x:c>
      <x:c r="I281" s="59"/>
      <x:c r="J281" s="64"/>
      <x:c r="K281" s="59"/>
      <x:c r="L281" s="75"/>
      <x:c r="M281" s="41"/>
      <x:c r="N281" s="38" t="str">
        <x:f t="shared" si="9"/>
      </x:c>
      <x:c r="O281" s="42"/>
    </x:row>
    <x:row r="282">
      <x:c r="A282" s="54"/>
      <x:c r="B282" s="59"/>
      <x:c r="C282" s="59"/>
      <x:c r="D282" s="59"/>
      <x:c r="E282" s="64"/>
      <x:c r="F282" s="70"/>
      <x:c r="G282" s="70"/>
      <x:c r="H282" s="39" t="str">
        <x:f t="shared" si="8"/>
      </x:c>
      <x:c r="I282" s="59"/>
      <x:c r="J282" s="64"/>
      <x:c r="K282" s="59"/>
      <x:c r="L282" s="75"/>
      <x:c r="M282" s="46"/>
      <x:c r="N282" s="39" t="str">
        <x:f t="shared" si="9"/>
      </x:c>
      <x:c r="O282" s="47"/>
    </x:row>
    <x:row r="283">
      <x:c r="A283" s="54"/>
      <x:c r="B283" s="59"/>
      <x:c r="C283" s="59"/>
      <x:c r="D283" s="59"/>
      <x:c r="E283" s="64"/>
      <x:c r="F283" s="69"/>
      <x:c r="G283" s="69"/>
      <x:c r="H283" s="38" t="str">
        <x:f t="shared" si="8"/>
      </x:c>
      <x:c r="I283" s="59"/>
      <x:c r="J283" s="64"/>
      <x:c r="K283" s="59"/>
      <x:c r="L283" s="75"/>
      <x:c r="M283" s="41"/>
      <x:c r="N283" s="38" t="str">
        <x:f t="shared" si="9"/>
      </x:c>
      <x:c r="O283" s="42"/>
    </x:row>
    <x:row r="284">
      <x:c r="A284" s="54"/>
      <x:c r="B284" s="59"/>
      <x:c r="C284" s="59"/>
      <x:c r="D284" s="59"/>
      <x:c r="E284" s="64"/>
      <x:c r="F284" s="70"/>
      <x:c r="G284" s="70"/>
      <x:c r="H284" s="39" t="str">
        <x:f t="shared" si="8"/>
      </x:c>
      <x:c r="I284" s="59"/>
      <x:c r="J284" s="64"/>
      <x:c r="K284" s="59"/>
      <x:c r="L284" s="75"/>
      <x:c r="M284" s="46"/>
      <x:c r="N284" s="39" t="str">
        <x:f t="shared" si="9"/>
      </x:c>
      <x:c r="O284" s="47"/>
    </x:row>
    <x:row r="285">
      <x:c r="A285" s="54"/>
      <x:c r="B285" s="59"/>
      <x:c r="C285" s="59"/>
      <x:c r="D285" s="59"/>
      <x:c r="E285" s="64"/>
      <x:c r="F285" s="69"/>
      <x:c r="G285" s="69"/>
      <x:c r="H285" s="38" t="str">
        <x:f t="shared" si="8"/>
      </x:c>
      <x:c r="I285" s="59"/>
      <x:c r="J285" s="64"/>
      <x:c r="K285" s="59"/>
      <x:c r="L285" s="75"/>
      <x:c r="M285" s="41"/>
      <x:c r="N285" s="38" t="str">
        <x:f t="shared" si="9"/>
      </x:c>
      <x:c r="O285" s="42"/>
    </x:row>
    <x:row r="286">
      <x:c r="A286" s="54"/>
      <x:c r="B286" s="59"/>
      <x:c r="C286" s="59"/>
      <x:c r="D286" s="59"/>
      <x:c r="E286" s="64"/>
      <x:c r="F286" s="70"/>
      <x:c r="G286" s="70"/>
      <x:c r="H286" s="39" t="str">
        <x:f t="shared" si="8"/>
      </x:c>
      <x:c r="I286" s="59"/>
      <x:c r="J286" s="64"/>
      <x:c r="K286" s="59"/>
      <x:c r="L286" s="75"/>
      <x:c r="M286" s="46"/>
      <x:c r="N286" s="39" t="str">
        <x:f t="shared" si="9"/>
      </x:c>
      <x:c r="O286" s="47"/>
    </x:row>
    <x:row r="287">
      <x:c r="A287" s="54"/>
      <x:c r="B287" s="59"/>
      <x:c r="C287" s="59"/>
      <x:c r="D287" s="59"/>
      <x:c r="E287" s="64"/>
      <x:c r="F287" s="69"/>
      <x:c r="G287" s="69"/>
      <x:c r="H287" s="38" t="str">
        <x:f t="shared" si="8"/>
      </x:c>
      <x:c r="I287" s="59"/>
      <x:c r="J287" s="64"/>
      <x:c r="K287" s="59"/>
      <x:c r="L287" s="75"/>
      <x:c r="M287" s="41"/>
      <x:c r="N287" s="38" t="str">
        <x:f t="shared" si="9"/>
      </x:c>
      <x:c r="O287" s="42"/>
    </x:row>
    <x:row r="288">
      <x:c r="A288" s="54"/>
      <x:c r="B288" s="59"/>
      <x:c r="C288" s="59"/>
      <x:c r="D288" s="59"/>
      <x:c r="E288" s="64"/>
      <x:c r="F288" s="70"/>
      <x:c r="G288" s="70"/>
      <x:c r="H288" s="39" t="str">
        <x:f t="shared" si="8"/>
      </x:c>
      <x:c r="I288" s="59"/>
      <x:c r="J288" s="64"/>
      <x:c r="K288" s="59"/>
      <x:c r="L288" s="75"/>
      <x:c r="M288" s="46"/>
      <x:c r="N288" s="39" t="str">
        <x:f t="shared" si="9"/>
      </x:c>
      <x:c r="O288" s="47"/>
    </x:row>
    <x:row r="289">
      <x:c r="A289" s="54"/>
      <x:c r="B289" s="59"/>
      <x:c r="C289" s="59"/>
      <x:c r="D289" s="59"/>
      <x:c r="E289" s="64"/>
      <x:c r="F289" s="69"/>
      <x:c r="G289" s="69"/>
      <x:c r="H289" s="38" t="str">
        <x:f t="shared" si="8"/>
      </x:c>
      <x:c r="I289" s="59"/>
      <x:c r="J289" s="64"/>
      <x:c r="K289" s="59"/>
      <x:c r="L289" s="75"/>
      <x:c r="M289" s="41"/>
      <x:c r="N289" s="38" t="str">
        <x:f t="shared" si="9"/>
      </x:c>
      <x:c r="O289" s="42"/>
    </x:row>
    <x:row r="290">
      <x:c r="A290" s="54"/>
      <x:c r="B290" s="59"/>
      <x:c r="C290" s="59"/>
      <x:c r="D290" s="59"/>
      <x:c r="E290" s="64"/>
      <x:c r="F290" s="70"/>
      <x:c r="G290" s="70"/>
      <x:c r="H290" s="39" t="str">
        <x:f t="shared" si="8"/>
      </x:c>
      <x:c r="I290" s="59"/>
      <x:c r="J290" s="64"/>
      <x:c r="K290" s="59"/>
      <x:c r="L290" s="75"/>
      <x:c r="M290" s="46"/>
      <x:c r="N290" s="39" t="str">
        <x:f t="shared" si="9"/>
      </x:c>
      <x:c r="O290" s="47"/>
    </x:row>
    <x:row r="291">
      <x:c r="A291" s="54"/>
      <x:c r="B291" s="59"/>
      <x:c r="C291" s="59"/>
      <x:c r="D291" s="59"/>
      <x:c r="E291" s="64"/>
      <x:c r="F291" s="69"/>
      <x:c r="G291" s="69"/>
      <x:c r="H291" s="38" t="str">
        <x:f t="shared" si="8"/>
      </x:c>
      <x:c r="I291" s="59"/>
      <x:c r="J291" s="64"/>
      <x:c r="K291" s="59"/>
      <x:c r="L291" s="75"/>
      <x:c r="M291" s="41"/>
      <x:c r="N291" s="38" t="str">
        <x:f t="shared" si="9"/>
      </x:c>
      <x:c r="O291" s="42"/>
    </x:row>
    <x:row r="292">
      <x:c r="A292" s="54"/>
      <x:c r="B292" s="59"/>
      <x:c r="C292" s="59"/>
      <x:c r="D292" s="59"/>
      <x:c r="E292" s="64"/>
      <x:c r="F292" s="70"/>
      <x:c r="G292" s="70"/>
      <x:c r="H292" s="39" t="str">
        <x:f t="shared" si="8"/>
      </x:c>
      <x:c r="I292" s="59"/>
      <x:c r="J292" s="64"/>
      <x:c r="K292" s="59"/>
      <x:c r="L292" s="75"/>
      <x:c r="M292" s="46"/>
      <x:c r="N292" s="39" t="str">
        <x:f t="shared" si="9"/>
      </x:c>
      <x:c r="O292" s="47"/>
    </x:row>
    <x:row r="293">
      <x:c r="A293" s="54"/>
      <x:c r="B293" s="59"/>
      <x:c r="C293" s="59"/>
      <x:c r="D293" s="59"/>
      <x:c r="E293" s="64"/>
      <x:c r="F293" s="69"/>
      <x:c r="G293" s="69"/>
      <x:c r="H293" s="38" t="str">
        <x:f t="shared" si="8"/>
      </x:c>
      <x:c r="I293" s="59"/>
      <x:c r="J293" s="64"/>
      <x:c r="K293" s="59"/>
      <x:c r="L293" s="75"/>
      <x:c r="M293" s="41"/>
      <x:c r="N293" s="38" t="str">
        <x:f t="shared" si="9"/>
      </x:c>
      <x:c r="O293" s="42"/>
    </x:row>
    <x:row r="294">
      <x:c r="A294" s="54"/>
      <x:c r="B294" s="59"/>
      <x:c r="C294" s="59"/>
      <x:c r="D294" s="59"/>
      <x:c r="E294" s="64"/>
      <x:c r="F294" s="70"/>
      <x:c r="G294" s="70"/>
      <x:c r="H294" s="39" t="str">
        <x:f t="shared" si="8"/>
      </x:c>
      <x:c r="I294" s="59"/>
      <x:c r="J294" s="64"/>
      <x:c r="K294" s="59"/>
      <x:c r="L294" s="75"/>
      <x:c r="M294" s="46"/>
      <x:c r="N294" s="39" t="str">
        <x:f t="shared" si="9"/>
      </x:c>
      <x:c r="O294" s="47"/>
    </x:row>
    <x:row r="295">
      <x:c r="A295" s="54"/>
      <x:c r="B295" s="59"/>
      <x:c r="C295" s="59"/>
      <x:c r="D295" s="59"/>
      <x:c r="E295" s="64"/>
      <x:c r="F295" s="69"/>
      <x:c r="G295" s="69"/>
      <x:c r="H295" s="38" t="str">
        <x:f t="shared" si="8"/>
      </x:c>
      <x:c r="I295" s="59"/>
      <x:c r="J295" s="64"/>
      <x:c r="K295" s="59"/>
      <x:c r="L295" s="75"/>
      <x:c r="M295" s="41"/>
      <x:c r="N295" s="38" t="str">
        <x:f t="shared" si="9"/>
      </x:c>
      <x:c r="O295" s="42"/>
    </x:row>
    <x:row r="296">
      <x:c r="A296" s="54"/>
      <x:c r="B296" s="59"/>
      <x:c r="C296" s="59"/>
      <x:c r="D296" s="59"/>
      <x:c r="E296" s="64"/>
      <x:c r="F296" s="70"/>
      <x:c r="G296" s="70"/>
      <x:c r="H296" s="39" t="str">
        <x:f t="shared" si="8"/>
      </x:c>
      <x:c r="I296" s="59"/>
      <x:c r="J296" s="64"/>
      <x:c r="K296" s="59"/>
      <x:c r="L296" s="75"/>
      <x:c r="M296" s="46"/>
      <x:c r="N296" s="39" t="str">
        <x:f t="shared" si="9"/>
      </x:c>
      <x:c r="O296" s="47"/>
    </x:row>
    <x:row r="297">
      <x:c r="A297" s="54"/>
      <x:c r="B297" s="59"/>
      <x:c r="C297" s="59"/>
      <x:c r="D297" s="59"/>
      <x:c r="E297" s="64"/>
      <x:c r="F297" s="69"/>
      <x:c r="G297" s="69"/>
      <x:c r="H297" s="38" t="str">
        <x:f t="shared" si="8"/>
      </x:c>
      <x:c r="I297" s="59"/>
      <x:c r="J297" s="64"/>
      <x:c r="K297" s="59"/>
      <x:c r="L297" s="75"/>
      <x:c r="M297" s="41"/>
      <x:c r="N297" s="38" t="str">
        <x:f t="shared" si="9"/>
      </x:c>
      <x:c r="O297" s="42"/>
    </x:row>
    <x:row r="298">
      <x:c r="A298" s="54"/>
      <x:c r="B298" s="59"/>
      <x:c r="C298" s="59"/>
      <x:c r="D298" s="59"/>
      <x:c r="E298" s="64"/>
      <x:c r="F298" s="70"/>
      <x:c r="G298" s="70"/>
      <x:c r="H298" s="39" t="str">
        <x:f t="shared" si="8"/>
      </x:c>
      <x:c r="I298" s="59"/>
      <x:c r="J298" s="64"/>
      <x:c r="K298" s="59"/>
      <x:c r="L298" s="75"/>
      <x:c r="M298" s="46"/>
      <x:c r="N298" s="39" t="str">
        <x:f t="shared" si="9"/>
      </x:c>
      <x:c r="O298" s="47"/>
    </x:row>
    <x:row r="299">
      <x:c r="A299" s="54"/>
      <x:c r="B299" s="59"/>
      <x:c r="C299" s="59"/>
      <x:c r="D299" s="59"/>
      <x:c r="E299" s="64"/>
      <x:c r="F299" s="69"/>
      <x:c r="G299" s="69"/>
      <x:c r="H299" s="38" t="str">
        <x:f t="shared" si="8"/>
      </x:c>
      <x:c r="I299" s="59"/>
      <x:c r="J299" s="64"/>
      <x:c r="K299" s="59"/>
      <x:c r="L299" s="75"/>
      <x:c r="M299" s="41"/>
      <x:c r="N299" s="38" t="str">
        <x:f t="shared" si="9"/>
      </x:c>
      <x:c r="O299" s="42"/>
    </x:row>
    <x:row r="300">
      <x:c r="A300" s="54"/>
      <x:c r="B300" s="59"/>
      <x:c r="C300" s="59"/>
      <x:c r="D300" s="59"/>
      <x:c r="E300" s="64"/>
      <x:c r="F300" s="70"/>
      <x:c r="G300" s="70"/>
      <x:c r="H300" s="39" t="str">
        <x:f t="shared" si="8"/>
      </x:c>
      <x:c r="I300" s="59"/>
      <x:c r="J300" s="64"/>
      <x:c r="K300" s="59"/>
      <x:c r="L300" s="75"/>
      <x:c r="M300" s="46"/>
      <x:c r="N300" s="39" t="str">
        <x:f t="shared" si="9"/>
      </x:c>
      <x:c r="O300" s="47"/>
    </x:row>
    <x:row r="301">
      <x:c r="A301" s="54"/>
      <x:c r="B301" s="59"/>
      <x:c r="C301" s="59"/>
      <x:c r="D301" s="59"/>
      <x:c r="E301" s="64"/>
      <x:c r="F301" s="69"/>
      <x:c r="G301" s="69"/>
      <x:c r="H301" s="38" t="str">
        <x:f t="shared" si="8"/>
      </x:c>
      <x:c r="I301" s="59"/>
      <x:c r="J301" s="64"/>
      <x:c r="K301" s="59"/>
      <x:c r="L301" s="75"/>
      <x:c r="M301" s="41"/>
      <x:c r="N301" s="38" t="str">
        <x:f t="shared" si="9"/>
      </x:c>
      <x:c r="O301" s="42"/>
    </x:row>
    <x:row r="302">
      <x:c r="A302" s="55"/>
      <x:c r="B302" s="60"/>
      <x:c r="C302" s="60"/>
      <x:c r="D302" s="60"/>
      <x:c r="E302" s="65"/>
      <x:c r="F302" s="39"/>
      <x:c r="G302" s="39"/>
      <x:c r="H302" s="39"/>
      <x:c r="I302" s="60"/>
      <x:c r="J302" s="65"/>
      <x:c r="K302" s="60"/>
      <x:c r="L302" s="76"/>
      <x:c r="M302" s="34"/>
      <x:c r="N302" s="39"/>
      <x:c r="O302" s="22"/>
    </x:row>
    <x:row r="303">
      <x:c r="A303" s="55"/>
      <x:c r="B303" s="60"/>
      <x:c r="C303" s="60"/>
      <x:c r="D303" s="60"/>
      <x:c r="E303" s="65"/>
      <x:c r="F303" s="38"/>
      <x:c r="G303" s="38"/>
      <x:c r="H303" s="38"/>
      <x:c r="I303" s="60"/>
      <x:c r="J303" s="65"/>
      <x:c r="K303" s="60"/>
      <x:c r="L303" s="76"/>
      <x:c r="M303" s="28"/>
      <x:c r="N303" s="38"/>
      <x:c r="O303" s="13"/>
    </x:row>
    <x:row r="304">
      <x:c r="A304" s="55"/>
      <x:c r="B304" s="60"/>
      <x:c r="C304" s="60"/>
      <x:c r="D304" s="60"/>
      <x:c r="E304" s="65"/>
      <x:c r="F304" s="39"/>
      <x:c r="G304" s="39"/>
      <x:c r="H304" s="39"/>
      <x:c r="I304" s="60"/>
      <x:c r="J304" s="65"/>
      <x:c r="K304" s="60"/>
      <x:c r="L304" s="76"/>
      <x:c r="M304" s="34"/>
      <x:c r="N304" s="39"/>
      <x:c r="O304" s="22"/>
    </x:row>
    <x:row r="305">
      <x:c r="A305" s="55"/>
      <x:c r="B305" s="60"/>
      <x:c r="C305" s="60"/>
      <x:c r="D305" s="60"/>
      <x:c r="E305" s="65"/>
      <x:c r="F305" s="38"/>
      <x:c r="G305" s="38"/>
      <x:c r="H305" s="38"/>
      <x:c r="I305" s="60"/>
      <x:c r="J305" s="65"/>
      <x:c r="K305" s="60"/>
      <x:c r="L305" s="76"/>
      <x:c r="M305" s="28"/>
      <x:c r="N305" s="38"/>
      <x:c r="O305" s="13"/>
    </x:row>
    <x:row r="306">
      <x:c r="A306" s="55"/>
      <x:c r="B306" s="60"/>
      <x:c r="C306" s="60"/>
      <x:c r="D306" s="60"/>
      <x:c r="E306" s="65"/>
      <x:c r="F306" s="39"/>
      <x:c r="G306" s="39"/>
      <x:c r="H306" s="39"/>
      <x:c r="I306" s="60"/>
      <x:c r="J306" s="65"/>
      <x:c r="K306" s="60"/>
      <x:c r="L306" s="76"/>
      <x:c r="M306" s="34"/>
      <x:c r="N306" s="39"/>
      <x:c r="O306" s="22"/>
    </x:row>
    <x:row r="307">
      <x:c r="A307" s="55"/>
      <x:c r="B307" s="60"/>
      <x:c r="C307" s="60"/>
      <x:c r="D307" s="60"/>
      <x:c r="E307" s="65"/>
      <x:c r="F307" s="38"/>
      <x:c r="G307" s="38"/>
      <x:c r="H307" s="38"/>
      <x:c r="I307" s="60"/>
      <x:c r="J307" s="65"/>
      <x:c r="K307" s="60"/>
      <x:c r="L307" s="76"/>
      <x:c r="M307" s="28"/>
      <x:c r="N307" s="38"/>
      <x:c r="O307" s="13"/>
    </x:row>
    <x:row r="308">
      <x:c r="A308" s="55"/>
      <x:c r="B308" s="60"/>
      <x:c r="C308" s="60"/>
      <x:c r="D308" s="60"/>
      <x:c r="E308" s="65"/>
      <x:c r="F308" s="39"/>
      <x:c r="G308" s="39"/>
      <x:c r="H308" s="39"/>
      <x:c r="I308" s="60"/>
      <x:c r="J308" s="65"/>
      <x:c r="K308" s="60"/>
      <x:c r="L308" s="76"/>
      <x:c r="M308" s="34"/>
      <x:c r="N308" s="39"/>
      <x:c r="O308" s="22"/>
    </x:row>
    <x:row r="309">
      <x:c r="A309" s="55"/>
      <x:c r="B309" s="60"/>
      <x:c r="C309" s="60"/>
      <x:c r="D309" s="60"/>
      <x:c r="E309" s="65"/>
      <x:c r="F309" s="38"/>
      <x:c r="G309" s="38"/>
      <x:c r="H309" s="38"/>
      <x:c r="I309" s="60"/>
      <x:c r="J309" s="65"/>
      <x:c r="K309" s="60"/>
      <x:c r="L309" s="76"/>
      <x:c r="M309" s="28"/>
      <x:c r="N309" s="38"/>
      <x:c r="O309" s="13"/>
    </x:row>
    <x:row r="310">
      <x:c r="A310" s="55"/>
      <x:c r="B310" s="60"/>
      <x:c r="C310" s="60"/>
      <x:c r="D310" s="60"/>
      <x:c r="E310" s="65"/>
      <x:c r="F310" s="39"/>
      <x:c r="G310" s="39"/>
      <x:c r="H310" s="39"/>
      <x:c r="I310" s="60"/>
      <x:c r="J310" s="65"/>
      <x:c r="K310" s="60"/>
      <x:c r="L310" s="76"/>
      <x:c r="M310" s="34"/>
      <x:c r="N310" s="39"/>
      <x:c r="O310" s="22"/>
    </x:row>
    <x:row r="311">
      <x:c r="A311" s="55"/>
      <x:c r="B311" s="60"/>
      <x:c r="C311" s="60"/>
      <x:c r="D311" s="60"/>
      <x:c r="E311" s="65"/>
      <x:c r="F311" s="38"/>
      <x:c r="G311" s="38"/>
      <x:c r="H311" s="38"/>
      <x:c r="I311" s="60"/>
      <x:c r="J311" s="65"/>
      <x:c r="K311" s="60"/>
      <x:c r="L311" s="76"/>
      <x:c r="M311" s="28"/>
      <x:c r="N311" s="38"/>
      <x:c r="O311" s="13"/>
    </x:row>
    <x:row r="312">
      <x:c r="A312" s="55"/>
      <x:c r="B312" s="60"/>
      <x:c r="C312" s="60"/>
      <x:c r="D312" s="60"/>
      <x:c r="E312" s="65"/>
      <x:c r="F312" s="39"/>
      <x:c r="G312" s="39"/>
      <x:c r="H312" s="39"/>
      <x:c r="I312" s="60"/>
      <x:c r="J312" s="65"/>
      <x:c r="K312" s="60"/>
      <x:c r="L312" s="76"/>
      <x:c r="M312" s="34"/>
      <x:c r="N312" s="39"/>
      <x:c r="O312" s="22"/>
    </x:row>
    <x:row r="313">
      <x:c r="A313" s="55"/>
      <x:c r="B313" s="60"/>
      <x:c r="C313" s="60"/>
      <x:c r="D313" s="60"/>
      <x:c r="E313" s="65"/>
      <x:c r="F313" s="38"/>
      <x:c r="G313" s="38"/>
      <x:c r="H313" s="38"/>
      <x:c r="I313" s="60"/>
      <x:c r="J313" s="65"/>
      <x:c r="K313" s="60"/>
      <x:c r="L313" s="76"/>
      <x:c r="M313" s="28"/>
      <x:c r="N313" s="38"/>
      <x:c r="O313" s="13"/>
    </x:row>
    <x:row r="314">
      <x:c r="A314" s="55"/>
      <x:c r="B314" s="60"/>
      <x:c r="C314" s="60"/>
      <x:c r="D314" s="60"/>
      <x:c r="E314" s="65"/>
      <x:c r="F314" s="39"/>
      <x:c r="G314" s="39"/>
      <x:c r="H314" s="39"/>
      <x:c r="I314" s="60"/>
      <x:c r="J314" s="65"/>
      <x:c r="K314" s="60"/>
      <x:c r="L314" s="76"/>
      <x:c r="M314" s="34"/>
      <x:c r="N314" s="39"/>
      <x:c r="O314" s="22"/>
    </x:row>
    <x:row r="315">
      <x:c r="A315" s="55"/>
      <x:c r="B315" s="60"/>
      <x:c r="C315" s="60"/>
      <x:c r="D315" s="60"/>
      <x:c r="E315" s="65"/>
      <x:c r="F315" s="38"/>
      <x:c r="G315" s="38"/>
      <x:c r="H315" s="38"/>
      <x:c r="I315" s="60"/>
      <x:c r="J315" s="65"/>
      <x:c r="K315" s="60"/>
      <x:c r="L315" s="76"/>
      <x:c r="M315" s="28"/>
      <x:c r="N315" s="38"/>
      <x:c r="O315" s="13"/>
    </x:row>
    <x:row r="316">
      <x:c r="A316" s="55"/>
      <x:c r="B316" s="60"/>
      <x:c r="C316" s="60"/>
      <x:c r="D316" s="60"/>
      <x:c r="E316" s="65"/>
      <x:c r="F316" s="39"/>
      <x:c r="G316" s="39"/>
      <x:c r="H316" s="39"/>
      <x:c r="I316" s="60"/>
      <x:c r="J316" s="65"/>
      <x:c r="K316" s="60"/>
      <x:c r="L316" s="76"/>
      <x:c r="M316" s="34"/>
      <x:c r="N316" s="39"/>
      <x:c r="O316" s="22"/>
    </x:row>
    <x:row r="317">
      <x:c r="A317" s="55"/>
      <x:c r="B317" s="60"/>
      <x:c r="C317" s="60"/>
      <x:c r="D317" s="60"/>
      <x:c r="E317" s="65"/>
      <x:c r="F317" s="38"/>
      <x:c r="G317" s="38"/>
      <x:c r="H317" s="38"/>
      <x:c r="I317" s="60"/>
      <x:c r="J317" s="65"/>
      <x:c r="K317" s="60"/>
      <x:c r="L317" s="76"/>
      <x:c r="M317" s="28"/>
      <x:c r="N317" s="38"/>
      <x:c r="O317" s="13"/>
    </x:row>
    <x:row r="318">
      <x:c r="A318" s="55"/>
      <x:c r="B318" s="60"/>
      <x:c r="C318" s="60"/>
      <x:c r="D318" s="60"/>
      <x:c r="E318" s="65"/>
      <x:c r="F318" s="39"/>
      <x:c r="G318" s="39"/>
      <x:c r="H318" s="39"/>
      <x:c r="I318" s="60"/>
      <x:c r="J318" s="65"/>
      <x:c r="K318" s="60"/>
      <x:c r="L318" s="76"/>
      <x:c r="M318" s="34"/>
      <x:c r="N318" s="39"/>
      <x:c r="O318" s="22"/>
    </x:row>
    <x:row r="319">
      <x:c r="A319" s="55"/>
      <x:c r="B319" s="60"/>
      <x:c r="C319" s="60"/>
      <x:c r="D319" s="60"/>
      <x:c r="E319" s="65"/>
      <x:c r="F319" s="38"/>
      <x:c r="G319" s="38"/>
      <x:c r="H319" s="38"/>
      <x:c r="I319" s="60"/>
      <x:c r="J319" s="65"/>
      <x:c r="K319" s="60"/>
      <x:c r="L319" s="76"/>
      <x:c r="M319" s="28"/>
      <x:c r="N319" s="38"/>
      <x:c r="O319" s="13"/>
    </x:row>
    <x:row r="320">
      <x:c r="A320" s="55"/>
      <x:c r="B320" s="60"/>
      <x:c r="C320" s="60"/>
      <x:c r="D320" s="60"/>
      <x:c r="E320" s="65"/>
      <x:c r="F320" s="39"/>
      <x:c r="G320" s="39"/>
      <x:c r="H320" s="39"/>
      <x:c r="I320" s="60"/>
      <x:c r="J320" s="65"/>
      <x:c r="K320" s="60"/>
      <x:c r="L320" s="76"/>
      <x:c r="M320" s="34"/>
      <x:c r="N320" s="39"/>
      <x:c r="O320" s="22"/>
    </x:row>
    <x:row r="321">
      <x:c r="A321" s="56"/>
      <x:c r="B321" s="61"/>
      <x:c r="C321" s="61"/>
      <x:c r="D321" s="61"/>
      <x:c r="E321" s="66"/>
      <x:c r="F321" s="71"/>
      <x:c r="G321" s="71"/>
      <x:c r="H321" s="71"/>
      <x:c r="I321" s="61"/>
      <x:c r="J321" s="66"/>
      <x:c r="K321" s="61"/>
      <x:c r="L321" s="77"/>
      <x:c r="M321" s="50"/>
      <x:c r="N321" s="71"/>
      <x:c r="O321" s="43"/>
    </x:row>
    <x:row r="322">
      <x:c r="A322" s="56"/>
      <x:c r="B322" s="61"/>
      <x:c r="C322" s="61"/>
      <x:c r="D322" s="61"/>
      <x:c r="E322" s="66"/>
      <x:c r="F322" s="72"/>
      <x:c r="G322" s="72"/>
      <x:c r="H322" s="72"/>
      <x:c r="I322" s="61"/>
      <x:c r="J322" s="66"/>
      <x:c r="K322" s="61"/>
      <x:c r="L322" s="77"/>
      <x:c r="M322" s="51"/>
      <x:c r="N322" s="72"/>
      <x:c r="O322" s="48"/>
    </x:row>
    <x:row r="323">
      <x:c r="A323" s="56"/>
      <x:c r="B323" s="61"/>
      <x:c r="C323" s="61"/>
      <x:c r="D323" s="61"/>
      <x:c r="E323" s="66"/>
      <x:c r="F323" s="71"/>
      <x:c r="G323" s="71"/>
      <x:c r="H323" s="71"/>
      <x:c r="I323" s="61"/>
      <x:c r="J323" s="66"/>
      <x:c r="K323" s="61"/>
      <x:c r="L323" s="77"/>
      <x:c r="M323" s="50"/>
      <x:c r="N323" s="71"/>
      <x:c r="O323" s="43"/>
    </x:row>
    <x:row r="324">
      <x:c r="A324" s="56"/>
      <x:c r="B324" s="61"/>
      <x:c r="C324" s="61"/>
      <x:c r="D324" s="61"/>
      <x:c r="E324" s="66"/>
      <x:c r="F324" s="72"/>
      <x:c r="G324" s="72"/>
      <x:c r="H324" s="72"/>
      <x:c r="I324" s="61"/>
      <x:c r="J324" s="66"/>
      <x:c r="K324" s="61"/>
      <x:c r="L324" s="77"/>
      <x:c r="M324" s="51"/>
      <x:c r="N324" s="72"/>
      <x:c r="O324" s="48"/>
    </x:row>
    <x:row r="325">
      <x:c r="A325" s="56"/>
      <x:c r="B325" s="61"/>
      <x:c r="C325" s="61"/>
      <x:c r="D325" s="61"/>
      <x:c r="E325" s="66"/>
      <x:c r="F325" s="71"/>
      <x:c r="G325" s="71"/>
      <x:c r="H325" s="71"/>
      <x:c r="I325" s="61"/>
      <x:c r="J325" s="66"/>
      <x:c r="K325" s="61"/>
      <x:c r="L325" s="77"/>
      <x:c r="M325" s="50"/>
      <x:c r="N325" s="71"/>
      <x:c r="O325" s="43"/>
    </x:row>
    <x:row r="326">
      <x:c r="A326" s="56"/>
      <x:c r="B326" s="61"/>
      <x:c r="C326" s="61"/>
      <x:c r="D326" s="61"/>
      <x:c r="E326" s="66"/>
      <x:c r="F326" s="72"/>
      <x:c r="G326" s="72"/>
      <x:c r="H326" s="72"/>
      <x:c r="I326" s="61"/>
      <x:c r="J326" s="66"/>
      <x:c r="K326" s="61"/>
      <x:c r="L326" s="77"/>
      <x:c r="M326" s="51"/>
      <x:c r="N326" s="72"/>
      <x:c r="O326" s="48"/>
    </x:row>
    <x:row r="327">
      <x:c r="A327" s="56"/>
      <x:c r="B327" s="61"/>
      <x:c r="C327" s="61"/>
      <x:c r="D327" s="61"/>
      <x:c r="E327" s="66"/>
      <x:c r="F327" s="71"/>
      <x:c r="G327" s="71"/>
      <x:c r="H327" s="71"/>
      <x:c r="I327" s="61"/>
      <x:c r="J327" s="66"/>
      <x:c r="K327" s="61"/>
      <x:c r="L327" s="77"/>
      <x:c r="M327" s="50"/>
      <x:c r="N327" s="71"/>
      <x:c r="O327" s="43"/>
    </x:row>
    <x:row r="328">
      <x:c r="A328" s="56"/>
      <x:c r="B328" s="61"/>
      <x:c r="C328" s="61"/>
      <x:c r="D328" s="61"/>
      <x:c r="E328" s="66"/>
      <x:c r="F328" s="72"/>
      <x:c r="G328" s="72"/>
      <x:c r="H328" s="72"/>
      <x:c r="I328" s="61"/>
      <x:c r="J328" s="66"/>
      <x:c r="K328" s="61"/>
      <x:c r="L328" s="77"/>
      <x:c r="M328" s="51"/>
      <x:c r="N328" s="72"/>
      <x:c r="O328" s="48"/>
    </x:row>
    <x:row r="329">
      <x:c r="A329" s="56"/>
      <x:c r="B329" s="61"/>
      <x:c r="C329" s="61"/>
      <x:c r="D329" s="61"/>
      <x:c r="E329" s="66"/>
      <x:c r="F329" s="71"/>
      <x:c r="G329" s="71"/>
      <x:c r="H329" s="71"/>
      <x:c r="I329" s="61"/>
      <x:c r="J329" s="66"/>
      <x:c r="K329" s="61"/>
      <x:c r="L329" s="77"/>
      <x:c r="M329" s="50"/>
      <x:c r="N329" s="71"/>
      <x:c r="O329" s="43"/>
    </x:row>
    <x:row r="330">
      <x:c r="A330" s="56"/>
      <x:c r="B330" s="61"/>
      <x:c r="C330" s="61"/>
      <x:c r="D330" s="61"/>
      <x:c r="E330" s="66"/>
      <x:c r="F330" s="72"/>
      <x:c r="G330" s="72"/>
      <x:c r="H330" s="72"/>
      <x:c r="I330" s="61"/>
      <x:c r="J330" s="66"/>
      <x:c r="K330" s="61"/>
      <x:c r="L330" s="77"/>
      <x:c r="M330" s="51"/>
      <x:c r="N330" s="72"/>
      <x:c r="O330" s="48"/>
    </x:row>
    <x:row r="331">
      <x:c r="A331" s="56"/>
      <x:c r="B331" s="61"/>
      <x:c r="C331" s="61"/>
      <x:c r="D331" s="61"/>
      <x:c r="E331" s="66"/>
      <x:c r="F331" s="71"/>
      <x:c r="G331" s="71"/>
      <x:c r="H331" s="71"/>
      <x:c r="I331" s="61"/>
      <x:c r="J331" s="66"/>
      <x:c r="K331" s="61"/>
      <x:c r="L331" s="77"/>
      <x:c r="M331" s="50"/>
      <x:c r="N331" s="71"/>
      <x:c r="O331" s="43"/>
    </x:row>
    <x:row r="332">
      <x:c r="A332" s="56"/>
      <x:c r="B332" s="61"/>
      <x:c r="C332" s="61"/>
      <x:c r="D332" s="61"/>
      <x:c r="E332" s="66"/>
      <x:c r="F332" s="72"/>
      <x:c r="G332" s="72"/>
      <x:c r="H332" s="72"/>
      <x:c r="I332" s="61"/>
      <x:c r="J332" s="66"/>
      <x:c r="K332" s="61"/>
      <x:c r="L332" s="77"/>
      <x:c r="M332" s="51"/>
      <x:c r="N332" s="72"/>
      <x:c r="O332" s="48"/>
    </x:row>
    <x:row r="333">
      <x:c r="A333" s="56"/>
      <x:c r="B333" s="61"/>
      <x:c r="C333" s="61"/>
      <x:c r="D333" s="61"/>
      <x:c r="E333" s="66"/>
      <x:c r="F333" s="71"/>
      <x:c r="G333" s="71"/>
      <x:c r="H333" s="71"/>
      <x:c r="I333" s="61"/>
      <x:c r="J333" s="66"/>
      <x:c r="K333" s="61"/>
      <x:c r="L333" s="77"/>
      <x:c r="M333" s="50"/>
      <x:c r="N333" s="71"/>
      <x:c r="O333" s="43"/>
    </x:row>
    <x:row r="334">
      <x:c r="A334" s="56"/>
      <x:c r="B334" s="61"/>
      <x:c r="C334" s="61"/>
      <x:c r="D334" s="61"/>
      <x:c r="E334" s="66"/>
      <x:c r="F334" s="72"/>
      <x:c r="G334" s="72"/>
      <x:c r="H334" s="72"/>
      <x:c r="I334" s="61"/>
      <x:c r="J334" s="66"/>
      <x:c r="K334" s="61"/>
      <x:c r="L334" s="77"/>
      <x:c r="M334" s="51"/>
      <x:c r="N334" s="72"/>
      <x:c r="O334" s="48"/>
    </x:row>
    <x:row r="335">
      <x:c r="A335" s="56"/>
      <x:c r="B335" s="61"/>
      <x:c r="C335" s="61"/>
      <x:c r="D335" s="61"/>
      <x:c r="E335" s="66"/>
      <x:c r="F335" s="71"/>
      <x:c r="G335" s="71"/>
      <x:c r="H335" s="71"/>
      <x:c r="I335" s="61"/>
      <x:c r="J335" s="66"/>
      <x:c r="K335" s="61"/>
      <x:c r="L335" s="77"/>
      <x:c r="M335" s="50"/>
      <x:c r="N335" s="71"/>
      <x:c r="O335" s="43"/>
    </x:row>
    <x:row r="336">
      <x:c r="A336" s="56"/>
      <x:c r="B336" s="61"/>
      <x:c r="C336" s="61"/>
      <x:c r="D336" s="61"/>
      <x:c r="E336" s="66"/>
      <x:c r="F336" s="72"/>
      <x:c r="G336" s="72"/>
      <x:c r="H336" s="72"/>
      <x:c r="I336" s="61"/>
      <x:c r="J336" s="66"/>
      <x:c r="K336" s="61"/>
      <x:c r="L336" s="77"/>
      <x:c r="M336" s="51"/>
      <x:c r="N336" s="72"/>
      <x:c r="O336" s="48"/>
    </x:row>
    <x:row r="337">
      <x:c r="A337" s="56"/>
      <x:c r="B337" s="61"/>
      <x:c r="C337" s="61"/>
      <x:c r="D337" s="61"/>
      <x:c r="E337" s="66"/>
      <x:c r="F337" s="71"/>
      <x:c r="G337" s="71"/>
      <x:c r="H337" s="71"/>
      <x:c r="I337" s="61"/>
      <x:c r="J337" s="66"/>
      <x:c r="K337" s="61"/>
      <x:c r="L337" s="77"/>
      <x:c r="M337" s="50"/>
      <x:c r="N337" s="71"/>
      <x:c r="O337" s="43"/>
    </x:row>
    <x:row r="338">
      <x:c r="A338" s="56"/>
      <x:c r="B338" s="61"/>
      <x:c r="C338" s="61"/>
      <x:c r="D338" s="61"/>
      <x:c r="E338" s="66"/>
      <x:c r="F338" s="72"/>
      <x:c r="G338" s="72"/>
      <x:c r="H338" s="72"/>
      <x:c r="I338" s="61"/>
      <x:c r="J338" s="66"/>
      <x:c r="K338" s="61"/>
      <x:c r="L338" s="77"/>
      <x:c r="M338" s="51"/>
      <x:c r="N338" s="72"/>
      <x:c r="O338" s="48"/>
    </x:row>
    <x:row r="339">
      <x:c r="A339" s="56"/>
      <x:c r="B339" s="61"/>
      <x:c r="C339" s="61"/>
      <x:c r="D339" s="61"/>
      <x:c r="E339" s="66"/>
      <x:c r="F339" s="71"/>
      <x:c r="G339" s="71"/>
      <x:c r="H339" s="71"/>
      <x:c r="I339" s="61"/>
      <x:c r="J339" s="66"/>
      <x:c r="K339" s="61"/>
      <x:c r="L339" s="77"/>
      <x:c r="M339" s="50"/>
      <x:c r="N339" s="71"/>
      <x:c r="O339" s="43"/>
    </x:row>
    <x:row r="340">
      <x:c r="A340" s="56"/>
      <x:c r="B340" s="61"/>
      <x:c r="C340" s="61"/>
      <x:c r="D340" s="61"/>
      <x:c r="E340" s="66"/>
      <x:c r="F340" s="72"/>
      <x:c r="G340" s="72"/>
      <x:c r="H340" s="72"/>
      <x:c r="I340" s="61"/>
      <x:c r="J340" s="66"/>
      <x:c r="K340" s="61"/>
      <x:c r="L340" s="77"/>
      <x:c r="M340" s="51"/>
      <x:c r="N340" s="72"/>
      <x:c r="O340" s="48"/>
    </x:row>
    <x:row r="341">
      <x:c r="A341" s="56"/>
      <x:c r="B341" s="61"/>
      <x:c r="C341" s="61"/>
      <x:c r="D341" s="61"/>
      <x:c r="E341" s="66"/>
      <x:c r="F341" s="71"/>
      <x:c r="G341" s="71"/>
      <x:c r="H341" s="71"/>
      <x:c r="I341" s="61"/>
      <x:c r="J341" s="66"/>
      <x:c r="K341" s="61"/>
      <x:c r="L341" s="77"/>
      <x:c r="M341" s="50"/>
      <x:c r="N341" s="71"/>
      <x:c r="O341" s="43"/>
    </x:row>
    <x:row r="342">
      <x:c r="A342" s="56"/>
      <x:c r="B342" s="61"/>
      <x:c r="C342" s="61"/>
      <x:c r="D342" s="61"/>
      <x:c r="E342" s="66"/>
      <x:c r="F342" s="72"/>
      <x:c r="G342" s="72"/>
      <x:c r="H342" s="72"/>
      <x:c r="I342" s="61"/>
      <x:c r="J342" s="66"/>
      <x:c r="K342" s="61"/>
      <x:c r="L342" s="77"/>
      <x:c r="M342" s="51"/>
      <x:c r="N342" s="72"/>
      <x:c r="O342" s="48"/>
    </x:row>
    <x:row r="343">
      <x:c r="A343" s="56"/>
      <x:c r="B343" s="61"/>
      <x:c r="C343" s="61"/>
      <x:c r="D343" s="61"/>
      <x:c r="E343" s="66"/>
      <x:c r="F343" s="71"/>
      <x:c r="G343" s="71"/>
      <x:c r="H343" s="71"/>
      <x:c r="I343" s="61"/>
      <x:c r="J343" s="66"/>
      <x:c r="K343" s="61"/>
      <x:c r="L343" s="77"/>
      <x:c r="M343" s="50"/>
      <x:c r="N343" s="71"/>
      <x:c r="O343" s="43"/>
    </x:row>
    <x:row r="344">
      <x:c r="A344" s="56"/>
      <x:c r="B344" s="61"/>
      <x:c r="C344" s="61"/>
      <x:c r="D344" s="61"/>
      <x:c r="E344" s="66"/>
      <x:c r="F344" s="72"/>
      <x:c r="G344" s="72"/>
      <x:c r="H344" s="72"/>
      <x:c r="I344" s="61"/>
      <x:c r="J344" s="66"/>
      <x:c r="K344" s="61"/>
      <x:c r="L344" s="77"/>
      <x:c r="M344" s="51"/>
      <x:c r="N344" s="72"/>
      <x:c r="O344" s="48"/>
    </x:row>
    <x:row r="345">
      <x:c r="A345" s="56"/>
      <x:c r="B345" s="61"/>
      <x:c r="C345" s="61"/>
      <x:c r="D345" s="61"/>
      <x:c r="E345" s="66"/>
      <x:c r="F345" s="71"/>
      <x:c r="G345" s="71"/>
      <x:c r="H345" s="71"/>
      <x:c r="I345" s="61"/>
      <x:c r="J345" s="66"/>
      <x:c r="K345" s="61"/>
      <x:c r="L345" s="77"/>
      <x:c r="M345" s="50"/>
      <x:c r="N345" s="71"/>
      <x:c r="O345" s="43"/>
    </x:row>
    <x:row r="346">
      <x:c r="A346" s="56"/>
      <x:c r="B346" s="61"/>
      <x:c r="C346" s="61"/>
      <x:c r="D346" s="61"/>
      <x:c r="E346" s="66"/>
      <x:c r="F346" s="72"/>
      <x:c r="G346" s="72"/>
      <x:c r="H346" s="72"/>
      <x:c r="I346" s="61"/>
      <x:c r="J346" s="66"/>
      <x:c r="K346" s="61"/>
      <x:c r="L346" s="77"/>
      <x:c r="M346" s="51"/>
      <x:c r="N346" s="72"/>
      <x:c r="O346" s="48"/>
    </x:row>
    <x:row r="347">
      <x:c r="A347" s="56"/>
      <x:c r="B347" s="61"/>
      <x:c r="C347" s="61"/>
      <x:c r="D347" s="61"/>
      <x:c r="E347" s="66"/>
      <x:c r="F347" s="71"/>
      <x:c r="G347" s="71"/>
      <x:c r="H347" s="71"/>
      <x:c r="I347" s="61"/>
      <x:c r="J347" s="66"/>
      <x:c r="K347" s="61"/>
      <x:c r="L347" s="77"/>
      <x:c r="M347" s="50"/>
      <x:c r="N347" s="71"/>
      <x:c r="O347" s="43"/>
    </x:row>
    <x:row r="348">
      <x:c r="A348" s="56"/>
      <x:c r="B348" s="61"/>
      <x:c r="C348" s="61"/>
      <x:c r="D348" s="61"/>
      <x:c r="E348" s="66"/>
      <x:c r="F348" s="72"/>
      <x:c r="G348" s="72"/>
      <x:c r="H348" s="72"/>
      <x:c r="I348" s="61"/>
      <x:c r="J348" s="66"/>
      <x:c r="K348" s="61"/>
      <x:c r="L348" s="77"/>
      <x:c r="M348" s="51"/>
      <x:c r="N348" s="72"/>
      <x:c r="O348" s="48"/>
    </x:row>
    <x:row r="349">
      <x:c r="A349" s="56"/>
      <x:c r="B349" s="61"/>
      <x:c r="C349" s="61"/>
      <x:c r="D349" s="61"/>
      <x:c r="E349" s="66"/>
      <x:c r="F349" s="71"/>
      <x:c r="G349" s="71"/>
      <x:c r="H349" s="71"/>
      <x:c r="I349" s="61"/>
      <x:c r="J349" s="66"/>
      <x:c r="K349" s="61"/>
      <x:c r="L349" s="77"/>
      <x:c r="M349" s="50"/>
      <x:c r="N349" s="71"/>
      <x:c r="O349" s="43"/>
    </x:row>
    <x:row r="350">
      <x:c r="A350" s="56"/>
      <x:c r="B350" s="61"/>
      <x:c r="C350" s="61"/>
      <x:c r="D350" s="61"/>
      <x:c r="E350" s="66"/>
      <x:c r="F350" s="72"/>
      <x:c r="G350" s="72"/>
      <x:c r="H350" s="72"/>
      <x:c r="I350" s="61"/>
      <x:c r="J350" s="66"/>
      <x:c r="K350" s="61"/>
      <x:c r="L350" s="77"/>
      <x:c r="M350" s="51"/>
      <x:c r="N350" s="72"/>
      <x:c r="O350" s="48"/>
    </x:row>
    <x:row r="351">
      <x:c r="A351" s="56"/>
      <x:c r="B351" s="61"/>
      <x:c r="C351" s="61"/>
      <x:c r="D351" s="61"/>
      <x:c r="E351" s="66"/>
      <x:c r="F351" s="71"/>
      <x:c r="G351" s="71"/>
      <x:c r="H351" s="71"/>
      <x:c r="I351" s="61"/>
      <x:c r="J351" s="66"/>
      <x:c r="K351" s="61"/>
      <x:c r="L351" s="77"/>
      <x:c r="M351" s="50"/>
      <x:c r="N351" s="71"/>
      <x:c r="O351" s="43"/>
    </x:row>
    <x:row r="352">
      <x:c r="A352" s="56"/>
      <x:c r="B352" s="61"/>
      <x:c r="C352" s="61"/>
      <x:c r="D352" s="61"/>
      <x:c r="E352" s="66"/>
      <x:c r="F352" s="72"/>
      <x:c r="G352" s="72"/>
      <x:c r="H352" s="72"/>
      <x:c r="I352" s="61"/>
      <x:c r="J352" s="66"/>
      <x:c r="K352" s="61"/>
      <x:c r="L352" s="77"/>
      <x:c r="M352" s="51"/>
      <x:c r="N352" s="72"/>
      <x:c r="O352" s="48"/>
    </x:row>
    <x:row r="353">
      <x:c r="A353" s="56"/>
      <x:c r="B353" s="61"/>
      <x:c r="C353" s="61"/>
      <x:c r="D353" s="61"/>
      <x:c r="E353" s="66"/>
      <x:c r="F353" s="71"/>
      <x:c r="G353" s="71"/>
      <x:c r="H353" s="71"/>
      <x:c r="I353" s="61"/>
      <x:c r="J353" s="66"/>
      <x:c r="K353" s="61"/>
      <x:c r="L353" s="77"/>
      <x:c r="M353" s="50"/>
      <x:c r="N353" s="71"/>
      <x:c r="O353" s="43"/>
    </x:row>
    <x:row r="354">
      <x:c r="A354" s="56"/>
      <x:c r="B354" s="61"/>
      <x:c r="C354" s="61"/>
      <x:c r="D354" s="61"/>
      <x:c r="E354" s="66"/>
      <x:c r="F354" s="72"/>
      <x:c r="G354" s="72"/>
      <x:c r="H354" s="72"/>
      <x:c r="I354" s="61"/>
      <x:c r="J354" s="66"/>
      <x:c r="K354" s="61"/>
      <x:c r="L354" s="77"/>
      <x:c r="M354" s="51"/>
      <x:c r="N354" s="72"/>
      <x:c r="O354" s="48"/>
    </x:row>
    <x:row r="355">
      <x:c r="A355" s="56"/>
      <x:c r="B355" s="61"/>
      <x:c r="C355" s="61"/>
      <x:c r="D355" s="61"/>
      <x:c r="E355" s="66"/>
      <x:c r="F355" s="71"/>
      <x:c r="G355" s="71"/>
      <x:c r="H355" s="71"/>
      <x:c r="I355" s="61"/>
      <x:c r="J355" s="66"/>
      <x:c r="K355" s="61"/>
      <x:c r="L355" s="77"/>
      <x:c r="M355" s="50"/>
      <x:c r="N355" s="71"/>
      <x:c r="O355" s="43"/>
    </x:row>
    <x:row r="356">
      <x:c r="A356" s="56"/>
      <x:c r="B356" s="61"/>
      <x:c r="C356" s="61"/>
      <x:c r="D356" s="61"/>
      <x:c r="E356" s="66"/>
      <x:c r="F356" s="72"/>
      <x:c r="G356" s="72"/>
      <x:c r="H356" s="72"/>
      <x:c r="I356" s="61"/>
      <x:c r="J356" s="66"/>
      <x:c r="K356" s="61"/>
      <x:c r="L356" s="77"/>
      <x:c r="M356" s="51"/>
      <x:c r="N356" s="72"/>
      <x:c r="O356" s="48"/>
    </x:row>
    <x:row r="357">
      <x:c r="A357" s="56"/>
      <x:c r="B357" s="61"/>
      <x:c r="C357" s="61"/>
      <x:c r="D357" s="61"/>
      <x:c r="E357" s="66"/>
      <x:c r="F357" s="71"/>
      <x:c r="G357" s="71"/>
      <x:c r="H357" s="71"/>
      <x:c r="I357" s="61"/>
      <x:c r="J357" s="66"/>
      <x:c r="K357" s="61"/>
      <x:c r="L357" s="77"/>
      <x:c r="M357" s="50"/>
      <x:c r="N357" s="71"/>
      <x:c r="O357" s="43"/>
    </x:row>
    <x:row r="358">
      <x:c r="A358" s="56"/>
      <x:c r="B358" s="61"/>
      <x:c r="C358" s="61"/>
      <x:c r="D358" s="61"/>
      <x:c r="E358" s="66"/>
      <x:c r="F358" s="72"/>
      <x:c r="G358" s="72"/>
      <x:c r="H358" s="72"/>
      <x:c r="I358" s="61"/>
      <x:c r="J358" s="66"/>
      <x:c r="K358" s="61"/>
      <x:c r="L358" s="77"/>
      <x:c r="M358" s="51"/>
      <x:c r="N358" s="72"/>
      <x:c r="O358" s="48"/>
    </x:row>
    <x:row r="359">
      <x:c r="A359" s="56"/>
      <x:c r="B359" s="61"/>
      <x:c r="C359" s="61"/>
      <x:c r="D359" s="61"/>
      <x:c r="E359" s="66"/>
      <x:c r="F359" s="71"/>
      <x:c r="G359" s="71"/>
      <x:c r="H359" s="71"/>
      <x:c r="I359" s="61"/>
      <x:c r="J359" s="66"/>
      <x:c r="K359" s="61"/>
      <x:c r="L359" s="77"/>
      <x:c r="M359" s="50"/>
      <x:c r="N359" s="71"/>
      <x:c r="O359" s="43"/>
    </x:row>
    <x:row r="360">
      <x:c r="A360" s="56"/>
      <x:c r="B360" s="61"/>
      <x:c r="C360" s="61"/>
      <x:c r="D360" s="61"/>
      <x:c r="E360" s="66"/>
      <x:c r="F360" s="72"/>
      <x:c r="G360" s="72"/>
      <x:c r="H360" s="72"/>
      <x:c r="I360" s="61"/>
      <x:c r="J360" s="66"/>
      <x:c r="K360" s="61"/>
      <x:c r="L360" s="77"/>
      <x:c r="M360" s="51"/>
      <x:c r="N360" s="72"/>
      <x:c r="O360" s="48"/>
    </x:row>
    <x:row r="361">
      <x:c r="A361" s="56"/>
      <x:c r="B361" s="61"/>
      <x:c r="C361" s="61"/>
      <x:c r="D361" s="61"/>
      <x:c r="E361" s="66"/>
      <x:c r="F361" s="71"/>
      <x:c r="G361" s="71"/>
      <x:c r="H361" s="71"/>
      <x:c r="I361" s="61"/>
      <x:c r="J361" s="66"/>
      <x:c r="K361" s="61"/>
      <x:c r="L361" s="77"/>
      <x:c r="M361" s="50"/>
      <x:c r="N361" s="71"/>
      <x:c r="O361" s="43"/>
    </x:row>
    <x:row r="362">
      <x:c r="A362" s="56"/>
      <x:c r="B362" s="61"/>
      <x:c r="C362" s="61"/>
      <x:c r="D362" s="61"/>
      <x:c r="E362" s="66"/>
      <x:c r="F362" s="72"/>
      <x:c r="G362" s="72"/>
      <x:c r="H362" s="72"/>
      <x:c r="I362" s="61"/>
      <x:c r="J362" s="66"/>
      <x:c r="K362" s="61"/>
      <x:c r="L362" s="77"/>
      <x:c r="M362" s="51"/>
      <x:c r="N362" s="72"/>
      <x:c r="O362" s="48"/>
    </x:row>
    <x:row r="363">
      <x:c r="A363" s="56"/>
      <x:c r="B363" s="61"/>
      <x:c r="C363" s="61"/>
      <x:c r="D363" s="61"/>
      <x:c r="E363" s="66"/>
      <x:c r="F363" s="71"/>
      <x:c r="G363" s="71"/>
      <x:c r="H363" s="71"/>
      <x:c r="I363" s="61"/>
      <x:c r="J363" s="66"/>
      <x:c r="K363" s="61"/>
      <x:c r="L363" s="77"/>
      <x:c r="M363" s="50"/>
      <x:c r="N363" s="71"/>
      <x:c r="O363" s="43"/>
    </x:row>
    <x:row r="364">
      <x:c r="A364" s="56"/>
      <x:c r="B364" s="61"/>
      <x:c r="C364" s="61"/>
      <x:c r="D364" s="61"/>
      <x:c r="E364" s="66"/>
      <x:c r="F364" s="72"/>
      <x:c r="G364" s="72"/>
      <x:c r="H364" s="72"/>
      <x:c r="I364" s="61"/>
      <x:c r="J364" s="66"/>
      <x:c r="K364" s="61"/>
      <x:c r="L364" s="77"/>
      <x:c r="M364" s="51"/>
      <x:c r="N364" s="72"/>
      <x:c r="O364" s="48"/>
    </x:row>
    <x:row r="365">
      <x:c r="A365" s="56"/>
      <x:c r="B365" s="61"/>
      <x:c r="C365" s="61"/>
      <x:c r="D365" s="61"/>
      <x:c r="E365" s="66"/>
      <x:c r="F365" s="71"/>
      <x:c r="G365" s="71"/>
      <x:c r="H365" s="71"/>
      <x:c r="I365" s="61"/>
      <x:c r="J365" s="66"/>
      <x:c r="K365" s="61"/>
      <x:c r="L365" s="77"/>
      <x:c r="M365" s="50"/>
      <x:c r="N365" s="71"/>
      <x:c r="O365" s="43"/>
    </x:row>
    <x:row r="366">
      <x:c r="A366" s="56"/>
      <x:c r="B366" s="61"/>
      <x:c r="C366" s="61"/>
      <x:c r="D366" s="61"/>
      <x:c r="E366" s="66"/>
      <x:c r="F366" s="72"/>
      <x:c r="G366" s="72"/>
      <x:c r="H366" s="72"/>
      <x:c r="I366" s="61"/>
      <x:c r="J366" s="66"/>
      <x:c r="K366" s="61"/>
      <x:c r="L366" s="77"/>
      <x:c r="M366" s="51"/>
      <x:c r="N366" s="72"/>
      <x:c r="O366" s="48"/>
    </x:row>
    <x:row r="367">
      <x:c r="A367" s="56"/>
      <x:c r="B367" s="61"/>
      <x:c r="C367" s="61"/>
      <x:c r="D367" s="61"/>
      <x:c r="E367" s="66"/>
      <x:c r="F367" s="71"/>
      <x:c r="G367" s="71"/>
      <x:c r="H367" s="71"/>
      <x:c r="I367" s="61"/>
      <x:c r="J367" s="66"/>
      <x:c r="K367" s="61"/>
      <x:c r="L367" s="77"/>
      <x:c r="M367" s="50"/>
      <x:c r="N367" s="71"/>
      <x:c r="O367" s="43"/>
    </x:row>
    <x:row r="368">
      <x:c r="A368" s="56"/>
      <x:c r="B368" s="61"/>
      <x:c r="C368" s="61"/>
      <x:c r="D368" s="61"/>
      <x:c r="E368" s="66"/>
      <x:c r="F368" s="72"/>
      <x:c r="G368" s="72"/>
      <x:c r="H368" s="72"/>
      <x:c r="I368" s="61"/>
      <x:c r="J368" s="66"/>
      <x:c r="K368" s="61"/>
      <x:c r="L368" s="77"/>
      <x:c r="M368" s="51"/>
      <x:c r="N368" s="72"/>
      <x:c r="O368" s="48"/>
    </x:row>
    <x:row r="369">
      <x:c r="A369" s="56"/>
      <x:c r="B369" s="61"/>
      <x:c r="C369" s="61"/>
      <x:c r="D369" s="61"/>
      <x:c r="E369" s="66"/>
      <x:c r="F369" s="71"/>
      <x:c r="G369" s="71"/>
      <x:c r="H369" s="71"/>
      <x:c r="I369" s="61"/>
      <x:c r="J369" s="66"/>
      <x:c r="K369" s="61"/>
      <x:c r="L369" s="77"/>
      <x:c r="M369" s="50"/>
      <x:c r="N369" s="71"/>
      <x:c r="O369" s="43"/>
    </x:row>
    <x:row r="370">
      <x:c r="A370" s="56"/>
      <x:c r="B370" s="61"/>
      <x:c r="C370" s="61"/>
      <x:c r="D370" s="61"/>
      <x:c r="E370" s="66"/>
      <x:c r="F370" s="72"/>
      <x:c r="G370" s="72"/>
      <x:c r="H370" s="72"/>
      <x:c r="I370" s="61"/>
      <x:c r="J370" s="66"/>
      <x:c r="K370" s="61"/>
      <x:c r="L370" s="77"/>
      <x:c r="M370" s="51"/>
      <x:c r="N370" s="72"/>
      <x:c r="O370" s="48"/>
    </x:row>
    <x:row r="371">
      <x:c r="A371" s="56"/>
      <x:c r="B371" s="61"/>
      <x:c r="C371" s="61"/>
      <x:c r="D371" s="61"/>
      <x:c r="E371" s="66"/>
      <x:c r="F371" s="71"/>
      <x:c r="G371" s="71"/>
      <x:c r="H371" s="71"/>
      <x:c r="I371" s="61"/>
      <x:c r="J371" s="66"/>
      <x:c r="K371" s="61"/>
      <x:c r="L371" s="77"/>
      <x:c r="M371" s="50"/>
      <x:c r="N371" s="71"/>
      <x:c r="O371" s="43"/>
    </x:row>
    <x:row r="372">
      <x:c r="A372" s="56"/>
      <x:c r="B372" s="61"/>
      <x:c r="C372" s="61"/>
      <x:c r="D372" s="61"/>
      <x:c r="E372" s="66"/>
      <x:c r="F372" s="72"/>
      <x:c r="G372" s="72"/>
      <x:c r="H372" s="72"/>
      <x:c r="I372" s="61"/>
      <x:c r="J372" s="66"/>
      <x:c r="K372" s="61"/>
      <x:c r="L372" s="77"/>
      <x:c r="M372" s="51"/>
      <x:c r="N372" s="72"/>
      <x:c r="O372" s="48"/>
    </x:row>
    <x:row r="373">
      <x:c r="A373" s="56"/>
      <x:c r="B373" s="61"/>
      <x:c r="C373" s="61"/>
      <x:c r="D373" s="61"/>
      <x:c r="E373" s="66"/>
      <x:c r="F373" s="71"/>
      <x:c r="G373" s="71"/>
      <x:c r="H373" s="71"/>
      <x:c r="I373" s="61"/>
      <x:c r="J373" s="66"/>
      <x:c r="K373" s="61"/>
      <x:c r="L373" s="77"/>
      <x:c r="M373" s="50"/>
      <x:c r="N373" s="71"/>
      <x:c r="O373" s="43"/>
    </x:row>
    <x:row r="374">
      <x:c r="A374" s="56"/>
      <x:c r="B374" s="61"/>
      <x:c r="C374" s="61"/>
      <x:c r="D374" s="61"/>
      <x:c r="E374" s="66"/>
      <x:c r="F374" s="72"/>
      <x:c r="G374" s="72"/>
      <x:c r="H374" s="72"/>
      <x:c r="I374" s="61"/>
      <x:c r="J374" s="66"/>
      <x:c r="K374" s="61"/>
      <x:c r="L374" s="77"/>
      <x:c r="M374" s="51"/>
      <x:c r="N374" s="72"/>
      <x:c r="O374" s="48"/>
    </x:row>
    <x:row r="375">
      <x:c r="A375" s="56"/>
      <x:c r="B375" s="61"/>
      <x:c r="C375" s="61"/>
      <x:c r="D375" s="61"/>
      <x:c r="E375" s="66"/>
      <x:c r="F375" s="71"/>
      <x:c r="G375" s="71"/>
      <x:c r="H375" s="71"/>
      <x:c r="I375" s="61"/>
      <x:c r="J375" s="66"/>
      <x:c r="K375" s="61"/>
      <x:c r="L375" s="77"/>
      <x:c r="M375" s="50"/>
      <x:c r="N375" s="71"/>
      <x:c r="O375" s="43"/>
    </x:row>
    <x:row r="376">
      <x:c r="A376" s="56"/>
      <x:c r="B376" s="61"/>
      <x:c r="C376" s="61"/>
      <x:c r="D376" s="61"/>
      <x:c r="E376" s="66"/>
      <x:c r="F376" s="72"/>
      <x:c r="G376" s="72"/>
      <x:c r="H376" s="72"/>
      <x:c r="I376" s="61"/>
      <x:c r="J376" s="66"/>
      <x:c r="K376" s="61"/>
      <x:c r="L376" s="77"/>
      <x:c r="M376" s="51"/>
      <x:c r="N376" s="72"/>
      <x:c r="O376" s="48"/>
    </x:row>
    <x:row r="377">
      <x:c r="A377" s="56"/>
      <x:c r="B377" s="61"/>
      <x:c r="C377" s="61"/>
      <x:c r="D377" s="61"/>
      <x:c r="E377" s="66"/>
      <x:c r="F377" s="71"/>
      <x:c r="G377" s="71"/>
      <x:c r="H377" s="71"/>
      <x:c r="I377" s="61"/>
      <x:c r="J377" s="66"/>
      <x:c r="K377" s="61"/>
      <x:c r="L377" s="77"/>
      <x:c r="M377" s="50"/>
      <x:c r="N377" s="71"/>
      <x:c r="O377" s="43"/>
    </x:row>
    <x:row r="378">
      <x:c r="A378" s="56"/>
      <x:c r="B378" s="61"/>
      <x:c r="C378" s="61"/>
      <x:c r="D378" s="61"/>
      <x:c r="E378" s="66"/>
      <x:c r="F378" s="72"/>
      <x:c r="G378" s="72"/>
      <x:c r="H378" s="72"/>
      <x:c r="I378" s="61"/>
      <x:c r="J378" s="66"/>
      <x:c r="K378" s="61"/>
      <x:c r="L378" s="77"/>
      <x:c r="M378" s="51"/>
      <x:c r="N378" s="72"/>
      <x:c r="O378" s="48"/>
    </x:row>
    <x:row r="379">
      <x:c r="A379" s="56"/>
      <x:c r="B379" s="61"/>
      <x:c r="C379" s="61"/>
      <x:c r="D379" s="61"/>
      <x:c r="E379" s="66"/>
      <x:c r="F379" s="71"/>
      <x:c r="G379" s="71"/>
      <x:c r="H379" s="71"/>
      <x:c r="I379" s="61"/>
      <x:c r="J379" s="66"/>
      <x:c r="K379" s="61"/>
      <x:c r="L379" s="77"/>
      <x:c r="M379" s="50"/>
      <x:c r="N379" s="71"/>
      <x:c r="O379" s="43"/>
    </x:row>
    <x:row r="380">
      <x:c r="A380" s="56"/>
      <x:c r="B380" s="61"/>
      <x:c r="C380" s="61"/>
      <x:c r="D380" s="61"/>
      <x:c r="E380" s="66"/>
      <x:c r="F380" s="72"/>
      <x:c r="G380" s="72"/>
      <x:c r="H380" s="72"/>
      <x:c r="I380" s="61"/>
      <x:c r="J380" s="66"/>
      <x:c r="K380" s="61"/>
      <x:c r="L380" s="77"/>
      <x:c r="M380" s="51"/>
      <x:c r="N380" s="72"/>
      <x:c r="O380" s="48"/>
    </x:row>
    <x:row r="381">
      <x:c r="A381" s="56"/>
      <x:c r="B381" s="61"/>
      <x:c r="C381" s="61"/>
      <x:c r="D381" s="61"/>
      <x:c r="E381" s="66"/>
      <x:c r="F381" s="71"/>
      <x:c r="G381" s="71"/>
      <x:c r="H381" s="71"/>
      <x:c r="I381" s="61"/>
      <x:c r="J381" s="66"/>
      <x:c r="K381" s="61"/>
      <x:c r="L381" s="77"/>
      <x:c r="M381" s="50"/>
      <x:c r="N381" s="71"/>
      <x:c r="O381" s="43"/>
    </x:row>
    <x:row r="382">
      <x:c r="A382" s="56"/>
      <x:c r="B382" s="61"/>
      <x:c r="C382" s="61"/>
      <x:c r="D382" s="61"/>
      <x:c r="E382" s="66"/>
      <x:c r="F382" s="72"/>
      <x:c r="G382" s="72"/>
      <x:c r="H382" s="72"/>
      <x:c r="I382" s="61"/>
      <x:c r="J382" s="66"/>
      <x:c r="K382" s="61"/>
      <x:c r="L382" s="77"/>
      <x:c r="M382" s="51"/>
      <x:c r="N382" s="72"/>
      <x:c r="O382" s="48"/>
    </x:row>
    <x:row r="383">
      <x:c r="A383" s="56"/>
      <x:c r="B383" s="61"/>
      <x:c r="C383" s="61"/>
      <x:c r="D383" s="61"/>
      <x:c r="E383" s="66"/>
      <x:c r="F383" s="71"/>
      <x:c r="G383" s="71"/>
      <x:c r="H383" s="71"/>
      <x:c r="I383" s="61"/>
      <x:c r="J383" s="66"/>
      <x:c r="K383" s="61"/>
      <x:c r="L383" s="77"/>
      <x:c r="M383" s="50"/>
      <x:c r="N383" s="71"/>
      <x:c r="O383" s="43"/>
    </x:row>
    <x:row r="384">
      <x:c r="A384" s="56"/>
      <x:c r="B384" s="61"/>
      <x:c r="C384" s="61"/>
      <x:c r="D384" s="61"/>
      <x:c r="E384" s="66"/>
      <x:c r="F384" s="72"/>
      <x:c r="G384" s="72"/>
      <x:c r="H384" s="72"/>
      <x:c r="I384" s="61"/>
      <x:c r="J384" s="66"/>
      <x:c r="K384" s="61"/>
      <x:c r="L384" s="77"/>
      <x:c r="M384" s="51"/>
      <x:c r="N384" s="72"/>
      <x:c r="O384" s="48"/>
    </x:row>
    <x:row r="385">
      <x:c r="A385" s="56"/>
      <x:c r="B385" s="61"/>
      <x:c r="C385" s="61"/>
      <x:c r="D385" s="61"/>
      <x:c r="E385" s="66"/>
      <x:c r="F385" s="71"/>
      <x:c r="G385" s="71"/>
      <x:c r="H385" s="71"/>
      <x:c r="I385" s="61"/>
      <x:c r="J385" s="66"/>
      <x:c r="K385" s="61"/>
      <x:c r="L385" s="77"/>
      <x:c r="M385" s="50"/>
      <x:c r="N385" s="71"/>
      <x:c r="O385" s="43"/>
    </x:row>
    <x:row r="386">
      <x:c r="A386" s="56"/>
      <x:c r="B386" s="61"/>
      <x:c r="C386" s="61"/>
      <x:c r="D386" s="61"/>
      <x:c r="E386" s="66"/>
      <x:c r="F386" s="72"/>
      <x:c r="G386" s="72"/>
      <x:c r="H386" s="72"/>
      <x:c r="I386" s="61"/>
      <x:c r="J386" s="66"/>
      <x:c r="K386" s="61"/>
      <x:c r="L386" s="77"/>
      <x:c r="M386" s="51"/>
      <x:c r="N386" s="72"/>
      <x:c r="O386" s="48"/>
    </x:row>
    <x:row r="387">
      <x:c r="A387" s="56"/>
      <x:c r="B387" s="61"/>
      <x:c r="C387" s="61"/>
      <x:c r="D387" s="61"/>
      <x:c r="E387" s="66"/>
      <x:c r="F387" s="71"/>
      <x:c r="G387" s="71"/>
      <x:c r="H387" s="71"/>
      <x:c r="I387" s="61"/>
      <x:c r="J387" s="66"/>
      <x:c r="K387" s="61"/>
      <x:c r="L387" s="77"/>
      <x:c r="M387" s="50"/>
      <x:c r="N387" s="71"/>
      <x:c r="O387" s="43"/>
    </x:row>
    <x:row r="388">
      <x:c r="A388" s="56"/>
      <x:c r="B388" s="61"/>
      <x:c r="C388" s="61"/>
      <x:c r="D388" s="61"/>
      <x:c r="E388" s="66"/>
      <x:c r="F388" s="72"/>
      <x:c r="G388" s="72"/>
      <x:c r="H388" s="72"/>
      <x:c r="I388" s="61"/>
      <x:c r="J388" s="66"/>
      <x:c r="K388" s="61"/>
      <x:c r="L388" s="77"/>
      <x:c r="M388" s="51"/>
      <x:c r="N388" s="72"/>
      <x:c r="O388" s="48"/>
    </x:row>
    <x:row r="389">
      <x:c r="A389" s="56"/>
      <x:c r="B389" s="61"/>
      <x:c r="C389" s="61"/>
      <x:c r="D389" s="61"/>
      <x:c r="E389" s="66"/>
      <x:c r="F389" s="71"/>
      <x:c r="G389" s="71"/>
      <x:c r="H389" s="71"/>
      <x:c r="I389" s="61"/>
      <x:c r="J389" s="66"/>
      <x:c r="K389" s="61"/>
      <x:c r="L389" s="77"/>
      <x:c r="M389" s="50"/>
      <x:c r="N389" s="71"/>
      <x:c r="O389" s="43"/>
    </x:row>
    <x:row r="390">
      <x:c r="A390" s="56"/>
      <x:c r="B390" s="61"/>
      <x:c r="C390" s="61"/>
      <x:c r="D390" s="61"/>
      <x:c r="E390" s="66"/>
      <x:c r="F390" s="72"/>
      <x:c r="G390" s="72"/>
      <x:c r="H390" s="72"/>
      <x:c r="I390" s="61"/>
      <x:c r="J390" s="66"/>
      <x:c r="K390" s="61"/>
      <x:c r="L390" s="77"/>
      <x:c r="M390" s="51"/>
      <x:c r="N390" s="72"/>
      <x:c r="O390" s="48"/>
    </x:row>
    <x:row r="391">
      <x:c r="A391" s="56"/>
      <x:c r="B391" s="61"/>
      <x:c r="C391" s="61"/>
      <x:c r="D391" s="61"/>
      <x:c r="E391" s="66"/>
      <x:c r="F391" s="71"/>
      <x:c r="G391" s="71"/>
      <x:c r="H391" s="71"/>
      <x:c r="I391" s="61"/>
      <x:c r="J391" s="66"/>
      <x:c r="K391" s="61"/>
      <x:c r="L391" s="77"/>
      <x:c r="M391" s="50"/>
      <x:c r="N391" s="71"/>
      <x:c r="O391" s="43"/>
    </x:row>
    <x:row r="392">
      <x:c r="A392" s="56"/>
      <x:c r="B392" s="61"/>
      <x:c r="C392" s="61"/>
      <x:c r="D392" s="61"/>
      <x:c r="E392" s="66"/>
      <x:c r="F392" s="72"/>
      <x:c r="G392" s="72"/>
      <x:c r="H392" s="72"/>
      <x:c r="I392" s="61"/>
      <x:c r="J392" s="66"/>
      <x:c r="K392" s="61"/>
      <x:c r="L392" s="77"/>
      <x:c r="M392" s="51"/>
      <x:c r="N392" s="72"/>
      <x:c r="O392" s="48"/>
    </x:row>
    <x:row r="393">
      <x:c r="A393" s="56"/>
      <x:c r="B393" s="61"/>
      <x:c r="C393" s="61"/>
      <x:c r="D393" s="61"/>
      <x:c r="E393" s="66"/>
      <x:c r="F393" s="71"/>
      <x:c r="G393" s="71"/>
      <x:c r="H393" s="71"/>
      <x:c r="I393" s="61"/>
      <x:c r="J393" s="66"/>
      <x:c r="K393" s="61"/>
      <x:c r="L393" s="77"/>
      <x:c r="M393" s="50"/>
      <x:c r="N393" s="71"/>
      <x:c r="O393" s="43"/>
    </x:row>
    <x:row r="394">
      <x:c r="A394" s="56"/>
      <x:c r="B394" s="61"/>
      <x:c r="C394" s="61"/>
      <x:c r="D394" s="61"/>
      <x:c r="E394" s="66"/>
      <x:c r="F394" s="72"/>
      <x:c r="G394" s="72"/>
      <x:c r="H394" s="72"/>
      <x:c r="I394" s="61"/>
      <x:c r="J394" s="66"/>
      <x:c r="K394" s="61"/>
      <x:c r="L394" s="77"/>
      <x:c r="M394" s="51"/>
      <x:c r="N394" s="72"/>
      <x:c r="O394" s="48"/>
    </x:row>
    <x:row r="395">
      <x:c r="A395" s="56"/>
      <x:c r="B395" s="61"/>
      <x:c r="C395" s="61"/>
      <x:c r="D395" s="61"/>
      <x:c r="E395" s="66"/>
      <x:c r="F395" s="71"/>
      <x:c r="G395" s="71"/>
      <x:c r="H395" s="71"/>
      <x:c r="I395" s="61"/>
      <x:c r="J395" s="66"/>
      <x:c r="K395" s="61"/>
      <x:c r="L395" s="77"/>
      <x:c r="M395" s="50"/>
      <x:c r="N395" s="71"/>
      <x:c r="O395" s="43"/>
    </x:row>
    <x:row r="396">
      <x:c r="A396" s="56"/>
      <x:c r="B396" s="61"/>
      <x:c r="C396" s="61"/>
      <x:c r="D396" s="61"/>
      <x:c r="E396" s="66"/>
      <x:c r="F396" s="72"/>
      <x:c r="G396" s="72"/>
      <x:c r="H396" s="72"/>
      <x:c r="I396" s="61"/>
      <x:c r="J396" s="66"/>
      <x:c r="K396" s="61"/>
      <x:c r="L396" s="77"/>
      <x:c r="M396" s="51"/>
      <x:c r="N396" s="72"/>
      <x:c r="O396" s="48"/>
    </x:row>
    <x:row r="397">
      <x:c r="A397" s="56"/>
      <x:c r="B397" s="61"/>
      <x:c r="C397" s="61"/>
      <x:c r="D397" s="61"/>
      <x:c r="E397" s="66"/>
      <x:c r="F397" s="71"/>
      <x:c r="G397" s="71"/>
      <x:c r="H397" s="71"/>
      <x:c r="I397" s="61"/>
      <x:c r="J397" s="66"/>
      <x:c r="K397" s="61"/>
      <x:c r="L397" s="77"/>
      <x:c r="M397" s="50"/>
      <x:c r="N397" s="71"/>
      <x:c r="O397" s="43"/>
    </x:row>
    <x:row r="398">
      <x:c r="A398" s="56"/>
      <x:c r="B398" s="61"/>
      <x:c r="C398" s="61"/>
      <x:c r="D398" s="61"/>
      <x:c r="E398" s="66"/>
      <x:c r="F398" s="72"/>
      <x:c r="G398" s="72"/>
      <x:c r="H398" s="72"/>
      <x:c r="I398" s="61"/>
      <x:c r="J398" s="66"/>
      <x:c r="K398" s="61"/>
      <x:c r="L398" s="77"/>
      <x:c r="M398" s="51"/>
      <x:c r="N398" s="72"/>
      <x:c r="O398" s="48"/>
    </x:row>
    <x:row r="399">
      <x:c r="A399" s="56"/>
      <x:c r="B399" s="61"/>
      <x:c r="C399" s="61"/>
      <x:c r="D399" s="61"/>
      <x:c r="E399" s="66"/>
      <x:c r="F399" s="71"/>
      <x:c r="G399" s="71"/>
      <x:c r="H399" s="71"/>
      <x:c r="I399" s="61"/>
      <x:c r="J399" s="66"/>
      <x:c r="K399" s="61"/>
      <x:c r="L399" s="77"/>
      <x:c r="M399" s="50"/>
      <x:c r="N399" s="71"/>
      <x:c r="O399" s="43"/>
    </x:row>
    <x:row r="400">
      <x:c r="A400" s="56"/>
      <x:c r="B400" s="61"/>
      <x:c r="C400" s="61"/>
      <x:c r="D400" s="61"/>
      <x:c r="E400" s="66"/>
      <x:c r="F400" s="72"/>
      <x:c r="G400" s="72"/>
      <x:c r="H400" s="72"/>
      <x:c r="I400" s="61"/>
      <x:c r="J400" s="66"/>
      <x:c r="K400" s="61"/>
      <x:c r="L400" s="77"/>
      <x:c r="M400" s="51"/>
      <x:c r="N400" s="72"/>
      <x:c r="O400" s="48"/>
    </x:row>
    <x:row r="401">
      <x:c r="A401" s="56"/>
      <x:c r="B401" s="61"/>
      <x:c r="C401" s="61"/>
      <x:c r="D401" s="61"/>
      <x:c r="E401" s="66"/>
      <x:c r="F401" s="71"/>
      <x:c r="G401" s="71"/>
      <x:c r="H401" s="71"/>
      <x:c r="I401" s="61"/>
      <x:c r="J401" s="66"/>
      <x:c r="K401" s="61"/>
      <x:c r="L401" s="77"/>
      <x:c r="M401" s="50"/>
      <x:c r="N401" s="71"/>
      <x:c r="O401" s="43"/>
    </x:row>
    <x:row r="402">
      <x:c r="A402" s="56"/>
      <x:c r="B402" s="61"/>
      <x:c r="C402" s="61"/>
      <x:c r="D402" s="61"/>
      <x:c r="E402" s="66"/>
      <x:c r="F402" s="72"/>
      <x:c r="G402" s="72"/>
      <x:c r="H402" s="72"/>
      <x:c r="I402" s="61"/>
      <x:c r="J402" s="66"/>
      <x:c r="K402" s="61"/>
      <x:c r="L402" s="77"/>
      <x:c r="M402" s="51"/>
      <x:c r="N402" s="72"/>
      <x:c r="O402" s="48"/>
    </x:row>
    <x:row r="403">
      <x:c r="A403" s="56"/>
      <x:c r="B403" s="61"/>
      <x:c r="C403" s="61"/>
      <x:c r="D403" s="61"/>
      <x:c r="E403" s="66"/>
      <x:c r="F403" s="71"/>
      <x:c r="G403" s="71"/>
      <x:c r="H403" s="71"/>
      <x:c r="I403" s="61"/>
      <x:c r="J403" s="66"/>
      <x:c r="K403" s="61"/>
      <x:c r="L403" s="77"/>
      <x:c r="M403" s="50"/>
      <x:c r="N403" s="71"/>
      <x:c r="O403" s="43"/>
    </x:row>
    <x:row r="404">
      <x:c r="A404" s="56"/>
      <x:c r="B404" s="61"/>
      <x:c r="C404" s="61"/>
      <x:c r="D404" s="61"/>
      <x:c r="E404" s="66"/>
      <x:c r="F404" s="72"/>
      <x:c r="G404" s="72"/>
      <x:c r="H404" s="72"/>
      <x:c r="I404" s="61"/>
      <x:c r="J404" s="66"/>
      <x:c r="K404" s="61"/>
      <x:c r="L404" s="77"/>
      <x:c r="M404" s="51"/>
      <x:c r="N404" s="72"/>
      <x:c r="O404" s="48"/>
    </x:row>
    <x:row r="405">
      <x:c r="A405" s="56"/>
      <x:c r="B405" s="61"/>
      <x:c r="C405" s="61"/>
      <x:c r="D405" s="61"/>
      <x:c r="E405" s="66"/>
      <x:c r="F405" s="71"/>
      <x:c r="G405" s="71"/>
      <x:c r="H405" s="71"/>
      <x:c r="I405" s="61"/>
      <x:c r="J405" s="66"/>
      <x:c r="K405" s="61"/>
      <x:c r="L405" s="77"/>
      <x:c r="M405" s="50"/>
      <x:c r="N405" s="71"/>
      <x:c r="O405" s="43"/>
    </x:row>
    <x:row r="406">
      <x:c r="A406" s="56"/>
      <x:c r="B406" s="61"/>
      <x:c r="C406" s="61"/>
      <x:c r="D406" s="61"/>
      <x:c r="E406" s="66"/>
      <x:c r="F406" s="72"/>
      <x:c r="G406" s="72"/>
      <x:c r="H406" s="72"/>
      <x:c r="I406" s="61"/>
      <x:c r="J406" s="66"/>
      <x:c r="K406" s="61"/>
      <x:c r="L406" s="77"/>
      <x:c r="M406" s="51"/>
      <x:c r="N406" s="72"/>
      <x:c r="O406" s="48"/>
    </x:row>
    <x:row r="407">
      <x:c r="A407" s="56"/>
      <x:c r="B407" s="61"/>
      <x:c r="C407" s="61"/>
      <x:c r="D407" s="61"/>
      <x:c r="E407" s="66"/>
      <x:c r="F407" s="71"/>
      <x:c r="G407" s="71"/>
      <x:c r="H407" s="71"/>
      <x:c r="I407" s="61"/>
      <x:c r="J407" s="66"/>
      <x:c r="K407" s="61"/>
      <x:c r="L407" s="77"/>
      <x:c r="M407" s="50"/>
      <x:c r="N407" s="71"/>
      <x:c r="O407" s="43"/>
    </x:row>
    <x:row r="408">
      <x:c r="A408" s="56"/>
      <x:c r="B408" s="61"/>
      <x:c r="C408" s="61"/>
      <x:c r="D408" s="61"/>
      <x:c r="E408" s="66"/>
      <x:c r="F408" s="72"/>
      <x:c r="G408" s="72"/>
      <x:c r="H408" s="72"/>
      <x:c r="I408" s="61"/>
      <x:c r="J408" s="66"/>
      <x:c r="K408" s="61"/>
      <x:c r="L408" s="77"/>
      <x:c r="M408" s="51"/>
      <x:c r="N408" s="72"/>
      <x:c r="O408" s="48"/>
    </x:row>
    <x:row r="409">
      <x:c r="A409" s="56"/>
      <x:c r="B409" s="61"/>
      <x:c r="C409" s="61"/>
      <x:c r="D409" s="61"/>
      <x:c r="E409" s="66"/>
      <x:c r="F409" s="71"/>
      <x:c r="G409" s="71"/>
      <x:c r="H409" s="71"/>
      <x:c r="I409" s="61"/>
      <x:c r="J409" s="66"/>
      <x:c r="K409" s="61"/>
      <x:c r="L409" s="77"/>
      <x:c r="M409" s="50"/>
      <x:c r="N409" s="71"/>
      <x:c r="O409" s="43"/>
    </x:row>
    <x:row r="410">
      <x:c r="A410" s="56"/>
      <x:c r="B410" s="61"/>
      <x:c r="C410" s="61"/>
      <x:c r="D410" s="61"/>
      <x:c r="E410" s="66"/>
      <x:c r="F410" s="72"/>
      <x:c r="G410" s="72"/>
      <x:c r="H410" s="72"/>
      <x:c r="I410" s="61"/>
      <x:c r="J410" s="66"/>
      <x:c r="K410" s="61"/>
      <x:c r="L410" s="77"/>
      <x:c r="M410" s="51"/>
      <x:c r="N410" s="72"/>
      <x:c r="O410" s="48"/>
    </x:row>
    <x:row r="411">
      <x:c r="A411" s="56"/>
      <x:c r="B411" s="61"/>
      <x:c r="C411" s="61"/>
      <x:c r="D411" s="61"/>
      <x:c r="E411" s="66"/>
      <x:c r="F411" s="71"/>
      <x:c r="G411" s="71"/>
      <x:c r="H411" s="71"/>
      <x:c r="I411" s="61"/>
      <x:c r="J411" s="66"/>
      <x:c r="K411" s="61"/>
      <x:c r="L411" s="77"/>
      <x:c r="M411" s="50"/>
      <x:c r="N411" s="71"/>
      <x:c r="O411" s="43"/>
    </x:row>
    <x:row r="412">
      <x:c r="A412" s="56"/>
      <x:c r="B412" s="61"/>
      <x:c r="C412" s="61"/>
      <x:c r="D412" s="61"/>
      <x:c r="E412" s="66"/>
      <x:c r="F412" s="72"/>
      <x:c r="G412" s="72"/>
      <x:c r="H412" s="72"/>
      <x:c r="I412" s="61"/>
      <x:c r="J412" s="66"/>
      <x:c r="K412" s="61"/>
      <x:c r="L412" s="77"/>
      <x:c r="M412" s="51"/>
      <x:c r="N412" s="72"/>
      <x:c r="O412" s="48"/>
    </x:row>
    <x:row r="413">
      <x:c r="A413" s="56"/>
      <x:c r="B413" s="61"/>
      <x:c r="C413" s="61"/>
      <x:c r="D413" s="61"/>
      <x:c r="E413" s="66"/>
      <x:c r="F413" s="71"/>
      <x:c r="G413" s="71"/>
      <x:c r="H413" s="71"/>
      <x:c r="I413" s="61"/>
      <x:c r="J413" s="66"/>
      <x:c r="K413" s="61"/>
      <x:c r="L413" s="77"/>
      <x:c r="M413" s="50"/>
      <x:c r="N413" s="71"/>
      <x:c r="O413" s="43"/>
    </x:row>
    <x:row r="414">
      <x:c r="A414" s="56"/>
      <x:c r="B414" s="61"/>
      <x:c r="C414" s="61"/>
      <x:c r="D414" s="61"/>
      <x:c r="E414" s="66"/>
      <x:c r="F414" s="72"/>
      <x:c r="G414" s="72"/>
      <x:c r="H414" s="72"/>
      <x:c r="I414" s="61"/>
      <x:c r="J414" s="66"/>
      <x:c r="K414" s="61"/>
      <x:c r="L414" s="77"/>
      <x:c r="M414" s="51"/>
      <x:c r="N414" s="72"/>
      <x:c r="O414" s="48"/>
    </x:row>
    <x:row r="415">
      <x:c r="A415" s="56"/>
      <x:c r="B415" s="61"/>
      <x:c r="C415" s="61"/>
      <x:c r="D415" s="61"/>
      <x:c r="E415" s="66"/>
      <x:c r="F415" s="71"/>
      <x:c r="G415" s="71"/>
      <x:c r="H415" s="71"/>
      <x:c r="I415" s="61"/>
      <x:c r="J415" s="66"/>
      <x:c r="K415" s="61"/>
      <x:c r="L415" s="77"/>
      <x:c r="M415" s="50"/>
      <x:c r="N415" s="71"/>
      <x:c r="O415" s="43"/>
    </x:row>
    <x:row r="416">
      <x:c r="A416" s="56"/>
      <x:c r="B416" s="61"/>
      <x:c r="C416" s="61"/>
      <x:c r="D416" s="61"/>
      <x:c r="E416" s="66"/>
      <x:c r="F416" s="72"/>
      <x:c r="G416" s="72"/>
      <x:c r="H416" s="72"/>
      <x:c r="I416" s="61"/>
      <x:c r="J416" s="66"/>
      <x:c r="K416" s="61"/>
      <x:c r="L416" s="77"/>
      <x:c r="M416" s="51"/>
      <x:c r="N416" s="72"/>
      <x:c r="O416" s="48"/>
    </x:row>
    <x:row r="417">
      <x:c r="A417" s="56"/>
      <x:c r="B417" s="61"/>
      <x:c r="C417" s="61"/>
      <x:c r="D417" s="61"/>
      <x:c r="E417" s="66"/>
      <x:c r="F417" s="71"/>
      <x:c r="G417" s="71"/>
      <x:c r="H417" s="71"/>
      <x:c r="I417" s="61"/>
      <x:c r="J417" s="66"/>
      <x:c r="K417" s="61"/>
      <x:c r="L417" s="77"/>
      <x:c r="M417" s="50"/>
      <x:c r="N417" s="71"/>
      <x:c r="O417" s="43"/>
    </x:row>
    <x:row r="418">
      <x:c r="A418" s="56"/>
      <x:c r="B418" s="61"/>
      <x:c r="C418" s="61"/>
      <x:c r="D418" s="61"/>
      <x:c r="E418" s="66"/>
      <x:c r="F418" s="72"/>
      <x:c r="G418" s="72"/>
      <x:c r="H418" s="72"/>
      <x:c r="I418" s="61"/>
      <x:c r="J418" s="66"/>
      <x:c r="K418" s="61"/>
      <x:c r="L418" s="77"/>
      <x:c r="M418" s="51"/>
      <x:c r="N418" s="72"/>
      <x:c r="O418" s="48"/>
    </x:row>
    <x:row r="419">
      <x:c r="A419" s="56"/>
      <x:c r="B419" s="61"/>
      <x:c r="C419" s="61"/>
      <x:c r="D419" s="61"/>
      <x:c r="E419" s="66"/>
      <x:c r="F419" s="71"/>
      <x:c r="G419" s="71"/>
      <x:c r="H419" s="71"/>
      <x:c r="I419" s="61"/>
      <x:c r="J419" s="66"/>
      <x:c r="K419" s="61"/>
      <x:c r="L419" s="77"/>
      <x:c r="M419" s="50"/>
      <x:c r="N419" s="71"/>
      <x:c r="O419" s="43"/>
    </x:row>
    <x:row r="420">
      <x:c r="A420" s="56"/>
      <x:c r="B420" s="61"/>
      <x:c r="C420" s="61"/>
      <x:c r="D420" s="61"/>
      <x:c r="E420" s="66"/>
      <x:c r="F420" s="72"/>
      <x:c r="G420" s="72"/>
      <x:c r="H420" s="72"/>
      <x:c r="I420" s="61"/>
      <x:c r="J420" s="66"/>
      <x:c r="K420" s="61"/>
      <x:c r="L420" s="77"/>
      <x:c r="M420" s="51"/>
      <x:c r="N420" s="72"/>
      <x:c r="O420" s="48"/>
    </x:row>
    <x:row r="421">
      <x:c r="A421" s="56"/>
      <x:c r="B421" s="61"/>
      <x:c r="C421" s="61"/>
      <x:c r="D421" s="61"/>
      <x:c r="E421" s="66"/>
      <x:c r="F421" s="71"/>
      <x:c r="G421" s="71"/>
      <x:c r="H421" s="71"/>
      <x:c r="I421" s="61"/>
      <x:c r="J421" s="66"/>
      <x:c r="K421" s="61"/>
      <x:c r="L421" s="77"/>
      <x:c r="M421" s="50"/>
      <x:c r="N421" s="71"/>
      <x:c r="O421" s="43"/>
    </x:row>
    <x:row r="422">
      <x:c r="A422" s="56"/>
      <x:c r="B422" s="61"/>
      <x:c r="C422" s="61"/>
      <x:c r="D422" s="61"/>
      <x:c r="E422" s="66"/>
      <x:c r="F422" s="72"/>
      <x:c r="G422" s="72"/>
      <x:c r="H422" s="72"/>
      <x:c r="I422" s="61"/>
      <x:c r="J422" s="66"/>
      <x:c r="K422" s="61"/>
      <x:c r="L422" s="77"/>
      <x:c r="M422" s="51"/>
      <x:c r="N422" s="72"/>
      <x:c r="O422" s="48"/>
    </x:row>
    <x:row r="423">
      <x:c r="A423" s="56"/>
      <x:c r="B423" s="61"/>
      <x:c r="C423" s="61"/>
      <x:c r="D423" s="61"/>
      <x:c r="E423" s="66"/>
      <x:c r="F423" s="71"/>
      <x:c r="G423" s="71"/>
      <x:c r="H423" s="71"/>
      <x:c r="I423" s="61"/>
      <x:c r="J423" s="66"/>
      <x:c r="K423" s="61"/>
      <x:c r="L423" s="77"/>
      <x:c r="M423" s="50"/>
      <x:c r="N423" s="71"/>
      <x:c r="O423" s="43"/>
    </x:row>
    <x:row r="424">
      <x:c r="A424" s="56"/>
      <x:c r="B424" s="61"/>
      <x:c r="C424" s="61"/>
      <x:c r="D424" s="61"/>
      <x:c r="E424" s="66"/>
      <x:c r="F424" s="72"/>
      <x:c r="G424" s="72"/>
      <x:c r="H424" s="72"/>
      <x:c r="I424" s="61"/>
      <x:c r="J424" s="66"/>
      <x:c r="K424" s="61"/>
      <x:c r="L424" s="77"/>
      <x:c r="M424" s="51"/>
      <x:c r="N424" s="72"/>
      <x:c r="O424" s="48"/>
    </x:row>
    <x:row r="425">
      <x:c r="A425" s="56"/>
      <x:c r="B425" s="61"/>
      <x:c r="C425" s="61"/>
      <x:c r="D425" s="61"/>
      <x:c r="E425" s="66"/>
      <x:c r="F425" s="71"/>
      <x:c r="G425" s="71"/>
      <x:c r="H425" s="71"/>
      <x:c r="I425" s="61"/>
      <x:c r="J425" s="66"/>
      <x:c r="K425" s="61"/>
      <x:c r="L425" s="77"/>
      <x:c r="M425" s="50"/>
      <x:c r="N425" s="71"/>
      <x:c r="O425" s="43"/>
    </x:row>
    <x:row r="426">
      <x:c r="A426" s="56"/>
      <x:c r="B426" s="61"/>
      <x:c r="C426" s="61"/>
      <x:c r="D426" s="61"/>
      <x:c r="E426" s="66"/>
      <x:c r="F426" s="72"/>
      <x:c r="G426" s="72"/>
      <x:c r="H426" s="72"/>
      <x:c r="I426" s="61"/>
      <x:c r="J426" s="66"/>
      <x:c r="K426" s="61"/>
      <x:c r="L426" s="77"/>
      <x:c r="M426" s="51"/>
      <x:c r="N426" s="72"/>
      <x:c r="O426" s="48"/>
    </x:row>
    <x:row r="427">
      <x:c r="A427" s="56"/>
      <x:c r="B427" s="61"/>
      <x:c r="C427" s="61"/>
      <x:c r="D427" s="61"/>
      <x:c r="E427" s="66"/>
      <x:c r="F427" s="71"/>
      <x:c r="G427" s="71"/>
      <x:c r="H427" s="71"/>
      <x:c r="I427" s="61"/>
      <x:c r="J427" s="66"/>
      <x:c r="K427" s="61"/>
      <x:c r="L427" s="77"/>
      <x:c r="M427" s="50"/>
      <x:c r="N427" s="71"/>
      <x:c r="O427" s="43"/>
    </x:row>
    <x:row r="428">
      <x:c r="A428" s="56"/>
      <x:c r="B428" s="61"/>
      <x:c r="C428" s="61"/>
      <x:c r="D428" s="61"/>
      <x:c r="E428" s="66"/>
      <x:c r="F428" s="72"/>
      <x:c r="G428" s="72"/>
      <x:c r="H428" s="72"/>
      <x:c r="I428" s="61"/>
      <x:c r="J428" s="66"/>
      <x:c r="K428" s="61"/>
      <x:c r="L428" s="77"/>
      <x:c r="M428" s="51"/>
      <x:c r="N428" s="72"/>
      <x:c r="O428" s="48"/>
    </x:row>
    <x:row r="429">
      <x:c r="A429" s="56"/>
      <x:c r="B429" s="61"/>
      <x:c r="C429" s="61"/>
      <x:c r="D429" s="61"/>
      <x:c r="E429" s="66"/>
      <x:c r="F429" s="71"/>
      <x:c r="G429" s="71"/>
      <x:c r="H429" s="71"/>
      <x:c r="I429" s="61"/>
      <x:c r="J429" s="66"/>
      <x:c r="K429" s="61"/>
      <x:c r="L429" s="77"/>
      <x:c r="M429" s="50"/>
      <x:c r="N429" s="71"/>
      <x:c r="O429" s="43"/>
    </x:row>
    <x:row r="430">
      <x:c r="A430" s="56"/>
      <x:c r="B430" s="61"/>
      <x:c r="C430" s="61"/>
      <x:c r="D430" s="61"/>
      <x:c r="E430" s="66"/>
      <x:c r="F430" s="72"/>
      <x:c r="G430" s="72"/>
      <x:c r="H430" s="72"/>
      <x:c r="I430" s="61"/>
      <x:c r="J430" s="66"/>
      <x:c r="K430" s="61"/>
      <x:c r="L430" s="77"/>
      <x:c r="M430" s="51"/>
      <x:c r="N430" s="72"/>
      <x:c r="O430" s="48"/>
    </x:row>
    <x:row r="431">
      <x:c r="A431" s="56"/>
      <x:c r="B431" s="61"/>
      <x:c r="C431" s="61"/>
      <x:c r="D431" s="61"/>
      <x:c r="E431" s="66"/>
      <x:c r="F431" s="71"/>
      <x:c r="G431" s="71"/>
      <x:c r="H431" s="71"/>
      <x:c r="I431" s="61"/>
      <x:c r="J431" s="66"/>
      <x:c r="K431" s="61"/>
      <x:c r="L431" s="77"/>
      <x:c r="M431" s="50"/>
      <x:c r="N431" s="71"/>
      <x:c r="O431" s="43"/>
    </x:row>
    <x:row r="432">
      <x:c r="A432" s="56"/>
      <x:c r="B432" s="61"/>
      <x:c r="C432" s="61"/>
      <x:c r="D432" s="61"/>
      <x:c r="E432" s="66"/>
      <x:c r="F432" s="72"/>
      <x:c r="G432" s="72"/>
      <x:c r="H432" s="72"/>
      <x:c r="I432" s="61"/>
      <x:c r="J432" s="66"/>
      <x:c r="K432" s="61"/>
      <x:c r="L432" s="77"/>
      <x:c r="M432" s="51"/>
      <x:c r="N432" s="72"/>
      <x:c r="O432" s="48"/>
    </x:row>
    <x:row r="433">
      <x:c r="A433" s="56"/>
      <x:c r="B433" s="61"/>
      <x:c r="C433" s="61"/>
      <x:c r="D433" s="61"/>
      <x:c r="E433" s="66"/>
      <x:c r="F433" s="71"/>
      <x:c r="G433" s="71"/>
      <x:c r="H433" s="71"/>
      <x:c r="I433" s="61"/>
      <x:c r="J433" s="66"/>
      <x:c r="K433" s="61"/>
      <x:c r="L433" s="77"/>
      <x:c r="M433" s="50"/>
      <x:c r="N433" s="71"/>
      <x:c r="O433" s="43"/>
    </x:row>
    <x:row r="434">
      <x:c r="A434" s="56"/>
      <x:c r="B434" s="61"/>
      <x:c r="C434" s="61"/>
      <x:c r="D434" s="61"/>
      <x:c r="E434" s="66"/>
      <x:c r="F434" s="72"/>
      <x:c r="G434" s="72"/>
      <x:c r="H434" s="72"/>
      <x:c r="I434" s="61"/>
      <x:c r="J434" s="66"/>
      <x:c r="K434" s="61"/>
      <x:c r="L434" s="77"/>
      <x:c r="M434" s="51"/>
      <x:c r="N434" s="72"/>
      <x:c r="O434" s="48"/>
    </x:row>
    <x:row r="435">
      <x:c r="A435" s="56"/>
      <x:c r="B435" s="61"/>
      <x:c r="C435" s="61"/>
      <x:c r="D435" s="61"/>
      <x:c r="E435" s="66"/>
      <x:c r="F435" s="71"/>
      <x:c r="G435" s="71"/>
      <x:c r="H435" s="71"/>
      <x:c r="I435" s="61"/>
      <x:c r="J435" s="66"/>
      <x:c r="K435" s="61"/>
      <x:c r="L435" s="77"/>
      <x:c r="M435" s="50"/>
      <x:c r="N435" s="71"/>
      <x:c r="O435" s="43"/>
    </x:row>
    <x:row r="436">
      <x:c r="A436" s="56"/>
      <x:c r="B436" s="61"/>
      <x:c r="C436" s="61"/>
      <x:c r="D436" s="61"/>
      <x:c r="E436" s="66"/>
      <x:c r="F436" s="72"/>
      <x:c r="G436" s="72"/>
      <x:c r="H436" s="72"/>
      <x:c r="I436" s="61"/>
      <x:c r="J436" s="66"/>
      <x:c r="K436" s="61"/>
      <x:c r="L436" s="77"/>
      <x:c r="M436" s="51"/>
      <x:c r="N436" s="72"/>
      <x:c r="O436" s="48"/>
    </x:row>
    <x:row r="437">
      <x:c r="A437" s="56"/>
      <x:c r="B437" s="61"/>
      <x:c r="C437" s="61"/>
      <x:c r="D437" s="61"/>
      <x:c r="E437" s="66"/>
      <x:c r="F437" s="71"/>
      <x:c r="G437" s="71"/>
      <x:c r="H437" s="71"/>
      <x:c r="I437" s="61"/>
      <x:c r="J437" s="66"/>
      <x:c r="K437" s="61"/>
      <x:c r="L437" s="77"/>
      <x:c r="M437" s="50"/>
      <x:c r="N437" s="71"/>
      <x:c r="O437" s="43"/>
    </x:row>
    <x:row r="438">
      <x:c r="A438" s="56"/>
      <x:c r="B438" s="61"/>
      <x:c r="C438" s="61"/>
      <x:c r="D438" s="61"/>
      <x:c r="E438" s="66"/>
      <x:c r="F438" s="72"/>
      <x:c r="G438" s="72"/>
      <x:c r="H438" s="72"/>
      <x:c r="I438" s="61"/>
      <x:c r="J438" s="66"/>
      <x:c r="K438" s="61"/>
      <x:c r="L438" s="77"/>
      <x:c r="M438" s="51"/>
      <x:c r="N438" s="72"/>
      <x:c r="O438" s="48"/>
    </x:row>
    <x:row r="439">
      <x:c r="A439" s="56"/>
      <x:c r="B439" s="61"/>
      <x:c r="C439" s="61"/>
      <x:c r="D439" s="61"/>
      <x:c r="E439" s="66"/>
      <x:c r="F439" s="71"/>
      <x:c r="G439" s="71"/>
      <x:c r="H439" s="71"/>
      <x:c r="I439" s="61"/>
      <x:c r="J439" s="66"/>
      <x:c r="K439" s="61"/>
      <x:c r="L439" s="77"/>
      <x:c r="M439" s="50"/>
      <x:c r="N439" s="71"/>
      <x:c r="O439" s="43"/>
    </x:row>
    <x:row r="440">
      <x:c r="A440" s="56"/>
      <x:c r="B440" s="61"/>
      <x:c r="C440" s="61"/>
      <x:c r="D440" s="61"/>
      <x:c r="E440" s="66"/>
      <x:c r="F440" s="72"/>
      <x:c r="G440" s="72"/>
      <x:c r="H440" s="72"/>
      <x:c r="I440" s="61"/>
      <x:c r="J440" s="66"/>
      <x:c r="K440" s="61"/>
      <x:c r="L440" s="77"/>
      <x:c r="M440" s="51"/>
      <x:c r="N440" s="72"/>
      <x:c r="O440" s="48"/>
    </x:row>
    <x:row r="441">
      <x:c r="A441" s="56"/>
      <x:c r="B441" s="61"/>
      <x:c r="C441" s="61"/>
      <x:c r="D441" s="61"/>
      <x:c r="E441" s="66"/>
      <x:c r="F441" s="71"/>
      <x:c r="G441" s="71"/>
      <x:c r="H441" s="71"/>
      <x:c r="I441" s="61"/>
      <x:c r="J441" s="66"/>
      <x:c r="K441" s="61"/>
      <x:c r="L441" s="77"/>
      <x:c r="M441" s="50"/>
      <x:c r="N441" s="71"/>
      <x:c r="O441" s="43"/>
    </x:row>
    <x:row r="442">
      <x:c r="A442" s="56"/>
      <x:c r="B442" s="61"/>
      <x:c r="C442" s="61"/>
      <x:c r="D442" s="61"/>
      <x:c r="E442" s="66"/>
      <x:c r="F442" s="72"/>
      <x:c r="G442" s="72"/>
      <x:c r="H442" s="72"/>
      <x:c r="I442" s="61"/>
      <x:c r="J442" s="66"/>
      <x:c r="K442" s="61"/>
      <x:c r="L442" s="77"/>
      <x:c r="M442" s="51"/>
      <x:c r="N442" s="72"/>
      <x:c r="O442" s="48"/>
    </x:row>
    <x:row r="443">
      <x:c r="A443" s="56"/>
      <x:c r="B443" s="61"/>
      <x:c r="C443" s="61"/>
      <x:c r="D443" s="61"/>
      <x:c r="E443" s="66"/>
      <x:c r="F443" s="71"/>
      <x:c r="G443" s="71"/>
      <x:c r="H443" s="71"/>
      <x:c r="I443" s="61"/>
      <x:c r="J443" s="66"/>
      <x:c r="K443" s="61"/>
      <x:c r="L443" s="77"/>
      <x:c r="M443" s="50"/>
      <x:c r="N443" s="71"/>
      <x:c r="O443" s="43"/>
    </x:row>
    <x:row r="444">
      <x:c r="A444" s="56"/>
      <x:c r="B444" s="61"/>
      <x:c r="C444" s="61"/>
      <x:c r="D444" s="61"/>
      <x:c r="E444" s="66"/>
      <x:c r="F444" s="72"/>
      <x:c r="G444" s="72"/>
      <x:c r="H444" s="72"/>
      <x:c r="I444" s="61"/>
      <x:c r="J444" s="66"/>
      <x:c r="K444" s="61"/>
      <x:c r="L444" s="77"/>
      <x:c r="M444" s="51"/>
      <x:c r="N444" s="72"/>
      <x:c r="O444" s="48"/>
    </x:row>
    <x:row r="445">
      <x:c r="A445" s="56"/>
      <x:c r="B445" s="61"/>
      <x:c r="C445" s="61"/>
      <x:c r="D445" s="61"/>
      <x:c r="E445" s="66"/>
      <x:c r="F445" s="71"/>
      <x:c r="G445" s="71"/>
      <x:c r="H445" s="71"/>
      <x:c r="I445" s="61"/>
      <x:c r="J445" s="66"/>
      <x:c r="K445" s="61"/>
      <x:c r="L445" s="77"/>
      <x:c r="M445" s="50"/>
      <x:c r="N445" s="71"/>
      <x:c r="O445" s="43"/>
    </x:row>
    <x:row r="446">
      <x:c r="A446" s="56"/>
      <x:c r="B446" s="61"/>
      <x:c r="C446" s="61"/>
      <x:c r="D446" s="61"/>
      <x:c r="E446" s="66"/>
      <x:c r="F446" s="72"/>
      <x:c r="G446" s="72"/>
      <x:c r="H446" s="72"/>
      <x:c r="I446" s="61"/>
      <x:c r="J446" s="66"/>
      <x:c r="K446" s="61"/>
      <x:c r="L446" s="77"/>
      <x:c r="M446" s="51"/>
      <x:c r="N446" s="72"/>
      <x:c r="O446" s="48"/>
    </x:row>
    <x:row r="447">
      <x:c r="A447" s="56"/>
      <x:c r="B447" s="61"/>
      <x:c r="C447" s="61"/>
      <x:c r="D447" s="61"/>
      <x:c r="E447" s="66"/>
      <x:c r="F447" s="71"/>
      <x:c r="G447" s="71"/>
      <x:c r="H447" s="71"/>
      <x:c r="I447" s="61"/>
      <x:c r="J447" s="66"/>
      <x:c r="K447" s="61"/>
      <x:c r="L447" s="77"/>
      <x:c r="M447" s="50"/>
      <x:c r="N447" s="71"/>
      <x:c r="O447" s="43"/>
    </x:row>
    <x:row r="448">
      <x:c r="A448" s="56"/>
      <x:c r="B448" s="61"/>
      <x:c r="C448" s="61"/>
      <x:c r="D448" s="61"/>
      <x:c r="E448" s="66"/>
      <x:c r="F448" s="72"/>
      <x:c r="G448" s="72"/>
      <x:c r="H448" s="72"/>
      <x:c r="I448" s="61"/>
      <x:c r="J448" s="66"/>
      <x:c r="K448" s="61"/>
      <x:c r="L448" s="77"/>
      <x:c r="M448" s="51"/>
      <x:c r="N448" s="72"/>
      <x:c r="O448" s="48"/>
    </x:row>
    <x:row r="449">
      <x:c r="A449" s="56"/>
      <x:c r="B449" s="61"/>
      <x:c r="C449" s="61"/>
      <x:c r="D449" s="61"/>
      <x:c r="E449" s="66"/>
      <x:c r="F449" s="71"/>
      <x:c r="G449" s="71"/>
      <x:c r="H449" s="71"/>
      <x:c r="I449" s="61"/>
      <x:c r="J449" s="66"/>
      <x:c r="K449" s="61"/>
      <x:c r="L449" s="77"/>
      <x:c r="M449" s="50"/>
      <x:c r="N449" s="71"/>
      <x:c r="O449" s="43"/>
    </x:row>
    <x:row r="450">
      <x:c r="A450" s="56"/>
      <x:c r="B450" s="61"/>
      <x:c r="C450" s="61"/>
      <x:c r="D450" s="61"/>
      <x:c r="E450" s="66"/>
      <x:c r="F450" s="72"/>
      <x:c r="G450" s="72"/>
      <x:c r="H450" s="72"/>
      <x:c r="I450" s="61"/>
      <x:c r="J450" s="66"/>
      <x:c r="K450" s="61"/>
      <x:c r="L450" s="77"/>
      <x:c r="M450" s="51"/>
      <x:c r="N450" s="72"/>
      <x:c r="O450" s="48"/>
    </x:row>
    <x:row r="451">
      <x:c r="A451" s="56"/>
      <x:c r="B451" s="61"/>
      <x:c r="C451" s="61"/>
      <x:c r="D451" s="61"/>
      <x:c r="E451" s="66"/>
      <x:c r="F451" s="71"/>
      <x:c r="G451" s="71"/>
      <x:c r="H451" s="71"/>
      <x:c r="I451" s="61"/>
      <x:c r="J451" s="66"/>
      <x:c r="K451" s="61"/>
      <x:c r="L451" s="77"/>
      <x:c r="M451" s="50"/>
      <x:c r="N451" s="71"/>
      <x:c r="O451" s="43"/>
    </x:row>
    <x:row r="452">
      <x:c r="A452" s="56"/>
      <x:c r="B452" s="61"/>
      <x:c r="C452" s="61"/>
      <x:c r="D452" s="61"/>
      <x:c r="E452" s="66"/>
      <x:c r="F452" s="72"/>
      <x:c r="G452" s="72"/>
      <x:c r="H452" s="72"/>
      <x:c r="I452" s="61"/>
      <x:c r="J452" s="66"/>
      <x:c r="K452" s="61"/>
      <x:c r="L452" s="77"/>
      <x:c r="M452" s="51"/>
      <x:c r="N452" s="72"/>
      <x:c r="O452" s="48"/>
    </x:row>
    <x:row r="453">
      <x:c r="A453" s="56"/>
      <x:c r="B453" s="61"/>
      <x:c r="C453" s="61"/>
      <x:c r="D453" s="61"/>
      <x:c r="E453" s="66"/>
      <x:c r="F453" s="71"/>
      <x:c r="G453" s="71"/>
      <x:c r="H453" s="71"/>
      <x:c r="I453" s="61"/>
      <x:c r="J453" s="66"/>
      <x:c r="K453" s="61"/>
      <x:c r="L453" s="77"/>
      <x:c r="M453" s="50"/>
      <x:c r="N453" s="71"/>
      <x:c r="O453" s="43"/>
    </x:row>
    <x:row r="454">
      <x:c r="A454" s="56"/>
      <x:c r="B454" s="61"/>
      <x:c r="C454" s="61"/>
      <x:c r="D454" s="61"/>
      <x:c r="E454" s="66"/>
      <x:c r="F454" s="72"/>
      <x:c r="G454" s="72"/>
      <x:c r="H454" s="72"/>
      <x:c r="I454" s="61"/>
      <x:c r="J454" s="66"/>
      <x:c r="K454" s="61"/>
      <x:c r="L454" s="77"/>
      <x:c r="M454" s="51"/>
      <x:c r="N454" s="72"/>
      <x:c r="O454" s="48"/>
    </x:row>
    <x:row r="455">
      <x:c r="A455" s="56"/>
      <x:c r="B455" s="61"/>
      <x:c r="C455" s="61"/>
      <x:c r="D455" s="61"/>
      <x:c r="E455" s="66"/>
      <x:c r="F455" s="71"/>
      <x:c r="G455" s="71"/>
      <x:c r="H455" s="71"/>
      <x:c r="I455" s="61"/>
      <x:c r="J455" s="66"/>
      <x:c r="K455" s="61"/>
      <x:c r="L455" s="77"/>
      <x:c r="M455" s="50"/>
      <x:c r="N455" s="71"/>
      <x:c r="O455" s="43"/>
    </x:row>
    <x:row r="456">
      <x:c r="A456" s="56"/>
      <x:c r="B456" s="61"/>
      <x:c r="C456" s="61"/>
      <x:c r="D456" s="61"/>
      <x:c r="E456" s="66"/>
      <x:c r="F456" s="72"/>
      <x:c r="G456" s="72"/>
      <x:c r="H456" s="72"/>
      <x:c r="I456" s="61"/>
      <x:c r="J456" s="66"/>
      <x:c r="K456" s="61"/>
      <x:c r="L456" s="77"/>
      <x:c r="M456" s="51"/>
      <x:c r="N456" s="72"/>
      <x:c r="O456" s="48"/>
    </x:row>
    <x:row r="457">
      <x:c r="A457" s="56"/>
      <x:c r="B457" s="61"/>
      <x:c r="C457" s="61"/>
      <x:c r="D457" s="61"/>
      <x:c r="E457" s="66"/>
      <x:c r="F457" s="71"/>
      <x:c r="G457" s="71"/>
      <x:c r="H457" s="71"/>
      <x:c r="I457" s="61"/>
      <x:c r="J457" s="66"/>
      <x:c r="K457" s="61"/>
      <x:c r="L457" s="77"/>
      <x:c r="M457" s="50"/>
      <x:c r="N457" s="71"/>
      <x:c r="O457" s="43"/>
    </x:row>
    <x:row r="458">
      <x:c r="A458" s="56"/>
      <x:c r="B458" s="61"/>
      <x:c r="C458" s="61"/>
      <x:c r="D458" s="61"/>
      <x:c r="E458" s="66"/>
      <x:c r="F458" s="72"/>
      <x:c r="G458" s="72"/>
      <x:c r="H458" s="72"/>
      <x:c r="I458" s="61"/>
      <x:c r="J458" s="66"/>
      <x:c r="K458" s="61"/>
      <x:c r="L458" s="77"/>
      <x:c r="M458" s="51"/>
      <x:c r="N458" s="72"/>
      <x:c r="O458" s="48"/>
    </x:row>
    <x:row r="459">
      <x:c r="A459" s="56"/>
      <x:c r="B459" s="61"/>
      <x:c r="C459" s="61"/>
      <x:c r="D459" s="61"/>
      <x:c r="E459" s="66"/>
      <x:c r="F459" s="71"/>
      <x:c r="G459" s="71"/>
      <x:c r="H459" s="71"/>
      <x:c r="I459" s="61"/>
      <x:c r="J459" s="66"/>
      <x:c r="K459" s="61"/>
      <x:c r="L459" s="77"/>
      <x:c r="M459" s="50"/>
      <x:c r="N459" s="71"/>
      <x:c r="O459" s="43"/>
    </x:row>
    <x:row r="460">
      <x:c r="A460" s="56"/>
      <x:c r="B460" s="61"/>
      <x:c r="C460" s="61"/>
      <x:c r="D460" s="61"/>
      <x:c r="E460" s="66"/>
      <x:c r="F460" s="72"/>
      <x:c r="G460" s="72"/>
      <x:c r="H460" s="72"/>
      <x:c r="I460" s="61"/>
      <x:c r="J460" s="66"/>
      <x:c r="K460" s="61"/>
      <x:c r="L460" s="77"/>
      <x:c r="M460" s="51"/>
      <x:c r="N460" s="72"/>
      <x:c r="O460" s="48"/>
    </x:row>
    <x:row r="461">
      <x:c r="A461" s="56"/>
      <x:c r="B461" s="61"/>
      <x:c r="C461" s="61"/>
      <x:c r="D461" s="61"/>
      <x:c r="E461" s="66"/>
      <x:c r="F461" s="71"/>
      <x:c r="G461" s="71"/>
      <x:c r="H461" s="71"/>
      <x:c r="I461" s="61"/>
      <x:c r="J461" s="66"/>
      <x:c r="K461" s="61"/>
      <x:c r="L461" s="77"/>
      <x:c r="M461" s="50"/>
      <x:c r="N461" s="71"/>
      <x:c r="O461" s="43"/>
    </x:row>
    <x:row r="462">
      <x:c r="A462" s="56"/>
      <x:c r="B462" s="61"/>
      <x:c r="C462" s="61"/>
      <x:c r="D462" s="61"/>
      <x:c r="E462" s="66"/>
      <x:c r="F462" s="72"/>
      <x:c r="G462" s="72"/>
      <x:c r="H462" s="72"/>
      <x:c r="I462" s="61"/>
      <x:c r="J462" s="66"/>
      <x:c r="K462" s="61"/>
      <x:c r="L462" s="77"/>
      <x:c r="M462" s="51"/>
      <x:c r="N462" s="72"/>
      <x:c r="O462" s="48"/>
    </x:row>
    <x:row r="463">
      <x:c r="A463" s="56"/>
      <x:c r="B463" s="61"/>
      <x:c r="C463" s="61"/>
      <x:c r="D463" s="61"/>
      <x:c r="E463" s="66"/>
      <x:c r="F463" s="71"/>
      <x:c r="G463" s="71"/>
      <x:c r="H463" s="71"/>
      <x:c r="I463" s="61"/>
      <x:c r="J463" s="66"/>
      <x:c r="K463" s="61"/>
      <x:c r="L463" s="77"/>
      <x:c r="M463" s="50"/>
      <x:c r="N463" s="71"/>
      <x:c r="O463" s="43"/>
    </x:row>
    <x:row r="464">
      <x:c r="A464" s="56"/>
      <x:c r="B464" s="61"/>
      <x:c r="C464" s="61"/>
      <x:c r="D464" s="61"/>
      <x:c r="E464" s="66"/>
      <x:c r="F464" s="72"/>
      <x:c r="G464" s="72"/>
      <x:c r="H464" s="72"/>
      <x:c r="I464" s="61"/>
      <x:c r="J464" s="66"/>
      <x:c r="K464" s="61"/>
      <x:c r="L464" s="77"/>
      <x:c r="M464" s="51"/>
      <x:c r="N464" s="72"/>
      <x:c r="O464" s="48"/>
    </x:row>
    <x:row r="465">
      <x:c r="A465" s="56"/>
      <x:c r="B465" s="61"/>
      <x:c r="C465" s="61"/>
      <x:c r="D465" s="61"/>
      <x:c r="E465" s="66"/>
      <x:c r="F465" s="71"/>
      <x:c r="G465" s="71"/>
      <x:c r="H465" s="71"/>
      <x:c r="I465" s="61"/>
      <x:c r="J465" s="66"/>
      <x:c r="K465" s="61"/>
      <x:c r="L465" s="77"/>
      <x:c r="M465" s="50"/>
      <x:c r="N465" s="71"/>
      <x:c r="O465" s="43"/>
    </x:row>
    <x:row r="466">
      <x:c r="A466" s="56"/>
      <x:c r="B466" s="61"/>
      <x:c r="C466" s="61"/>
      <x:c r="D466" s="61"/>
      <x:c r="E466" s="66"/>
      <x:c r="F466" s="72"/>
      <x:c r="G466" s="72"/>
      <x:c r="H466" s="72"/>
      <x:c r="I466" s="61"/>
      <x:c r="J466" s="66"/>
      <x:c r="K466" s="61"/>
      <x:c r="L466" s="77"/>
      <x:c r="M466" s="51"/>
      <x:c r="N466" s="72"/>
      <x:c r="O466" s="48"/>
    </x:row>
    <x:row r="467">
      <x:c r="A467" s="56"/>
      <x:c r="B467" s="61"/>
      <x:c r="C467" s="61"/>
      <x:c r="D467" s="61"/>
      <x:c r="E467" s="66"/>
      <x:c r="F467" s="71"/>
      <x:c r="G467" s="71"/>
      <x:c r="H467" s="71"/>
      <x:c r="I467" s="61"/>
      <x:c r="J467" s="66"/>
      <x:c r="K467" s="61"/>
      <x:c r="L467" s="77"/>
      <x:c r="M467" s="50"/>
      <x:c r="N467" s="71"/>
      <x:c r="O467" s="43"/>
    </x:row>
    <x:row r="468">
      <x:c r="A468" s="56"/>
      <x:c r="B468" s="61"/>
      <x:c r="C468" s="61"/>
      <x:c r="D468" s="61"/>
      <x:c r="E468" s="66"/>
      <x:c r="F468" s="72"/>
      <x:c r="G468" s="72"/>
      <x:c r="H468" s="72"/>
      <x:c r="I468" s="61"/>
      <x:c r="J468" s="66"/>
      <x:c r="K468" s="61"/>
      <x:c r="L468" s="77"/>
      <x:c r="M468" s="51"/>
      <x:c r="N468" s="72"/>
      <x:c r="O468" s="48"/>
    </x:row>
    <x:row r="469">
      <x:c r="A469" s="56"/>
      <x:c r="B469" s="61"/>
      <x:c r="C469" s="61"/>
      <x:c r="D469" s="61"/>
      <x:c r="E469" s="66"/>
      <x:c r="F469" s="71"/>
      <x:c r="G469" s="71"/>
      <x:c r="H469" s="71"/>
      <x:c r="I469" s="61"/>
      <x:c r="J469" s="66"/>
      <x:c r="K469" s="61"/>
      <x:c r="L469" s="77"/>
      <x:c r="M469" s="50"/>
      <x:c r="N469" s="71"/>
      <x:c r="O469" s="43"/>
    </x:row>
    <x:row r="470">
      <x:c r="A470" s="56"/>
      <x:c r="B470" s="61"/>
      <x:c r="C470" s="61"/>
      <x:c r="D470" s="61"/>
      <x:c r="E470" s="66"/>
      <x:c r="F470" s="72"/>
      <x:c r="G470" s="72"/>
      <x:c r="H470" s="72"/>
      <x:c r="I470" s="61"/>
      <x:c r="J470" s="66"/>
      <x:c r="K470" s="61"/>
      <x:c r="L470" s="77"/>
      <x:c r="M470" s="51"/>
      <x:c r="N470" s="72"/>
      <x:c r="O470" s="48"/>
    </x:row>
    <x:row r="471">
      <x:c r="A471" s="56"/>
      <x:c r="B471" s="61"/>
      <x:c r="C471" s="61"/>
      <x:c r="D471" s="61"/>
      <x:c r="E471" s="66"/>
      <x:c r="F471" s="71"/>
      <x:c r="G471" s="71"/>
      <x:c r="H471" s="71"/>
      <x:c r="I471" s="61"/>
      <x:c r="J471" s="66"/>
      <x:c r="K471" s="61"/>
      <x:c r="L471" s="77"/>
      <x:c r="M471" s="50"/>
      <x:c r="N471" s="71"/>
      <x:c r="O471" s="43"/>
    </x:row>
    <x:row r="472">
      <x:c r="A472" s="56"/>
      <x:c r="B472" s="61"/>
      <x:c r="C472" s="61"/>
      <x:c r="D472" s="61"/>
      <x:c r="E472" s="66"/>
      <x:c r="F472" s="72"/>
      <x:c r="G472" s="72"/>
      <x:c r="H472" s="72"/>
      <x:c r="I472" s="61"/>
      <x:c r="J472" s="66"/>
      <x:c r="K472" s="61"/>
      <x:c r="L472" s="77"/>
      <x:c r="M472" s="51"/>
      <x:c r="N472" s="72"/>
      <x:c r="O472" s="48"/>
    </x:row>
    <x:row r="473">
      <x:c r="A473" s="56"/>
      <x:c r="B473" s="61"/>
      <x:c r="C473" s="61"/>
      <x:c r="D473" s="61"/>
      <x:c r="E473" s="66"/>
      <x:c r="F473" s="71"/>
      <x:c r="G473" s="71"/>
      <x:c r="H473" s="71"/>
      <x:c r="I473" s="61"/>
      <x:c r="J473" s="66"/>
      <x:c r="K473" s="61"/>
      <x:c r="L473" s="77"/>
      <x:c r="M473" s="50"/>
      <x:c r="N473" s="71"/>
      <x:c r="O473" s="43"/>
    </x:row>
    <x:row r="474">
      <x:c r="A474" s="56"/>
      <x:c r="B474" s="61"/>
      <x:c r="C474" s="61"/>
      <x:c r="D474" s="61"/>
      <x:c r="E474" s="66"/>
      <x:c r="F474" s="72"/>
      <x:c r="G474" s="72"/>
      <x:c r="H474" s="72"/>
      <x:c r="I474" s="61"/>
      <x:c r="J474" s="66"/>
      <x:c r="K474" s="61"/>
      <x:c r="L474" s="77"/>
      <x:c r="M474" s="51"/>
      <x:c r="N474" s="72"/>
      <x:c r="O474" s="48"/>
    </x:row>
    <x:row r="475">
      <x:c r="A475" s="56"/>
      <x:c r="B475" s="61"/>
      <x:c r="C475" s="61"/>
      <x:c r="D475" s="61"/>
      <x:c r="E475" s="66"/>
      <x:c r="F475" s="71"/>
      <x:c r="G475" s="71"/>
      <x:c r="H475" s="71"/>
      <x:c r="I475" s="61"/>
      <x:c r="J475" s="66"/>
      <x:c r="K475" s="61"/>
      <x:c r="L475" s="77"/>
      <x:c r="M475" s="50"/>
      <x:c r="N475" s="71"/>
      <x:c r="O475" s="43"/>
    </x:row>
    <x:row r="476">
      <x:c r="A476" s="56"/>
      <x:c r="B476" s="61"/>
      <x:c r="C476" s="61"/>
      <x:c r="D476" s="61"/>
      <x:c r="E476" s="66"/>
      <x:c r="F476" s="72"/>
      <x:c r="G476" s="72"/>
      <x:c r="H476" s="72"/>
      <x:c r="I476" s="61"/>
      <x:c r="J476" s="66"/>
      <x:c r="K476" s="61"/>
      <x:c r="L476" s="77"/>
      <x:c r="M476" s="51"/>
      <x:c r="N476" s="72"/>
      <x:c r="O476" s="48"/>
    </x:row>
    <x:row r="477">
      <x:c r="A477" s="56"/>
      <x:c r="B477" s="61"/>
      <x:c r="C477" s="61"/>
      <x:c r="D477" s="61"/>
      <x:c r="E477" s="66"/>
      <x:c r="F477" s="71"/>
      <x:c r="G477" s="71"/>
      <x:c r="H477" s="71"/>
      <x:c r="I477" s="61"/>
      <x:c r="J477" s="66"/>
      <x:c r="K477" s="61"/>
      <x:c r="L477" s="77"/>
      <x:c r="M477" s="50"/>
      <x:c r="N477" s="71"/>
      <x:c r="O477" s="43"/>
    </x:row>
    <x:row r="478">
      <x:c r="A478" s="56"/>
      <x:c r="B478" s="61"/>
      <x:c r="C478" s="61"/>
      <x:c r="D478" s="61"/>
      <x:c r="E478" s="66"/>
      <x:c r="F478" s="72"/>
      <x:c r="G478" s="72"/>
      <x:c r="H478" s="72"/>
      <x:c r="I478" s="61"/>
      <x:c r="J478" s="66"/>
      <x:c r="K478" s="61"/>
      <x:c r="L478" s="77"/>
      <x:c r="M478" s="51"/>
      <x:c r="N478" s="72"/>
      <x:c r="O478" s="48"/>
    </x:row>
    <x:row r="479">
      <x:c r="A479" s="56"/>
      <x:c r="B479" s="61"/>
      <x:c r="C479" s="61"/>
      <x:c r="D479" s="61"/>
      <x:c r="E479" s="66"/>
      <x:c r="F479" s="71"/>
      <x:c r="G479" s="71"/>
      <x:c r="H479" s="71"/>
      <x:c r="I479" s="61"/>
      <x:c r="J479" s="66"/>
      <x:c r="K479" s="61"/>
      <x:c r="L479" s="77"/>
      <x:c r="M479" s="50"/>
      <x:c r="N479" s="71"/>
      <x:c r="O479" s="43"/>
    </x:row>
    <x:row r="480">
      <x:c r="A480" s="56"/>
      <x:c r="B480" s="61"/>
      <x:c r="C480" s="61"/>
      <x:c r="D480" s="61"/>
      <x:c r="E480" s="66"/>
      <x:c r="F480" s="72"/>
      <x:c r="G480" s="72"/>
      <x:c r="H480" s="72"/>
      <x:c r="I480" s="61"/>
      <x:c r="J480" s="66"/>
      <x:c r="K480" s="61"/>
      <x:c r="L480" s="77"/>
      <x:c r="M480" s="51"/>
      <x:c r="N480" s="72"/>
      <x:c r="O480" s="48"/>
    </x:row>
    <x:row r="481">
      <x:c r="A481" s="56"/>
      <x:c r="B481" s="61"/>
      <x:c r="C481" s="61"/>
      <x:c r="D481" s="61"/>
      <x:c r="E481" s="66"/>
      <x:c r="F481" s="71"/>
      <x:c r="G481" s="71"/>
      <x:c r="H481" s="71"/>
      <x:c r="I481" s="61"/>
      <x:c r="J481" s="66"/>
      <x:c r="K481" s="61"/>
      <x:c r="L481" s="77"/>
      <x:c r="M481" s="50"/>
      <x:c r="N481" s="71"/>
      <x:c r="O481" s="43"/>
    </x:row>
    <x:row r="482">
      <x:c r="A482" s="56"/>
      <x:c r="B482" s="61"/>
      <x:c r="C482" s="61"/>
      <x:c r="D482" s="61"/>
      <x:c r="E482" s="66"/>
      <x:c r="F482" s="72"/>
      <x:c r="G482" s="72"/>
      <x:c r="H482" s="72"/>
      <x:c r="I482" s="61"/>
      <x:c r="J482" s="66"/>
      <x:c r="K482" s="61"/>
      <x:c r="L482" s="77"/>
      <x:c r="M482" s="51"/>
      <x:c r="N482" s="72"/>
      <x:c r="O482" s="48"/>
    </x:row>
    <x:row r="483">
      <x:c r="A483" s="56"/>
      <x:c r="B483" s="61"/>
      <x:c r="C483" s="61"/>
      <x:c r="D483" s="61"/>
      <x:c r="E483" s="66"/>
      <x:c r="F483" s="71"/>
      <x:c r="G483" s="71"/>
      <x:c r="H483" s="71"/>
      <x:c r="I483" s="61"/>
      <x:c r="J483" s="66"/>
      <x:c r="K483" s="61"/>
      <x:c r="L483" s="77"/>
      <x:c r="M483" s="50"/>
      <x:c r="N483" s="71"/>
      <x:c r="O483" s="43"/>
    </x:row>
    <x:row r="484">
      <x:c r="A484" s="56"/>
      <x:c r="B484" s="61"/>
      <x:c r="C484" s="61"/>
      <x:c r="D484" s="61"/>
      <x:c r="E484" s="66"/>
      <x:c r="F484" s="72"/>
      <x:c r="G484" s="72"/>
      <x:c r="H484" s="72"/>
      <x:c r="I484" s="61"/>
      <x:c r="J484" s="66"/>
      <x:c r="K484" s="61"/>
      <x:c r="L484" s="77"/>
      <x:c r="M484" s="51"/>
      <x:c r="N484" s="72"/>
      <x:c r="O484" s="48"/>
    </x:row>
    <x:row r="485">
      <x:c r="A485" s="56"/>
      <x:c r="B485" s="61"/>
      <x:c r="C485" s="61"/>
      <x:c r="D485" s="61"/>
      <x:c r="E485" s="66"/>
      <x:c r="F485" s="71"/>
      <x:c r="G485" s="71"/>
      <x:c r="H485" s="71"/>
      <x:c r="I485" s="61"/>
      <x:c r="J485" s="66"/>
      <x:c r="K485" s="61"/>
      <x:c r="L485" s="77"/>
      <x:c r="M485" s="50"/>
      <x:c r="N485" s="71"/>
      <x:c r="O485" s="43"/>
    </x:row>
    <x:row r="486">
      <x:c r="A486" s="56"/>
      <x:c r="B486" s="61"/>
      <x:c r="C486" s="61"/>
      <x:c r="D486" s="61"/>
      <x:c r="E486" s="66"/>
      <x:c r="F486" s="72"/>
      <x:c r="G486" s="72"/>
      <x:c r="H486" s="72"/>
      <x:c r="I486" s="61"/>
      <x:c r="J486" s="66"/>
      <x:c r="K486" s="61"/>
      <x:c r="L486" s="77"/>
      <x:c r="M486" s="51"/>
      <x:c r="N486" s="72"/>
      <x:c r="O486" s="48"/>
    </x:row>
    <x:row r="487">
      <x:c r="A487" s="56"/>
      <x:c r="B487" s="61"/>
      <x:c r="C487" s="61"/>
      <x:c r="D487" s="61"/>
      <x:c r="E487" s="66"/>
      <x:c r="F487" s="71"/>
      <x:c r="G487" s="71"/>
      <x:c r="H487" s="71"/>
      <x:c r="I487" s="61"/>
      <x:c r="J487" s="66"/>
      <x:c r="K487" s="61"/>
      <x:c r="L487" s="77"/>
      <x:c r="M487" s="50"/>
      <x:c r="N487" s="71"/>
      <x:c r="O487" s="43"/>
    </x:row>
    <x:row r="488">
      <x:c r="A488" s="56"/>
      <x:c r="B488" s="61"/>
      <x:c r="C488" s="61"/>
      <x:c r="D488" s="61"/>
      <x:c r="E488" s="66"/>
      <x:c r="F488" s="72"/>
      <x:c r="G488" s="72"/>
      <x:c r="H488" s="72"/>
      <x:c r="I488" s="61"/>
      <x:c r="J488" s="66"/>
      <x:c r="K488" s="61"/>
      <x:c r="L488" s="77"/>
      <x:c r="M488" s="51"/>
      <x:c r="N488" s="72"/>
      <x:c r="O488" s="48"/>
    </x:row>
    <x:row r="489">
      <x:c r="A489" s="56"/>
      <x:c r="B489" s="61"/>
      <x:c r="C489" s="61"/>
      <x:c r="D489" s="61"/>
      <x:c r="E489" s="66"/>
      <x:c r="F489" s="71"/>
      <x:c r="G489" s="71"/>
      <x:c r="H489" s="71"/>
      <x:c r="I489" s="61"/>
      <x:c r="J489" s="66"/>
      <x:c r="K489" s="61"/>
      <x:c r="L489" s="77"/>
      <x:c r="M489" s="50"/>
      <x:c r="N489" s="71"/>
      <x:c r="O489" s="43"/>
    </x:row>
    <x:row r="490">
      <x:c r="A490" s="56"/>
      <x:c r="B490" s="61"/>
      <x:c r="C490" s="61"/>
      <x:c r="D490" s="61"/>
      <x:c r="E490" s="66"/>
      <x:c r="F490" s="72"/>
      <x:c r="G490" s="72"/>
      <x:c r="H490" s="72"/>
      <x:c r="I490" s="61"/>
      <x:c r="J490" s="66"/>
      <x:c r="K490" s="61"/>
      <x:c r="L490" s="77"/>
      <x:c r="M490" s="51"/>
      <x:c r="N490" s="72"/>
      <x:c r="O490" s="48"/>
    </x:row>
    <x:row r="491">
      <x:c r="A491" s="56"/>
      <x:c r="B491" s="61"/>
      <x:c r="C491" s="61"/>
      <x:c r="D491" s="61"/>
      <x:c r="E491" s="66"/>
      <x:c r="F491" s="71"/>
      <x:c r="G491" s="71"/>
      <x:c r="H491" s="71"/>
      <x:c r="I491" s="61"/>
      <x:c r="J491" s="66"/>
      <x:c r="K491" s="61"/>
      <x:c r="L491" s="77"/>
      <x:c r="M491" s="50"/>
      <x:c r="N491" s="71"/>
      <x:c r="O491" s="43"/>
    </x:row>
    <x:row r="492">
      <x:c r="A492" s="56"/>
      <x:c r="B492" s="61"/>
      <x:c r="C492" s="61"/>
      <x:c r="D492" s="61"/>
      <x:c r="E492" s="66"/>
      <x:c r="F492" s="72"/>
      <x:c r="G492" s="72"/>
      <x:c r="H492" s="72"/>
      <x:c r="I492" s="61"/>
      <x:c r="J492" s="66"/>
      <x:c r="K492" s="61"/>
      <x:c r="L492" s="77"/>
      <x:c r="M492" s="51"/>
      <x:c r="N492" s="72"/>
      <x:c r="O492" s="48"/>
    </x:row>
    <x:row r="493">
      <x:c r="A493" s="56"/>
      <x:c r="B493" s="61"/>
      <x:c r="C493" s="61"/>
      <x:c r="D493" s="61"/>
      <x:c r="E493" s="66"/>
      <x:c r="F493" s="71"/>
      <x:c r="G493" s="71"/>
      <x:c r="H493" s="71"/>
      <x:c r="I493" s="61"/>
      <x:c r="J493" s="66"/>
      <x:c r="K493" s="61"/>
      <x:c r="L493" s="77"/>
      <x:c r="M493" s="50"/>
      <x:c r="N493" s="71"/>
      <x:c r="O493" s="43"/>
    </x:row>
    <x:row r="494">
      <x:c r="A494" s="56"/>
      <x:c r="B494" s="61"/>
      <x:c r="C494" s="61"/>
      <x:c r="D494" s="61"/>
      <x:c r="E494" s="66"/>
      <x:c r="F494" s="72"/>
      <x:c r="G494" s="72"/>
      <x:c r="H494" s="72"/>
      <x:c r="I494" s="61"/>
      <x:c r="J494" s="66"/>
      <x:c r="K494" s="61"/>
      <x:c r="L494" s="77"/>
      <x:c r="M494" s="51"/>
      <x:c r="N494" s="72"/>
      <x:c r="O494" s="48"/>
    </x:row>
    <x:row r="495">
      <x:c r="A495" s="56"/>
      <x:c r="B495" s="61"/>
      <x:c r="C495" s="61"/>
      <x:c r="D495" s="61"/>
      <x:c r="E495" s="66"/>
      <x:c r="F495" s="71"/>
      <x:c r="G495" s="71"/>
      <x:c r="H495" s="71"/>
      <x:c r="I495" s="61"/>
      <x:c r="J495" s="66"/>
      <x:c r="K495" s="61"/>
      <x:c r="L495" s="77"/>
      <x:c r="M495" s="50"/>
      <x:c r="N495" s="71"/>
      <x:c r="O495" s="43"/>
    </x:row>
    <x:row r="496">
      <x:c r="A496" s="56"/>
      <x:c r="B496" s="61"/>
      <x:c r="C496" s="61"/>
      <x:c r="D496" s="61"/>
      <x:c r="E496" s="66"/>
      <x:c r="F496" s="72"/>
      <x:c r="G496" s="72"/>
      <x:c r="H496" s="72"/>
      <x:c r="I496" s="61"/>
      <x:c r="J496" s="66"/>
      <x:c r="K496" s="61"/>
      <x:c r="L496" s="77"/>
      <x:c r="M496" s="51"/>
      <x:c r="N496" s="72"/>
      <x:c r="O496" s="48"/>
    </x:row>
    <x:row r="497">
      <x:c r="A497" s="56"/>
      <x:c r="B497" s="61"/>
      <x:c r="C497" s="61"/>
      <x:c r="D497" s="61"/>
      <x:c r="E497" s="66"/>
      <x:c r="F497" s="71"/>
      <x:c r="G497" s="71"/>
      <x:c r="H497" s="71"/>
      <x:c r="I497" s="61"/>
      <x:c r="J497" s="66"/>
      <x:c r="K497" s="61"/>
      <x:c r="L497" s="77"/>
      <x:c r="M497" s="50"/>
      <x:c r="N497" s="71"/>
      <x:c r="O497" s="43"/>
    </x:row>
    <x:row r="498">
      <x:c r="A498" s="56"/>
      <x:c r="B498" s="61"/>
      <x:c r="C498" s="61"/>
      <x:c r="D498" s="61"/>
      <x:c r="E498" s="66"/>
      <x:c r="F498" s="72"/>
      <x:c r="G498" s="72"/>
      <x:c r="H498" s="72"/>
      <x:c r="I498" s="61"/>
      <x:c r="J498" s="66"/>
      <x:c r="K498" s="61"/>
      <x:c r="L498" s="77"/>
      <x:c r="M498" s="51"/>
      <x:c r="N498" s="72"/>
      <x:c r="O498" s="48"/>
    </x:row>
    <x:row r="499">
      <x:c r="A499" s="56"/>
      <x:c r="B499" s="61"/>
      <x:c r="C499" s="61"/>
      <x:c r="D499" s="61"/>
      <x:c r="E499" s="66"/>
      <x:c r="F499" s="71"/>
      <x:c r="G499" s="71"/>
      <x:c r="H499" s="71"/>
      <x:c r="I499" s="61"/>
      <x:c r="J499" s="66"/>
      <x:c r="K499" s="61"/>
      <x:c r="L499" s="77"/>
      <x:c r="M499" s="50"/>
      <x:c r="N499" s="71"/>
      <x:c r="O499" s="43"/>
    </x:row>
    <x:row r="500">
      <x:c r="A500" s="57"/>
      <x:c r="B500" s="62"/>
      <x:c r="C500" s="62"/>
      <x:c r="D500" s="62"/>
      <x:c r="E500" s="67"/>
      <x:c r="F500" s="73"/>
      <x:c r="G500" s="73"/>
      <x:c r="H500" s="73"/>
      <x:c r="I500" s="62"/>
      <x:c r="J500" s="67"/>
      <x:c r="K500" s="62"/>
      <x:c r="L500" s="78"/>
      <x:c r="M500" s="52"/>
      <x:c r="N500" s="73"/>
      <x:c r="O500" s="49"/>
    </x:row>
  </x:sheetData>
  <x:conditionalFormatting sqref="G2:G301">
    <x:cfRule type="expression" dxfId="44" priority="4">
      <x:formula>AND($H2&lt;&gt;"",$G2="")</x:formula>
    </x:cfRule>
  </x:conditionalFormatting>
  <x:conditionalFormatting sqref="I2:I301">
    <x:cfRule type="expression" dxfId="43" priority="1">
      <x:formula>I2="Bezahlt"</x:formula>
    </x:cfRule>
    <x:cfRule type="expression" dxfId="42" priority="2">
      <x:formula>AND(I2="Offen",E2&lt;TODAY())</x:formula>
    </x:cfRule>
    <x:cfRule type="expression" dxfId="41" priority="3">
      <x:formula>AND(I2="Offen",E2&gt;=TODAY(),E2&lt;=TODAY()+7)</x:formula>
    </x:cfRule>
  </x:conditionalFormatting>
  <x:conditionalFormatting sqref="I2:I500">
    <x:cfRule type="expression" dxfId="40" priority="5">
      <x:formula>I2="Bezahlt"</x:formula>
    </x:cfRule>
    <x:cfRule type="expression" dxfId="39" priority="6">
      <x:formula>I2="Offen"</x:formula>
    </x:cfRule>
    <x:cfRule type="expression" dxfId="38" priority="7">
      <x:formula>I2="Teilbezahlt"</x:formula>
    </x:cfRule>
  </x:conditionalFormatting>
  <x:dataValidations count="3">
    <x:dataValidation type="list" sqref="I2:I301">
      <x:formula1>"Offen,Bezahlt,Teilbezahlt"</x:formula1>
    </x:dataValidation>
    <x:dataValidation type="list" sqref="K2:K301">
      <x:formula1>"Material,Montage,Fahrzeug,Werkzeug,Versicherung,Steuer,Büro,Werbung,Sonstiges"</x:formula1>
    </x:dataValidation>
    <x:dataValidation type="list" sqref="I2:I500">
      <x:formula1>"Offen,Teilbezahlt,Bezahlt,Storniert"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41315404784339"/>
  </x:tableParts>
</x:worksheet>
</file>

<file path=xl/worksheets/sheet4.xml><?xml version="1.0" encoding="utf-8"?>
<x:worksheet xmlns:x="http://schemas.openxmlformats.org/spreadsheetml/2006/main">
  <x:sheetFormatPr baseColWidth="10" defaultColWidth="8.796875" defaultRowHeight="13.800000190734863"/>
  <x:cols>
    <x:col min="1" max="1" width="18" customWidth="1"/>
    <x:col min="2" max="2" width="24" customWidth="1"/>
    <x:col min="3" max="3" width="22" customWidth="1"/>
    <x:col min="4" max="4" width="18" customWidth="1"/>
    <x:col min="5" max="8" width="15" customWidth="1"/>
    <x:col min="9" max="9" width="14" customWidth="1"/>
    <x:col min="10" max="10" width="15" customWidth="1"/>
    <x:col min="11" max="11" width="14" customWidth="1"/>
    <x:col min="12" max="12" width="24" customWidth="1"/>
    <x:col min="13" max="13" width="13" customWidth="1"/>
    <x:col min="14" max="15" width="16" customWidth="1"/>
  </x:cols>
  <x:sheetData>
    <x:row r="1" ht="24" customHeight="1">
      <x:c r="A1" s="8" t="s">
        <x:v>85</x:v>
      </x:c>
      <x:c r="B1" s="8" t="s">
        <x:v>121</x:v>
      </x:c>
      <x:c r="C1" s="8" t="s">
        <x:v>87</x:v>
      </x:c>
      <x:c r="D1" s="8" t="s">
        <x:v>88</x:v>
      </x:c>
      <x:c r="E1" s="8" t="s">
        <x:v>89</x:v>
      </x:c>
      <x:c r="F1" s="8" t="s">
        <x:v>92</x:v>
      </x:c>
      <x:c r="G1" s="8" t="s">
        <x:v>122</x:v>
      </x:c>
      <x:c r="H1" s="8" t="s">
        <x:v>123</x:v>
      </x:c>
      <x:c r="I1" s="8" t="s">
        <x:v>42</x:v>
      </x:c>
      <x:c r="J1" s="8" t="s">
        <x:v>59</x:v>
      </x:c>
      <x:c r="K1" s="8" t="s">
        <x:v>124</x:v>
      </x:c>
      <x:c r="L1" s="8" t="s">
        <x:v>96</x:v>
      </x:c>
      <x:c r="M1" s="8" t="s">
        <x:v>125</x:v>
      </x:c>
      <x:c r="N1" s="8" t="s">
        <x:v>90</x:v>
      </x:c>
      <x:c r="O1" s="8" t="s">
        <x:v>126</x:v>
      </x:c>
    </x:row>
    <x:row r="2">
      <x:c r="A2" s="53">
        <x:v>46144</x:v>
      </x:c>
      <x:c r="B2" s="58" t="s">
        <x:v>127</x:v>
      </x:c>
      <x:c r="C2" s="58" t="s">
        <x:v>128</x:v>
      </x:c>
      <x:c r="D2" s="58" t="s">
        <x:v>129</x:v>
      </x:c>
      <x:c r="E2" s="63">
        <x:v>46228</x:v>
      </x:c>
      <x:c r="F2" s="82">
        <x:v>319.10000000000002</x:v>
      </x:c>
      <x:c r="G2" s="82"/>
      <x:c r="H2" s="37" t="n">
        <x:f t="shared" ref="H2:H65" si="0">IF(F2="","",MAX(0,F2-G2))</x:f>
        <x:v>319.1</x:v>
      </x:c>
      <x:c r="I2" s="79" t="str">
        <x:f t="shared" ref="I2:I65" si="1">IF(F2="","",IF(H2=0,"Bezahlt",IF(G2&gt;0,"Teilbezahlt","Offen")))</x:f>
        <x:v>Offen</x:v>
      </x:c>
      <x:c r="J2" s="63"/>
      <x:c r="K2" s="58"/>
      <x:c r="L2" s="58"/>
      <x:c r="M2" s="80">
        <x:v>0.19</x:v>
      </x:c>
      <x:c r="N2" s="87" t="n">
        <x:f t="shared" ref="N2:N65" si="2">IF(F2="","",ROUND(F2/(1+M2),2))</x:f>
        <x:v>268.15</x:v>
      </x:c>
      <x:c r="O2" s="90" t="n">
        <x:f t="shared" ref="O2:O65" si="3">IF(F2="","",ROUND(F2-N2,2))</x:f>
        <x:v>50.95</x:v>
      </x:c>
    </x:row>
    <x:row r="3">
      <x:c r="A3" s="54">
        <x:v>46215</x:v>
      </x:c>
      <x:c r="B3" s="59" t="s">
        <x:v>130</x:v>
      </x:c>
      <x:c r="C3" s="59" t="s">
        <x:v>131</x:v>
      </x:c>
      <x:c r="D3" s="59" t="s">
        <x:v>132</x:v>
      </x:c>
      <x:c r="E3" s="64">
        <x:v>46242</x:v>
      </x:c>
      <x:c r="F3" s="83">
        <x:v>789.12</x:v>
      </x:c>
      <x:c r="G3" s="83"/>
      <x:c r="H3" s="38">
        <x:f t="shared" si="0"/>
        <x:v>789.12</x:v>
      </x:c>
      <x:c r="I3" s="60" t="str">
        <x:f t="shared" si="1"/>
        <x:v>Offen</x:v>
      </x:c>
      <x:c r="J3" s="64"/>
      <x:c r="K3" s="59"/>
      <x:c r="L3" s="59"/>
      <x:c r="M3" s="81">
        <x:v>0.19</x:v>
      </x:c>
      <x:c r="N3" s="88">
        <x:f t="shared" si="2"/>
        <x:v>663.13</x:v>
      </x:c>
      <x:c r="O3" s="91">
        <x:f t="shared" si="3"/>
        <x:v>125.99</x:v>
      </x:c>
    </x:row>
    <x:row r="4">
      <x:c r="A4" s="54">
        <x:v>46215</x:v>
      </x:c>
      <x:c r="B4" s="59" t="s">
        <x:v>111</x:v>
      </x:c>
      <x:c r="C4" s="59" t="s">
        <x:v>133</x:v>
      </x:c>
      <x:c r="D4" s="59" t="s">
        <x:v>134</x:v>
      </x:c>
      <x:c r="E4" s="64">
        <x:v>46242</x:v>
      </x:c>
      <x:c r="F4" s="83">
        <x:v>5317.32</x:v>
      </x:c>
      <x:c r="G4" s="83"/>
      <x:c r="H4" s="39">
        <x:f t="shared" si="0"/>
        <x:v>5317.32</x:v>
      </x:c>
      <x:c r="I4" s="60" t="str">
        <x:f t="shared" si="1"/>
        <x:v>Offen</x:v>
      </x:c>
      <x:c r="J4" s="64"/>
      <x:c r="K4" s="59"/>
      <x:c r="L4" s="59"/>
      <x:c r="M4" s="81">
        <x:v>0.19</x:v>
      </x:c>
      <x:c r="N4" s="89">
        <x:f t="shared" si="2"/>
        <x:v>4468.34</x:v>
      </x:c>
      <x:c r="O4" s="92">
        <x:f t="shared" si="3"/>
        <x:v>848.98</x:v>
      </x:c>
    </x:row>
    <x:row r="5">
      <x:c r="A5" s="54">
        <x:v>46215</x:v>
      </x:c>
      <x:c r="B5" s="59" t="s">
        <x:v>135</x:v>
      </x:c>
      <x:c r="C5" s="59" t="s">
        <x:v>136</x:v>
      </x:c>
      <x:c r="D5" s="59" t="s">
        <x:v>137</x:v>
      </x:c>
      <x:c r="E5" s="64">
        <x:v>46235</x:v>
      </x:c>
      <x:c r="F5" s="83">
        <x:v>13655</x:v>
      </x:c>
      <x:c r="G5" s="83"/>
      <x:c r="H5" s="38">
        <x:f t="shared" si="0"/>
        <x:v>13655</x:v>
      </x:c>
      <x:c r="I5" s="60" t="str">
        <x:f t="shared" si="1"/>
        <x:v>Offen</x:v>
      </x:c>
      <x:c r="J5" s="64"/>
      <x:c r="K5" s="59"/>
      <x:c r="L5" s="59"/>
      <x:c r="M5" s="81">
        <x:v>0.19</x:v>
      </x:c>
      <x:c r="N5" s="88">
        <x:f t="shared" si="2"/>
        <x:v>11474.79</x:v>
      </x:c>
      <x:c r="O5" s="91">
        <x:f t="shared" si="3"/>
        <x:v>2180.21</x:v>
      </x:c>
    </x:row>
    <x:row r="6">
      <x:c r="A6" s="54">
        <x:v>46215</x:v>
      </x:c>
      <x:c r="B6" s="59" t="s">
        <x:v>138</x:v>
      </x:c>
      <x:c r="C6" s="59" t="s">
        <x:v>139</x:v>
      </x:c>
      <x:c r="D6" s="59" t="s">
        <x:v>132</x:v>
      </x:c>
      <x:c r="E6" s="64">
        <x:v>46276</x:v>
      </x:c>
      <x:c r="F6" s="83">
        <x:v>3223</x:v>
      </x:c>
      <x:c r="G6" s="83"/>
      <x:c r="H6" s="39">
        <x:f t="shared" si="0"/>
        <x:v>3223</x:v>
      </x:c>
      <x:c r="I6" s="60" t="str">
        <x:f t="shared" si="1"/>
        <x:v>Offen</x:v>
      </x:c>
      <x:c r="J6" s="64"/>
      <x:c r="K6" s="59"/>
      <x:c r="L6" s="59"/>
      <x:c r="M6" s="81">
        <x:v>0.19</x:v>
      </x:c>
      <x:c r="N6" s="89">
        <x:f t="shared" si="2"/>
        <x:v>2708.4</x:v>
      </x:c>
      <x:c r="O6" s="92">
        <x:f t="shared" si="3"/>
        <x:v>514.6</x:v>
      </x:c>
    </x:row>
    <x:row r="7">
      <x:c r="A7" s="54">
        <x:v>46215</x:v>
      </x:c>
      <x:c r="B7" s="59" t="s">
        <x:v>140</x:v>
      </x:c>
      <x:c r="C7" s="59" t="s">
        <x:v>139</x:v>
      </x:c>
      <x:c r="D7" s="59" t="s">
        <x:v>132</x:v>
      </x:c>
      <x:c r="E7" s="64">
        <x:v>46284</x:v>
      </x:c>
      <x:c r="F7" s="83">
        <x:v>1069.75</x:v>
      </x:c>
      <x:c r="G7" s="83"/>
      <x:c r="H7" s="38">
        <x:f t="shared" si="0"/>
        <x:v>1069.75</x:v>
      </x:c>
      <x:c r="I7" s="60" t="str">
        <x:f t="shared" si="1"/>
        <x:v>Offen</x:v>
      </x:c>
      <x:c r="J7" s="64"/>
      <x:c r="K7" s="59"/>
      <x:c r="L7" s="59"/>
      <x:c r="M7" s="81">
        <x:v>0.19</x:v>
      </x:c>
      <x:c r="N7" s="88">
        <x:f t="shared" si="2"/>
        <x:v>898.95</x:v>
      </x:c>
      <x:c r="O7" s="91">
        <x:f t="shared" si="3"/>
        <x:v>170.8</x:v>
      </x:c>
    </x:row>
    <x:row r="8">
      <x:c r="A8" s="54">
        <x:v>46224</x:v>
      </x:c>
      <x:c r="B8" s="59" t="s">
        <x:v>141</x:v>
      </x:c>
      <x:c r="C8" s="59" t="s">
        <x:v>142</x:v>
      </x:c>
      <x:c r="D8" s="300">
        <x:v>0.8</x:v>
      </x:c>
      <x:c r="E8" s="64">
        <x:v>46262</x:v>
      </x:c>
      <x:c r="F8" s="83">
        <x:v>24466.400000000001</x:v>
      </x:c>
      <x:c r="G8" s="83"/>
      <x:c r="H8" s="39">
        <x:f t="shared" si="0"/>
        <x:v>24466.400000000001</x:v>
      </x:c>
      <x:c r="I8" s="60" t="str">
        <x:f t="shared" si="1"/>
        <x:v>Offen</x:v>
      </x:c>
      <x:c r="J8" s="64"/>
      <x:c r="K8" s="59"/>
      <x:c r="L8" s="59"/>
      <x:c r="M8" s="81"/>
      <x:c r="N8" s="89">
        <x:f t="shared" si="2"/>
        <x:v>24466.400000000001</x:v>
      </x:c>
      <x:c r="O8" s="92">
        <x:f t="shared" si="3"/>
        <x:v>0</x:v>
      </x:c>
    </x:row>
    <x:row r="9">
      <x:c r="A9" s="54">
        <x:v>46224</x:v>
      </x:c>
      <x:c r="B9" s="59" t="s">
        <x:v>143</x:v>
      </x:c>
      <x:c r="C9" s="59" t="s">
        <x:v>142</x:v>
      </x:c>
      <x:c r="D9" s="300">
        <x:v>0.2</x:v>
      </x:c>
      <x:c r="E9" s="64">
        <x:v>46312</x:v>
      </x:c>
      <x:c r="F9" s="83">
        <x:v>6116.6</x:v>
      </x:c>
      <x:c r="G9" s="83"/>
      <x:c r="H9" s="38">
        <x:f t="shared" si="0"/>
        <x:v>6116.6</x:v>
      </x:c>
      <x:c r="I9" s="60" t="str">
        <x:f t="shared" si="1"/>
        <x:v>Offen</x:v>
      </x:c>
      <x:c r="J9" s="64"/>
      <x:c r="K9" s="59"/>
      <x:c r="L9" s="59"/>
      <x:c r="M9" s="81"/>
      <x:c r="N9" s="88">
        <x:f t="shared" si="2"/>
        <x:v>6116.6</x:v>
      </x:c>
      <x:c r="O9" s="91">
        <x:f t="shared" si="3"/>
        <x:v>0</x:v>
      </x:c>
    </x:row>
    <x:row r="10">
      <x:c r="A10" s="54"/>
      <x:c r="B10" s="59"/>
      <x:c r="C10" s="59"/>
      <x:c r="D10" s="59"/>
      <x:c r="E10" s="64"/>
      <x:c r="F10" s="83"/>
      <x:c r="G10" s="83"/>
      <x:c r="H10" s="39" t="str">
        <x:f t="shared" si="0"/>
      </x:c>
      <x:c r="I10" s="60" t="str">
        <x:f t="shared" si="1"/>
      </x:c>
      <x:c r="J10" s="64"/>
      <x:c r="K10" s="59"/>
      <x:c r="L10" s="59"/>
      <x:c r="M10" s="81"/>
      <x:c r="N10" s="89" t="str">
        <x:f t="shared" si="2"/>
      </x:c>
      <x:c r="O10" s="92" t="str">
        <x:f t="shared" si="3"/>
      </x:c>
    </x:row>
    <x:row r="11">
      <x:c r="A11" s="54"/>
      <x:c r="B11" s="59"/>
      <x:c r="C11" s="59"/>
      <x:c r="D11" s="59"/>
      <x:c r="E11" s="64"/>
      <x:c r="F11" s="83"/>
      <x:c r="G11" s="83"/>
      <x:c r="H11" s="38" t="str">
        <x:f t="shared" si="0"/>
      </x:c>
      <x:c r="I11" s="60" t="str">
        <x:f t="shared" si="1"/>
      </x:c>
      <x:c r="J11" s="64"/>
      <x:c r="K11" s="59"/>
      <x:c r="L11" s="59"/>
      <x:c r="M11" s="81"/>
      <x:c r="N11" s="88" t="str">
        <x:f t="shared" si="2"/>
      </x:c>
      <x:c r="O11" s="91" t="str">
        <x:f t="shared" si="3"/>
      </x:c>
    </x:row>
    <x:row r="12">
      <x:c r="A12" s="54"/>
      <x:c r="B12" s="59"/>
      <x:c r="C12" s="59"/>
      <x:c r="D12" s="59"/>
      <x:c r="E12" s="64"/>
      <x:c r="F12" s="83"/>
      <x:c r="G12" s="83"/>
      <x:c r="H12" s="39" t="str">
        <x:f t="shared" si="0"/>
      </x:c>
      <x:c r="I12" s="60" t="str">
        <x:f t="shared" si="1"/>
      </x:c>
      <x:c r="J12" s="64"/>
      <x:c r="K12" s="59"/>
      <x:c r="L12" s="59"/>
      <x:c r="M12" s="81"/>
      <x:c r="N12" s="89" t="str">
        <x:f t="shared" si="2"/>
      </x:c>
      <x:c r="O12" s="92" t="str">
        <x:f t="shared" si="3"/>
      </x:c>
    </x:row>
    <x:row r="13">
      <x:c r="A13" s="54"/>
      <x:c r="B13" s="59"/>
      <x:c r="C13" s="59"/>
      <x:c r="D13" s="59"/>
      <x:c r="E13" s="64"/>
      <x:c r="F13" s="83"/>
      <x:c r="G13" s="83"/>
      <x:c r="H13" s="38" t="str">
        <x:f t="shared" si="0"/>
      </x:c>
      <x:c r="I13" s="60" t="str">
        <x:f t="shared" si="1"/>
      </x:c>
      <x:c r="J13" s="64"/>
      <x:c r="K13" s="59"/>
      <x:c r="L13" s="59"/>
      <x:c r="M13" s="81"/>
      <x:c r="N13" s="88" t="str">
        <x:f t="shared" si="2"/>
      </x:c>
      <x:c r="O13" s="91" t="str">
        <x:f t="shared" si="3"/>
      </x:c>
    </x:row>
    <x:row r="14">
      <x:c r="A14" s="54"/>
      <x:c r="B14" s="59"/>
      <x:c r="C14" s="59"/>
      <x:c r="D14" s="59"/>
      <x:c r="E14" s="64"/>
      <x:c r="F14" s="83"/>
      <x:c r="G14" s="83"/>
      <x:c r="H14" s="39" t="str">
        <x:f t="shared" si="0"/>
      </x:c>
      <x:c r="I14" s="60" t="str">
        <x:f t="shared" si="1"/>
      </x:c>
      <x:c r="J14" s="64"/>
      <x:c r="K14" s="59"/>
      <x:c r="L14" s="59"/>
      <x:c r="M14" s="81"/>
      <x:c r="N14" s="89" t="str">
        <x:f t="shared" si="2"/>
      </x:c>
      <x:c r="O14" s="92" t="str">
        <x:f t="shared" si="3"/>
      </x:c>
    </x:row>
    <x:row r="15">
      <x:c r="A15" s="54"/>
      <x:c r="B15" s="59"/>
      <x:c r="C15" s="59"/>
      <x:c r="D15" s="59"/>
      <x:c r="E15" s="64"/>
      <x:c r="F15" s="83"/>
      <x:c r="G15" s="83"/>
      <x:c r="H15" s="38" t="str">
        <x:f t="shared" si="0"/>
      </x:c>
      <x:c r="I15" s="60" t="str">
        <x:f t="shared" si="1"/>
      </x:c>
      <x:c r="J15" s="64"/>
      <x:c r="K15" s="59"/>
      <x:c r="L15" s="59"/>
      <x:c r="M15" s="81"/>
      <x:c r="N15" s="88" t="str">
        <x:f t="shared" si="2"/>
      </x:c>
      <x:c r="O15" s="91" t="str">
        <x:f t="shared" si="3"/>
      </x:c>
    </x:row>
    <x:row r="16">
      <x:c r="A16" s="54"/>
      <x:c r="B16" s="59"/>
      <x:c r="C16" s="59"/>
      <x:c r="D16" s="59"/>
      <x:c r="E16" s="64"/>
      <x:c r="F16" s="83"/>
      <x:c r="G16" s="83"/>
      <x:c r="H16" s="39" t="str">
        <x:f t="shared" si="0"/>
      </x:c>
      <x:c r="I16" s="60" t="str">
        <x:f t="shared" si="1"/>
      </x:c>
      <x:c r="J16" s="64"/>
      <x:c r="K16" s="59"/>
      <x:c r="L16" s="59"/>
      <x:c r="M16" s="81"/>
      <x:c r="N16" s="89" t="str">
        <x:f t="shared" si="2"/>
      </x:c>
      <x:c r="O16" s="92" t="str">
        <x:f t="shared" si="3"/>
      </x:c>
    </x:row>
    <x:row r="17">
      <x:c r="A17" s="54"/>
      <x:c r="B17" s="59"/>
      <x:c r="C17" s="59"/>
      <x:c r="D17" s="59"/>
      <x:c r="E17" s="64"/>
      <x:c r="F17" s="83"/>
      <x:c r="G17" s="83"/>
      <x:c r="H17" s="38" t="str">
        <x:f t="shared" si="0"/>
      </x:c>
      <x:c r="I17" s="60" t="str">
        <x:f t="shared" si="1"/>
      </x:c>
      <x:c r="J17" s="64"/>
      <x:c r="K17" s="59"/>
      <x:c r="L17" s="59"/>
      <x:c r="M17" s="81"/>
      <x:c r="N17" s="88" t="str">
        <x:f t="shared" si="2"/>
      </x:c>
      <x:c r="O17" s="91" t="str">
        <x:f t="shared" si="3"/>
      </x:c>
    </x:row>
    <x:row r="18">
      <x:c r="A18" s="54"/>
      <x:c r="B18" s="59"/>
      <x:c r="C18" s="59"/>
      <x:c r="D18" s="59"/>
      <x:c r="E18" s="64"/>
      <x:c r="F18" s="83"/>
      <x:c r="G18" s="83"/>
      <x:c r="H18" s="39" t="str">
        <x:f t="shared" si="0"/>
      </x:c>
      <x:c r="I18" s="60" t="str">
        <x:f t="shared" si="1"/>
      </x:c>
      <x:c r="J18" s="64"/>
      <x:c r="K18" s="59"/>
      <x:c r="L18" s="59"/>
      <x:c r="M18" s="81"/>
      <x:c r="N18" s="89" t="str">
        <x:f t="shared" si="2"/>
      </x:c>
      <x:c r="O18" s="92" t="str">
        <x:f t="shared" si="3"/>
      </x:c>
    </x:row>
    <x:row r="19">
      <x:c r="A19" s="54"/>
      <x:c r="B19" s="59"/>
      <x:c r="C19" s="59"/>
      <x:c r="D19" s="59"/>
      <x:c r="E19" s="64"/>
      <x:c r="F19" s="83"/>
      <x:c r="G19" s="83"/>
      <x:c r="H19" s="38" t="str">
        <x:f t="shared" si="0"/>
      </x:c>
      <x:c r="I19" s="60" t="str">
        <x:f t="shared" si="1"/>
      </x:c>
      <x:c r="J19" s="64"/>
      <x:c r="K19" s="59"/>
      <x:c r="L19" s="59"/>
      <x:c r="M19" s="81"/>
      <x:c r="N19" s="88" t="str">
        <x:f t="shared" si="2"/>
      </x:c>
      <x:c r="O19" s="91" t="str">
        <x:f t="shared" si="3"/>
      </x:c>
    </x:row>
    <x:row r="20">
      <x:c r="A20" s="54"/>
      <x:c r="B20" s="59"/>
      <x:c r="C20" s="59"/>
      <x:c r="D20" s="59"/>
      <x:c r="E20" s="64"/>
      <x:c r="F20" s="83"/>
      <x:c r="G20" s="83"/>
      <x:c r="H20" s="39" t="str">
        <x:f t="shared" si="0"/>
      </x:c>
      <x:c r="I20" s="60" t="str">
        <x:f t="shared" si="1"/>
      </x:c>
      <x:c r="J20" s="64"/>
      <x:c r="K20" s="59"/>
      <x:c r="L20" s="59"/>
      <x:c r="M20" s="81"/>
      <x:c r="N20" s="89" t="str">
        <x:f t="shared" si="2"/>
      </x:c>
      <x:c r="O20" s="92" t="str">
        <x:f t="shared" si="3"/>
      </x:c>
    </x:row>
    <x:row r="21">
      <x:c r="A21" s="54"/>
      <x:c r="B21" s="59"/>
      <x:c r="C21" s="59"/>
      <x:c r="D21" s="59"/>
      <x:c r="E21" s="64"/>
      <x:c r="F21" s="83"/>
      <x:c r="G21" s="83"/>
      <x:c r="H21" s="38" t="str">
        <x:f t="shared" si="0"/>
      </x:c>
      <x:c r="I21" s="60" t="str">
        <x:f t="shared" si="1"/>
      </x:c>
      <x:c r="J21" s="64"/>
      <x:c r="K21" s="59"/>
      <x:c r="L21" s="59"/>
      <x:c r="M21" s="81"/>
      <x:c r="N21" s="88" t="str">
        <x:f t="shared" si="2"/>
      </x:c>
      <x:c r="O21" s="91" t="str">
        <x:f t="shared" si="3"/>
      </x:c>
    </x:row>
    <x:row r="22">
      <x:c r="A22" s="54"/>
      <x:c r="B22" s="59"/>
      <x:c r="C22" s="59"/>
      <x:c r="D22" s="59"/>
      <x:c r="E22" s="64"/>
      <x:c r="F22" s="83"/>
      <x:c r="G22" s="83"/>
      <x:c r="H22" s="39" t="str">
        <x:f t="shared" si="0"/>
      </x:c>
      <x:c r="I22" s="60" t="str">
        <x:f t="shared" si="1"/>
      </x:c>
      <x:c r="J22" s="64"/>
      <x:c r="K22" s="59"/>
      <x:c r="L22" s="59"/>
      <x:c r="M22" s="81"/>
      <x:c r="N22" s="89" t="str">
        <x:f t="shared" si="2"/>
      </x:c>
      <x:c r="O22" s="92" t="str">
        <x:f t="shared" si="3"/>
      </x:c>
    </x:row>
    <x:row r="23">
      <x:c r="A23" s="54"/>
      <x:c r="B23" s="59"/>
      <x:c r="C23" s="59"/>
      <x:c r="D23" s="59"/>
      <x:c r="E23" s="64"/>
      <x:c r="F23" s="83"/>
      <x:c r="G23" s="83"/>
      <x:c r="H23" s="38" t="str">
        <x:f t="shared" si="0"/>
      </x:c>
      <x:c r="I23" s="60" t="str">
        <x:f t="shared" si="1"/>
      </x:c>
      <x:c r="J23" s="64"/>
      <x:c r="K23" s="59"/>
      <x:c r="L23" s="59"/>
      <x:c r="M23" s="81"/>
      <x:c r="N23" s="88" t="str">
        <x:f t="shared" si="2"/>
      </x:c>
      <x:c r="O23" s="91" t="str">
        <x:f t="shared" si="3"/>
      </x:c>
    </x:row>
    <x:row r="24">
      <x:c r="A24" s="54"/>
      <x:c r="B24" s="59"/>
      <x:c r="C24" s="59"/>
      <x:c r="D24" s="59"/>
      <x:c r="E24" s="64"/>
      <x:c r="F24" s="83"/>
      <x:c r="G24" s="83"/>
      <x:c r="H24" s="39" t="str">
        <x:f t="shared" si="0"/>
      </x:c>
      <x:c r="I24" s="60" t="str">
        <x:f t="shared" si="1"/>
      </x:c>
      <x:c r="J24" s="64"/>
      <x:c r="K24" s="59"/>
      <x:c r="L24" s="59"/>
      <x:c r="M24" s="81"/>
      <x:c r="N24" s="89" t="str">
        <x:f t="shared" si="2"/>
      </x:c>
      <x:c r="O24" s="92" t="str">
        <x:f t="shared" si="3"/>
      </x:c>
    </x:row>
    <x:row r="25">
      <x:c r="A25" s="54"/>
      <x:c r="B25" s="59"/>
      <x:c r="C25" s="59"/>
      <x:c r="D25" s="59"/>
      <x:c r="E25" s="64"/>
      <x:c r="F25" s="83"/>
      <x:c r="G25" s="83"/>
      <x:c r="H25" s="38" t="str">
        <x:f t="shared" si="0"/>
      </x:c>
      <x:c r="I25" s="60" t="str">
        <x:f t="shared" si="1"/>
      </x:c>
      <x:c r="J25" s="64"/>
      <x:c r="K25" s="59"/>
      <x:c r="L25" s="59"/>
      <x:c r="M25" s="81"/>
      <x:c r="N25" s="88" t="str">
        <x:f t="shared" si="2"/>
      </x:c>
      <x:c r="O25" s="91" t="str">
        <x:f t="shared" si="3"/>
      </x:c>
    </x:row>
    <x:row r="26">
      <x:c r="A26" s="54"/>
      <x:c r="B26" s="59"/>
      <x:c r="C26" s="59"/>
      <x:c r="D26" s="59"/>
      <x:c r="E26" s="64"/>
      <x:c r="F26" s="83"/>
      <x:c r="G26" s="83"/>
      <x:c r="H26" s="39" t="str">
        <x:f t="shared" si="0"/>
      </x:c>
      <x:c r="I26" s="60" t="str">
        <x:f t="shared" si="1"/>
      </x:c>
      <x:c r="J26" s="64"/>
      <x:c r="K26" s="59"/>
      <x:c r="L26" s="59"/>
      <x:c r="M26" s="81"/>
      <x:c r="N26" s="89" t="str">
        <x:f t="shared" si="2"/>
      </x:c>
      <x:c r="O26" s="92" t="str">
        <x:f t="shared" si="3"/>
      </x:c>
    </x:row>
    <x:row r="27">
      <x:c r="A27" s="54"/>
      <x:c r="B27" s="59"/>
      <x:c r="C27" s="59"/>
      <x:c r="D27" s="59"/>
      <x:c r="E27" s="64"/>
      <x:c r="F27" s="83"/>
      <x:c r="G27" s="83"/>
      <x:c r="H27" s="38" t="str">
        <x:f t="shared" si="0"/>
      </x:c>
      <x:c r="I27" s="60" t="str">
        <x:f t="shared" si="1"/>
      </x:c>
      <x:c r="J27" s="64"/>
      <x:c r="K27" s="59"/>
      <x:c r="L27" s="59"/>
      <x:c r="M27" s="81"/>
      <x:c r="N27" s="88" t="str">
        <x:f t="shared" si="2"/>
      </x:c>
      <x:c r="O27" s="91" t="str">
        <x:f t="shared" si="3"/>
      </x:c>
    </x:row>
    <x:row r="28">
      <x:c r="A28" s="54"/>
      <x:c r="B28" s="59"/>
      <x:c r="C28" s="59"/>
      <x:c r="D28" s="59"/>
      <x:c r="E28" s="64"/>
      <x:c r="F28" s="83"/>
      <x:c r="G28" s="83"/>
      <x:c r="H28" s="39" t="str">
        <x:f t="shared" si="0"/>
      </x:c>
      <x:c r="I28" s="60" t="str">
        <x:f t="shared" si="1"/>
      </x:c>
      <x:c r="J28" s="64"/>
      <x:c r="K28" s="59"/>
      <x:c r="L28" s="59"/>
      <x:c r="M28" s="81"/>
      <x:c r="N28" s="89" t="str">
        <x:f t="shared" si="2"/>
      </x:c>
      <x:c r="O28" s="92" t="str">
        <x:f t="shared" si="3"/>
      </x:c>
    </x:row>
    <x:row r="29">
      <x:c r="A29" s="54"/>
      <x:c r="B29" s="59"/>
      <x:c r="C29" s="59"/>
      <x:c r="D29" s="59"/>
      <x:c r="E29" s="64"/>
      <x:c r="F29" s="83"/>
      <x:c r="G29" s="83"/>
      <x:c r="H29" s="38" t="str">
        <x:f t="shared" si="0"/>
      </x:c>
      <x:c r="I29" s="60" t="str">
        <x:f t="shared" si="1"/>
      </x:c>
      <x:c r="J29" s="64"/>
      <x:c r="K29" s="59"/>
      <x:c r="L29" s="59"/>
      <x:c r="M29" s="81"/>
      <x:c r="N29" s="88" t="str">
        <x:f t="shared" si="2"/>
      </x:c>
      <x:c r="O29" s="91" t="str">
        <x:f t="shared" si="3"/>
      </x:c>
    </x:row>
    <x:row r="30">
      <x:c r="A30" s="54"/>
      <x:c r="B30" s="59"/>
      <x:c r="C30" s="59"/>
      <x:c r="D30" s="59"/>
      <x:c r="E30" s="64"/>
      <x:c r="F30" s="83"/>
      <x:c r="G30" s="83"/>
      <x:c r="H30" s="39" t="str">
        <x:f t="shared" si="0"/>
      </x:c>
      <x:c r="I30" s="60" t="str">
        <x:f t="shared" si="1"/>
      </x:c>
      <x:c r="J30" s="64"/>
      <x:c r="K30" s="59"/>
      <x:c r="L30" s="59"/>
      <x:c r="M30" s="81"/>
      <x:c r="N30" s="89" t="str">
        <x:f t="shared" si="2"/>
      </x:c>
      <x:c r="O30" s="92" t="str">
        <x:f t="shared" si="3"/>
      </x:c>
    </x:row>
    <x:row r="31">
      <x:c r="A31" s="54"/>
      <x:c r="B31" s="59"/>
      <x:c r="C31" s="59"/>
      <x:c r="D31" s="59"/>
      <x:c r="E31" s="64"/>
      <x:c r="F31" s="83"/>
      <x:c r="G31" s="83"/>
      <x:c r="H31" s="38" t="str">
        <x:f t="shared" si="0"/>
      </x:c>
      <x:c r="I31" s="60" t="str">
        <x:f t="shared" si="1"/>
      </x:c>
      <x:c r="J31" s="64"/>
      <x:c r="K31" s="59"/>
      <x:c r="L31" s="59"/>
      <x:c r="M31" s="81"/>
      <x:c r="N31" s="88" t="str">
        <x:f t="shared" si="2"/>
      </x:c>
      <x:c r="O31" s="91" t="str">
        <x:f t="shared" si="3"/>
      </x:c>
    </x:row>
    <x:row r="32">
      <x:c r="A32" s="54"/>
      <x:c r="B32" s="59"/>
      <x:c r="C32" s="59"/>
      <x:c r="D32" s="59"/>
      <x:c r="E32" s="64"/>
      <x:c r="F32" s="83"/>
      <x:c r="G32" s="83"/>
      <x:c r="H32" s="39" t="str">
        <x:f t="shared" si="0"/>
      </x:c>
      <x:c r="I32" s="60" t="str">
        <x:f t="shared" si="1"/>
      </x:c>
      <x:c r="J32" s="64"/>
      <x:c r="K32" s="59"/>
      <x:c r="L32" s="59"/>
      <x:c r="M32" s="81"/>
      <x:c r="N32" s="89" t="str">
        <x:f t="shared" si="2"/>
      </x:c>
      <x:c r="O32" s="92" t="str">
        <x:f t="shared" si="3"/>
      </x:c>
    </x:row>
    <x:row r="33">
      <x:c r="A33" s="54"/>
      <x:c r="B33" s="59"/>
      <x:c r="C33" s="59"/>
      <x:c r="D33" s="59"/>
      <x:c r="E33" s="64"/>
      <x:c r="F33" s="83"/>
      <x:c r="G33" s="83"/>
      <x:c r="H33" s="38" t="str">
        <x:f t="shared" si="0"/>
      </x:c>
      <x:c r="I33" s="60" t="str">
        <x:f t="shared" si="1"/>
      </x:c>
      <x:c r="J33" s="64"/>
      <x:c r="K33" s="59"/>
      <x:c r="L33" s="59"/>
      <x:c r="M33" s="81"/>
      <x:c r="N33" s="88" t="str">
        <x:f t="shared" si="2"/>
      </x:c>
      <x:c r="O33" s="91" t="str">
        <x:f t="shared" si="3"/>
      </x:c>
    </x:row>
    <x:row r="34">
      <x:c r="A34" s="54"/>
      <x:c r="B34" s="59"/>
      <x:c r="C34" s="59"/>
      <x:c r="D34" s="59"/>
      <x:c r="E34" s="64"/>
      <x:c r="F34" s="83"/>
      <x:c r="G34" s="83"/>
      <x:c r="H34" s="39" t="str">
        <x:f t="shared" si="0"/>
      </x:c>
      <x:c r="I34" s="60" t="str">
        <x:f t="shared" si="1"/>
      </x:c>
      <x:c r="J34" s="64"/>
      <x:c r="K34" s="59"/>
      <x:c r="L34" s="59"/>
      <x:c r="M34" s="81"/>
      <x:c r="N34" s="89" t="str">
        <x:f t="shared" si="2"/>
      </x:c>
      <x:c r="O34" s="92" t="str">
        <x:f t="shared" si="3"/>
      </x:c>
    </x:row>
    <x:row r="35">
      <x:c r="A35" s="54"/>
      <x:c r="B35" s="59"/>
      <x:c r="C35" s="59"/>
      <x:c r="D35" s="59"/>
      <x:c r="E35" s="64"/>
      <x:c r="F35" s="83"/>
      <x:c r="G35" s="83"/>
      <x:c r="H35" s="38" t="str">
        <x:f t="shared" si="0"/>
      </x:c>
      <x:c r="I35" s="60" t="str">
        <x:f t="shared" si="1"/>
      </x:c>
      <x:c r="J35" s="64"/>
      <x:c r="K35" s="59"/>
      <x:c r="L35" s="59"/>
      <x:c r="M35" s="81"/>
      <x:c r="N35" s="88" t="str">
        <x:f t="shared" si="2"/>
      </x:c>
      <x:c r="O35" s="91" t="str">
        <x:f t="shared" si="3"/>
      </x:c>
    </x:row>
    <x:row r="36">
      <x:c r="A36" s="54"/>
      <x:c r="B36" s="59"/>
      <x:c r="C36" s="59"/>
      <x:c r="D36" s="59"/>
      <x:c r="E36" s="64"/>
      <x:c r="F36" s="83"/>
      <x:c r="G36" s="83"/>
      <x:c r="H36" s="39" t="str">
        <x:f t="shared" si="0"/>
      </x:c>
      <x:c r="I36" s="60" t="str">
        <x:f t="shared" si="1"/>
      </x:c>
      <x:c r="J36" s="64"/>
      <x:c r="K36" s="59"/>
      <x:c r="L36" s="59"/>
      <x:c r="M36" s="81"/>
      <x:c r="N36" s="89" t="str">
        <x:f t="shared" si="2"/>
      </x:c>
      <x:c r="O36" s="92" t="str">
        <x:f t="shared" si="3"/>
      </x:c>
    </x:row>
    <x:row r="37">
      <x:c r="A37" s="54"/>
      <x:c r="B37" s="59"/>
      <x:c r="C37" s="59"/>
      <x:c r="D37" s="59"/>
      <x:c r="E37" s="64"/>
      <x:c r="F37" s="83"/>
      <x:c r="G37" s="83"/>
      <x:c r="H37" s="38" t="str">
        <x:f t="shared" si="0"/>
      </x:c>
      <x:c r="I37" s="60" t="str">
        <x:f t="shared" si="1"/>
      </x:c>
      <x:c r="J37" s="64"/>
      <x:c r="K37" s="59"/>
      <x:c r="L37" s="59"/>
      <x:c r="M37" s="81"/>
      <x:c r="N37" s="88" t="str">
        <x:f t="shared" si="2"/>
      </x:c>
      <x:c r="O37" s="91" t="str">
        <x:f t="shared" si="3"/>
      </x:c>
    </x:row>
    <x:row r="38">
      <x:c r="A38" s="54"/>
      <x:c r="B38" s="59"/>
      <x:c r="C38" s="59"/>
      <x:c r="D38" s="59"/>
      <x:c r="E38" s="64"/>
      <x:c r="F38" s="83"/>
      <x:c r="G38" s="83"/>
      <x:c r="H38" s="39" t="str">
        <x:f t="shared" si="0"/>
      </x:c>
      <x:c r="I38" s="60" t="str">
        <x:f t="shared" si="1"/>
      </x:c>
      <x:c r="J38" s="64"/>
      <x:c r="K38" s="59"/>
      <x:c r="L38" s="59"/>
      <x:c r="M38" s="81"/>
      <x:c r="N38" s="89" t="str">
        <x:f t="shared" si="2"/>
      </x:c>
      <x:c r="O38" s="92" t="str">
        <x:f t="shared" si="3"/>
      </x:c>
    </x:row>
    <x:row r="39">
      <x:c r="A39" s="54"/>
      <x:c r="B39" s="59"/>
      <x:c r="C39" s="59"/>
      <x:c r="D39" s="59"/>
      <x:c r="E39" s="64"/>
      <x:c r="F39" s="83"/>
      <x:c r="G39" s="83"/>
      <x:c r="H39" s="38" t="str">
        <x:f t="shared" si="0"/>
      </x:c>
      <x:c r="I39" s="60" t="str">
        <x:f t="shared" si="1"/>
      </x:c>
      <x:c r="J39" s="64"/>
      <x:c r="K39" s="59"/>
      <x:c r="L39" s="59"/>
      <x:c r="M39" s="81"/>
      <x:c r="N39" s="88" t="str">
        <x:f t="shared" si="2"/>
      </x:c>
      <x:c r="O39" s="91" t="str">
        <x:f t="shared" si="3"/>
      </x:c>
    </x:row>
    <x:row r="40">
      <x:c r="A40" s="54"/>
      <x:c r="B40" s="59"/>
      <x:c r="C40" s="59"/>
      <x:c r="D40" s="59"/>
      <x:c r="E40" s="64"/>
      <x:c r="F40" s="83"/>
      <x:c r="G40" s="83"/>
      <x:c r="H40" s="39" t="str">
        <x:f t="shared" si="0"/>
      </x:c>
      <x:c r="I40" s="60" t="str">
        <x:f t="shared" si="1"/>
      </x:c>
      <x:c r="J40" s="64"/>
      <x:c r="K40" s="59"/>
      <x:c r="L40" s="59"/>
      <x:c r="M40" s="81"/>
      <x:c r="N40" s="89" t="str">
        <x:f t="shared" si="2"/>
      </x:c>
      <x:c r="O40" s="92" t="str">
        <x:f t="shared" si="3"/>
      </x:c>
    </x:row>
    <x:row r="41">
      <x:c r="A41" s="54"/>
      <x:c r="B41" s="59"/>
      <x:c r="C41" s="59"/>
      <x:c r="D41" s="59"/>
      <x:c r="E41" s="64"/>
      <x:c r="F41" s="83"/>
      <x:c r="G41" s="83"/>
      <x:c r="H41" s="38" t="str">
        <x:f t="shared" si="0"/>
      </x:c>
      <x:c r="I41" s="60" t="str">
        <x:f t="shared" si="1"/>
      </x:c>
      <x:c r="J41" s="64"/>
      <x:c r="K41" s="59"/>
      <x:c r="L41" s="59"/>
      <x:c r="M41" s="81"/>
      <x:c r="N41" s="88" t="str">
        <x:f t="shared" si="2"/>
      </x:c>
      <x:c r="O41" s="91" t="str">
        <x:f t="shared" si="3"/>
      </x:c>
    </x:row>
    <x:row r="42">
      <x:c r="A42" s="54"/>
      <x:c r="B42" s="59"/>
      <x:c r="C42" s="59"/>
      <x:c r="D42" s="59"/>
      <x:c r="E42" s="64"/>
      <x:c r="F42" s="83"/>
      <x:c r="G42" s="83"/>
      <x:c r="H42" s="39" t="str">
        <x:f t="shared" si="0"/>
      </x:c>
      <x:c r="I42" s="60" t="str">
        <x:f t="shared" si="1"/>
      </x:c>
      <x:c r="J42" s="64"/>
      <x:c r="K42" s="59"/>
      <x:c r="L42" s="59"/>
      <x:c r="M42" s="81"/>
      <x:c r="N42" s="89" t="str">
        <x:f t="shared" si="2"/>
      </x:c>
      <x:c r="O42" s="92" t="str">
        <x:f t="shared" si="3"/>
      </x:c>
    </x:row>
    <x:row r="43">
      <x:c r="A43" s="54"/>
      <x:c r="B43" s="59"/>
      <x:c r="C43" s="59"/>
      <x:c r="D43" s="59"/>
      <x:c r="E43" s="64"/>
      <x:c r="F43" s="83"/>
      <x:c r="G43" s="83"/>
      <x:c r="H43" s="38" t="str">
        <x:f t="shared" si="0"/>
      </x:c>
      <x:c r="I43" s="60" t="str">
        <x:f t="shared" si="1"/>
      </x:c>
      <x:c r="J43" s="64"/>
      <x:c r="K43" s="59"/>
      <x:c r="L43" s="59"/>
      <x:c r="M43" s="81"/>
      <x:c r="N43" s="88" t="str">
        <x:f t="shared" si="2"/>
      </x:c>
      <x:c r="O43" s="91" t="str">
        <x:f t="shared" si="3"/>
      </x:c>
    </x:row>
    <x:row r="44">
      <x:c r="A44" s="54"/>
      <x:c r="B44" s="59"/>
      <x:c r="C44" s="59"/>
      <x:c r="D44" s="59"/>
      <x:c r="E44" s="64"/>
      <x:c r="F44" s="83"/>
      <x:c r="G44" s="83"/>
      <x:c r="H44" s="39" t="str">
        <x:f t="shared" si="0"/>
      </x:c>
      <x:c r="I44" s="60" t="str">
        <x:f t="shared" si="1"/>
      </x:c>
      <x:c r="J44" s="64"/>
      <x:c r="K44" s="59"/>
      <x:c r="L44" s="59"/>
      <x:c r="M44" s="81"/>
      <x:c r="N44" s="89" t="str">
        <x:f t="shared" si="2"/>
      </x:c>
      <x:c r="O44" s="92" t="str">
        <x:f t="shared" si="3"/>
      </x:c>
    </x:row>
    <x:row r="45">
      <x:c r="A45" s="54"/>
      <x:c r="B45" s="59"/>
      <x:c r="C45" s="59"/>
      <x:c r="D45" s="59"/>
      <x:c r="E45" s="64"/>
      <x:c r="F45" s="83"/>
      <x:c r="G45" s="83"/>
      <x:c r="H45" s="38" t="str">
        <x:f t="shared" si="0"/>
      </x:c>
      <x:c r="I45" s="60" t="str">
        <x:f t="shared" si="1"/>
      </x:c>
      <x:c r="J45" s="64"/>
      <x:c r="K45" s="59"/>
      <x:c r="L45" s="59"/>
      <x:c r="M45" s="81"/>
      <x:c r="N45" s="88" t="str">
        <x:f t="shared" si="2"/>
      </x:c>
      <x:c r="O45" s="91" t="str">
        <x:f t="shared" si="3"/>
      </x:c>
    </x:row>
    <x:row r="46">
      <x:c r="A46" s="54"/>
      <x:c r="B46" s="59"/>
      <x:c r="C46" s="59"/>
      <x:c r="D46" s="59"/>
      <x:c r="E46" s="64"/>
      <x:c r="F46" s="83"/>
      <x:c r="G46" s="83"/>
      <x:c r="H46" s="39" t="str">
        <x:f t="shared" si="0"/>
      </x:c>
      <x:c r="I46" s="60" t="str">
        <x:f t="shared" si="1"/>
      </x:c>
      <x:c r="J46" s="64"/>
      <x:c r="K46" s="59"/>
      <x:c r="L46" s="59"/>
      <x:c r="M46" s="81"/>
      <x:c r="N46" s="89" t="str">
        <x:f t="shared" si="2"/>
      </x:c>
      <x:c r="O46" s="92" t="str">
        <x:f t="shared" si="3"/>
      </x:c>
    </x:row>
    <x:row r="47">
      <x:c r="A47" s="54"/>
      <x:c r="B47" s="59"/>
      <x:c r="C47" s="59"/>
      <x:c r="D47" s="59"/>
      <x:c r="E47" s="64"/>
      <x:c r="F47" s="83"/>
      <x:c r="G47" s="83"/>
      <x:c r="H47" s="38" t="str">
        <x:f t="shared" si="0"/>
      </x:c>
      <x:c r="I47" s="60" t="str">
        <x:f t="shared" si="1"/>
      </x:c>
      <x:c r="J47" s="64"/>
      <x:c r="K47" s="59"/>
      <x:c r="L47" s="59"/>
      <x:c r="M47" s="81"/>
      <x:c r="N47" s="88" t="str">
        <x:f t="shared" si="2"/>
      </x:c>
      <x:c r="O47" s="91" t="str">
        <x:f t="shared" si="3"/>
      </x:c>
    </x:row>
    <x:row r="48">
      <x:c r="A48" s="54"/>
      <x:c r="B48" s="59"/>
      <x:c r="C48" s="59"/>
      <x:c r="D48" s="59"/>
      <x:c r="E48" s="64"/>
      <x:c r="F48" s="83"/>
      <x:c r="G48" s="83"/>
      <x:c r="H48" s="39" t="str">
        <x:f t="shared" si="0"/>
      </x:c>
      <x:c r="I48" s="60" t="str">
        <x:f t="shared" si="1"/>
      </x:c>
      <x:c r="J48" s="64"/>
      <x:c r="K48" s="59"/>
      <x:c r="L48" s="59"/>
      <x:c r="M48" s="81"/>
      <x:c r="N48" s="89" t="str">
        <x:f t="shared" si="2"/>
      </x:c>
      <x:c r="O48" s="92" t="str">
        <x:f t="shared" si="3"/>
      </x:c>
    </x:row>
    <x:row r="49">
      <x:c r="A49" s="54"/>
      <x:c r="B49" s="59"/>
      <x:c r="C49" s="59"/>
      <x:c r="D49" s="59"/>
      <x:c r="E49" s="64"/>
      <x:c r="F49" s="83"/>
      <x:c r="G49" s="83"/>
      <x:c r="H49" s="38" t="str">
        <x:f t="shared" si="0"/>
      </x:c>
      <x:c r="I49" s="60" t="str">
        <x:f t="shared" si="1"/>
      </x:c>
      <x:c r="J49" s="64"/>
      <x:c r="K49" s="59"/>
      <x:c r="L49" s="59"/>
      <x:c r="M49" s="81"/>
      <x:c r="N49" s="88" t="str">
        <x:f t="shared" si="2"/>
      </x:c>
      <x:c r="O49" s="91" t="str">
        <x:f t="shared" si="3"/>
      </x:c>
    </x:row>
    <x:row r="50">
      <x:c r="A50" s="54"/>
      <x:c r="B50" s="59"/>
      <x:c r="C50" s="59"/>
      <x:c r="D50" s="59"/>
      <x:c r="E50" s="64"/>
      <x:c r="F50" s="83"/>
      <x:c r="G50" s="83"/>
      <x:c r="H50" s="39" t="str">
        <x:f t="shared" si="0"/>
      </x:c>
      <x:c r="I50" s="60" t="str">
        <x:f t="shared" si="1"/>
      </x:c>
      <x:c r="J50" s="64"/>
      <x:c r="K50" s="59"/>
      <x:c r="L50" s="59"/>
      <x:c r="M50" s="81"/>
      <x:c r="N50" s="89" t="str">
        <x:f t="shared" si="2"/>
      </x:c>
      <x:c r="O50" s="92" t="str">
        <x:f t="shared" si="3"/>
      </x:c>
    </x:row>
    <x:row r="51">
      <x:c r="A51" s="54"/>
      <x:c r="B51" s="59"/>
      <x:c r="C51" s="59"/>
      <x:c r="D51" s="59"/>
      <x:c r="E51" s="64"/>
      <x:c r="F51" s="83"/>
      <x:c r="G51" s="83"/>
      <x:c r="H51" s="38" t="str">
        <x:f t="shared" si="0"/>
      </x:c>
      <x:c r="I51" s="60" t="str">
        <x:f t="shared" si="1"/>
      </x:c>
      <x:c r="J51" s="64"/>
      <x:c r="K51" s="59"/>
      <x:c r="L51" s="59"/>
      <x:c r="M51" s="81"/>
      <x:c r="N51" s="88" t="str">
        <x:f t="shared" si="2"/>
      </x:c>
      <x:c r="O51" s="91" t="str">
        <x:f t="shared" si="3"/>
      </x:c>
    </x:row>
    <x:row r="52">
      <x:c r="A52" s="54"/>
      <x:c r="B52" s="59"/>
      <x:c r="C52" s="59"/>
      <x:c r="D52" s="59"/>
      <x:c r="E52" s="64"/>
      <x:c r="F52" s="83"/>
      <x:c r="G52" s="83"/>
      <x:c r="H52" s="39" t="str">
        <x:f t="shared" si="0"/>
      </x:c>
      <x:c r="I52" s="60" t="str">
        <x:f t="shared" si="1"/>
      </x:c>
      <x:c r="J52" s="64"/>
      <x:c r="K52" s="59"/>
      <x:c r="L52" s="59"/>
      <x:c r="M52" s="81"/>
      <x:c r="N52" s="89" t="str">
        <x:f t="shared" si="2"/>
      </x:c>
      <x:c r="O52" s="92" t="str">
        <x:f t="shared" si="3"/>
      </x:c>
    </x:row>
    <x:row r="53">
      <x:c r="A53" s="54"/>
      <x:c r="B53" s="59"/>
      <x:c r="C53" s="59"/>
      <x:c r="D53" s="59"/>
      <x:c r="E53" s="64"/>
      <x:c r="F53" s="83"/>
      <x:c r="G53" s="83"/>
      <x:c r="H53" s="38" t="str">
        <x:f t="shared" si="0"/>
      </x:c>
      <x:c r="I53" s="60" t="str">
        <x:f t="shared" si="1"/>
      </x:c>
      <x:c r="J53" s="64"/>
      <x:c r="K53" s="59"/>
      <x:c r="L53" s="59"/>
      <x:c r="M53" s="81"/>
      <x:c r="N53" s="88" t="str">
        <x:f t="shared" si="2"/>
      </x:c>
      <x:c r="O53" s="91" t="str">
        <x:f t="shared" si="3"/>
      </x:c>
    </x:row>
    <x:row r="54">
      <x:c r="A54" s="54"/>
      <x:c r="B54" s="59"/>
      <x:c r="C54" s="59"/>
      <x:c r="D54" s="59"/>
      <x:c r="E54" s="64"/>
      <x:c r="F54" s="83"/>
      <x:c r="G54" s="83"/>
      <x:c r="H54" s="39" t="str">
        <x:f t="shared" si="0"/>
      </x:c>
      <x:c r="I54" s="60" t="str">
        <x:f t="shared" si="1"/>
      </x:c>
      <x:c r="J54" s="64"/>
      <x:c r="K54" s="59"/>
      <x:c r="L54" s="59"/>
      <x:c r="M54" s="81"/>
      <x:c r="N54" s="89" t="str">
        <x:f t="shared" si="2"/>
      </x:c>
      <x:c r="O54" s="92" t="str">
        <x:f t="shared" si="3"/>
      </x:c>
    </x:row>
    <x:row r="55">
      <x:c r="A55" s="54"/>
      <x:c r="B55" s="59"/>
      <x:c r="C55" s="59"/>
      <x:c r="D55" s="59"/>
      <x:c r="E55" s="64"/>
      <x:c r="F55" s="83"/>
      <x:c r="G55" s="83"/>
      <x:c r="H55" s="38" t="str">
        <x:f t="shared" si="0"/>
      </x:c>
      <x:c r="I55" s="60" t="str">
        <x:f t="shared" si="1"/>
      </x:c>
      <x:c r="J55" s="64"/>
      <x:c r="K55" s="59"/>
      <x:c r="L55" s="59"/>
      <x:c r="M55" s="81"/>
      <x:c r="N55" s="88" t="str">
        <x:f t="shared" si="2"/>
      </x:c>
      <x:c r="O55" s="91" t="str">
        <x:f t="shared" si="3"/>
      </x:c>
    </x:row>
    <x:row r="56">
      <x:c r="A56" s="54"/>
      <x:c r="B56" s="59"/>
      <x:c r="C56" s="59"/>
      <x:c r="D56" s="59"/>
      <x:c r="E56" s="64"/>
      <x:c r="F56" s="83"/>
      <x:c r="G56" s="83"/>
      <x:c r="H56" s="39" t="str">
        <x:f t="shared" si="0"/>
      </x:c>
      <x:c r="I56" s="60" t="str">
        <x:f t="shared" si="1"/>
      </x:c>
      <x:c r="J56" s="64"/>
      <x:c r="K56" s="59"/>
      <x:c r="L56" s="59"/>
      <x:c r="M56" s="81"/>
      <x:c r="N56" s="89" t="str">
        <x:f t="shared" si="2"/>
      </x:c>
      <x:c r="O56" s="92" t="str">
        <x:f t="shared" si="3"/>
      </x:c>
    </x:row>
    <x:row r="57">
      <x:c r="A57" s="54"/>
      <x:c r="B57" s="59"/>
      <x:c r="C57" s="59"/>
      <x:c r="D57" s="59"/>
      <x:c r="E57" s="64"/>
      <x:c r="F57" s="83"/>
      <x:c r="G57" s="83"/>
      <x:c r="H57" s="38" t="str">
        <x:f t="shared" si="0"/>
      </x:c>
      <x:c r="I57" s="60" t="str">
        <x:f t="shared" si="1"/>
      </x:c>
      <x:c r="J57" s="64"/>
      <x:c r="K57" s="59"/>
      <x:c r="L57" s="59"/>
      <x:c r="M57" s="81"/>
      <x:c r="N57" s="88" t="str">
        <x:f t="shared" si="2"/>
      </x:c>
      <x:c r="O57" s="91" t="str">
        <x:f t="shared" si="3"/>
      </x:c>
    </x:row>
    <x:row r="58">
      <x:c r="A58" s="54"/>
      <x:c r="B58" s="59"/>
      <x:c r="C58" s="59"/>
      <x:c r="D58" s="59"/>
      <x:c r="E58" s="64"/>
      <x:c r="F58" s="83"/>
      <x:c r="G58" s="83"/>
      <x:c r="H58" s="39" t="str">
        <x:f t="shared" si="0"/>
      </x:c>
      <x:c r="I58" s="60" t="str">
        <x:f t="shared" si="1"/>
      </x:c>
      <x:c r="J58" s="64"/>
      <x:c r="K58" s="59"/>
      <x:c r="L58" s="59"/>
      <x:c r="M58" s="81"/>
      <x:c r="N58" s="89" t="str">
        <x:f t="shared" si="2"/>
      </x:c>
      <x:c r="O58" s="92" t="str">
        <x:f t="shared" si="3"/>
      </x:c>
    </x:row>
    <x:row r="59">
      <x:c r="A59" s="54"/>
      <x:c r="B59" s="59"/>
      <x:c r="C59" s="59"/>
      <x:c r="D59" s="59"/>
      <x:c r="E59" s="64"/>
      <x:c r="F59" s="83"/>
      <x:c r="G59" s="83"/>
      <x:c r="H59" s="38" t="str">
        <x:f t="shared" si="0"/>
      </x:c>
      <x:c r="I59" s="60" t="str">
        <x:f t="shared" si="1"/>
      </x:c>
      <x:c r="J59" s="64"/>
      <x:c r="K59" s="59"/>
      <x:c r="L59" s="59"/>
      <x:c r="M59" s="81"/>
      <x:c r="N59" s="88" t="str">
        <x:f t="shared" si="2"/>
      </x:c>
      <x:c r="O59" s="91" t="str">
        <x:f t="shared" si="3"/>
      </x:c>
    </x:row>
    <x:row r="60">
      <x:c r="A60" s="54"/>
      <x:c r="B60" s="59"/>
      <x:c r="C60" s="59"/>
      <x:c r="D60" s="59"/>
      <x:c r="E60" s="64"/>
      <x:c r="F60" s="83"/>
      <x:c r="G60" s="83"/>
      <x:c r="H60" s="39" t="str">
        <x:f t="shared" si="0"/>
      </x:c>
      <x:c r="I60" s="60" t="str">
        <x:f t="shared" si="1"/>
      </x:c>
      <x:c r="J60" s="64"/>
      <x:c r="K60" s="59"/>
      <x:c r="L60" s="59"/>
      <x:c r="M60" s="81"/>
      <x:c r="N60" s="89" t="str">
        <x:f t="shared" si="2"/>
      </x:c>
      <x:c r="O60" s="92" t="str">
        <x:f t="shared" si="3"/>
      </x:c>
    </x:row>
    <x:row r="61">
      <x:c r="A61" s="54"/>
      <x:c r="B61" s="59"/>
      <x:c r="C61" s="59"/>
      <x:c r="D61" s="59"/>
      <x:c r="E61" s="64"/>
      <x:c r="F61" s="83"/>
      <x:c r="G61" s="83"/>
      <x:c r="H61" s="38" t="str">
        <x:f t="shared" si="0"/>
      </x:c>
      <x:c r="I61" s="60" t="str">
        <x:f t="shared" si="1"/>
      </x:c>
      <x:c r="J61" s="64"/>
      <x:c r="K61" s="59"/>
      <x:c r="L61" s="59"/>
      <x:c r="M61" s="81"/>
      <x:c r="N61" s="88" t="str">
        <x:f t="shared" si="2"/>
      </x:c>
      <x:c r="O61" s="91" t="str">
        <x:f t="shared" si="3"/>
      </x:c>
    </x:row>
    <x:row r="62">
      <x:c r="A62" s="54"/>
      <x:c r="B62" s="59"/>
      <x:c r="C62" s="59"/>
      <x:c r="D62" s="59"/>
      <x:c r="E62" s="64"/>
      <x:c r="F62" s="83"/>
      <x:c r="G62" s="83"/>
      <x:c r="H62" s="39" t="str">
        <x:f t="shared" si="0"/>
      </x:c>
      <x:c r="I62" s="60" t="str">
        <x:f t="shared" si="1"/>
      </x:c>
      <x:c r="J62" s="64"/>
      <x:c r="K62" s="59"/>
      <x:c r="L62" s="59"/>
      <x:c r="M62" s="81"/>
      <x:c r="N62" s="89" t="str">
        <x:f t="shared" si="2"/>
      </x:c>
      <x:c r="O62" s="92" t="str">
        <x:f t="shared" si="3"/>
      </x:c>
    </x:row>
    <x:row r="63">
      <x:c r="A63" s="54"/>
      <x:c r="B63" s="59"/>
      <x:c r="C63" s="59"/>
      <x:c r="D63" s="59"/>
      <x:c r="E63" s="64"/>
      <x:c r="F63" s="83"/>
      <x:c r="G63" s="83"/>
      <x:c r="H63" s="38" t="str">
        <x:f t="shared" si="0"/>
      </x:c>
      <x:c r="I63" s="60" t="str">
        <x:f t="shared" si="1"/>
      </x:c>
      <x:c r="J63" s="64"/>
      <x:c r="K63" s="59"/>
      <x:c r="L63" s="59"/>
      <x:c r="M63" s="81"/>
      <x:c r="N63" s="88" t="str">
        <x:f t="shared" si="2"/>
      </x:c>
      <x:c r="O63" s="91" t="str">
        <x:f t="shared" si="3"/>
      </x:c>
    </x:row>
    <x:row r="64">
      <x:c r="A64" s="54"/>
      <x:c r="B64" s="59"/>
      <x:c r="C64" s="59"/>
      <x:c r="D64" s="59"/>
      <x:c r="E64" s="64"/>
      <x:c r="F64" s="83"/>
      <x:c r="G64" s="83"/>
      <x:c r="H64" s="39" t="str">
        <x:f t="shared" si="0"/>
      </x:c>
      <x:c r="I64" s="60" t="str">
        <x:f t="shared" si="1"/>
      </x:c>
      <x:c r="J64" s="64"/>
      <x:c r="K64" s="59"/>
      <x:c r="L64" s="59"/>
      <x:c r="M64" s="81"/>
      <x:c r="N64" s="89" t="str">
        <x:f t="shared" si="2"/>
      </x:c>
      <x:c r="O64" s="92" t="str">
        <x:f t="shared" si="3"/>
      </x:c>
    </x:row>
    <x:row r="65">
      <x:c r="A65" s="54"/>
      <x:c r="B65" s="59"/>
      <x:c r="C65" s="59"/>
      <x:c r="D65" s="59"/>
      <x:c r="E65" s="64"/>
      <x:c r="F65" s="83"/>
      <x:c r="G65" s="83"/>
      <x:c r="H65" s="38" t="str">
        <x:f t="shared" si="0"/>
      </x:c>
      <x:c r="I65" s="60" t="str">
        <x:f t="shared" si="1"/>
      </x:c>
      <x:c r="J65" s="64"/>
      <x:c r="K65" s="59"/>
      <x:c r="L65" s="59"/>
      <x:c r="M65" s="81"/>
      <x:c r="N65" s="88" t="str">
        <x:f t="shared" si="2"/>
      </x:c>
      <x:c r="O65" s="91" t="str">
        <x:f t="shared" si="3"/>
      </x:c>
    </x:row>
    <x:row r="66">
      <x:c r="A66" s="54"/>
      <x:c r="B66" s="59"/>
      <x:c r="C66" s="59"/>
      <x:c r="D66" s="59"/>
      <x:c r="E66" s="64"/>
      <x:c r="F66" s="83"/>
      <x:c r="G66" s="83"/>
      <x:c r="H66" s="39" t="str">
        <x:f t="shared" ref="H66:H129" si="4">IF(F66="","",MAX(0,F66-G66))</x:f>
      </x:c>
      <x:c r="I66" s="60" t="str">
        <x:f t="shared" ref="I66:I129" si="5">IF(F66="","",IF(H66=0,"Bezahlt",IF(G66&gt;0,"Teilbezahlt","Offen")))</x:f>
      </x:c>
      <x:c r="J66" s="64"/>
      <x:c r="K66" s="59"/>
      <x:c r="L66" s="59"/>
      <x:c r="M66" s="81"/>
      <x:c r="N66" s="89" t="str">
        <x:f t="shared" ref="N66:N129" si="6">IF(F66="","",ROUND(F66/(1+M66),2))</x:f>
      </x:c>
      <x:c r="O66" s="92" t="str">
        <x:f t="shared" ref="O66:O129" si="7">IF(F66="","",ROUND(F66-N66,2))</x:f>
      </x:c>
    </x:row>
    <x:row r="67">
      <x:c r="A67" s="54"/>
      <x:c r="B67" s="59"/>
      <x:c r="C67" s="59"/>
      <x:c r="D67" s="59"/>
      <x:c r="E67" s="64"/>
      <x:c r="F67" s="83"/>
      <x:c r="G67" s="83"/>
      <x:c r="H67" s="38" t="str">
        <x:f t="shared" si="4"/>
      </x:c>
      <x:c r="I67" s="60" t="str">
        <x:f t="shared" si="5"/>
      </x:c>
      <x:c r="J67" s="64"/>
      <x:c r="K67" s="59"/>
      <x:c r="L67" s="59"/>
      <x:c r="M67" s="81"/>
      <x:c r="N67" s="88" t="str">
        <x:f t="shared" si="6"/>
      </x:c>
      <x:c r="O67" s="91" t="str">
        <x:f t="shared" si="7"/>
      </x:c>
    </x:row>
    <x:row r="68">
      <x:c r="A68" s="54"/>
      <x:c r="B68" s="59"/>
      <x:c r="C68" s="59"/>
      <x:c r="D68" s="59"/>
      <x:c r="E68" s="64"/>
      <x:c r="F68" s="83"/>
      <x:c r="G68" s="83"/>
      <x:c r="H68" s="39" t="str">
        <x:f t="shared" si="4"/>
      </x:c>
      <x:c r="I68" s="60" t="str">
        <x:f t="shared" si="5"/>
      </x:c>
      <x:c r="J68" s="64"/>
      <x:c r="K68" s="59"/>
      <x:c r="L68" s="59"/>
      <x:c r="M68" s="81"/>
      <x:c r="N68" s="89" t="str">
        <x:f t="shared" si="6"/>
      </x:c>
      <x:c r="O68" s="92" t="str">
        <x:f t="shared" si="7"/>
      </x:c>
    </x:row>
    <x:row r="69">
      <x:c r="A69" s="54"/>
      <x:c r="B69" s="59"/>
      <x:c r="C69" s="59"/>
      <x:c r="D69" s="59"/>
      <x:c r="E69" s="64"/>
      <x:c r="F69" s="83"/>
      <x:c r="G69" s="83"/>
      <x:c r="H69" s="38" t="str">
        <x:f t="shared" si="4"/>
      </x:c>
      <x:c r="I69" s="60" t="str">
        <x:f t="shared" si="5"/>
      </x:c>
      <x:c r="J69" s="64"/>
      <x:c r="K69" s="59"/>
      <x:c r="L69" s="59"/>
      <x:c r="M69" s="81"/>
      <x:c r="N69" s="88" t="str">
        <x:f t="shared" si="6"/>
      </x:c>
      <x:c r="O69" s="91" t="str">
        <x:f t="shared" si="7"/>
      </x:c>
    </x:row>
    <x:row r="70">
      <x:c r="A70" s="54"/>
      <x:c r="B70" s="59"/>
      <x:c r="C70" s="59"/>
      <x:c r="D70" s="59"/>
      <x:c r="E70" s="64"/>
      <x:c r="F70" s="83"/>
      <x:c r="G70" s="83"/>
      <x:c r="H70" s="39" t="str">
        <x:f t="shared" si="4"/>
      </x:c>
      <x:c r="I70" s="60" t="str">
        <x:f t="shared" si="5"/>
      </x:c>
      <x:c r="J70" s="64"/>
      <x:c r="K70" s="59"/>
      <x:c r="L70" s="59"/>
      <x:c r="M70" s="81"/>
      <x:c r="N70" s="89" t="str">
        <x:f t="shared" si="6"/>
      </x:c>
      <x:c r="O70" s="92" t="str">
        <x:f t="shared" si="7"/>
      </x:c>
    </x:row>
    <x:row r="71">
      <x:c r="A71" s="54"/>
      <x:c r="B71" s="59"/>
      <x:c r="C71" s="59"/>
      <x:c r="D71" s="59"/>
      <x:c r="E71" s="64"/>
      <x:c r="F71" s="83"/>
      <x:c r="G71" s="83"/>
      <x:c r="H71" s="38" t="str">
        <x:f t="shared" si="4"/>
      </x:c>
      <x:c r="I71" s="60" t="str">
        <x:f t="shared" si="5"/>
      </x:c>
      <x:c r="J71" s="64"/>
      <x:c r="K71" s="59"/>
      <x:c r="L71" s="59"/>
      <x:c r="M71" s="81"/>
      <x:c r="N71" s="88" t="str">
        <x:f t="shared" si="6"/>
      </x:c>
      <x:c r="O71" s="91" t="str">
        <x:f t="shared" si="7"/>
      </x:c>
    </x:row>
    <x:row r="72">
      <x:c r="A72" s="54"/>
      <x:c r="B72" s="59"/>
      <x:c r="C72" s="59"/>
      <x:c r="D72" s="59"/>
      <x:c r="E72" s="64"/>
      <x:c r="F72" s="83"/>
      <x:c r="G72" s="83"/>
      <x:c r="H72" s="39" t="str">
        <x:f t="shared" si="4"/>
      </x:c>
      <x:c r="I72" s="60" t="str">
        <x:f t="shared" si="5"/>
      </x:c>
      <x:c r="J72" s="64"/>
      <x:c r="K72" s="59"/>
      <x:c r="L72" s="59"/>
      <x:c r="M72" s="81"/>
      <x:c r="N72" s="89" t="str">
        <x:f t="shared" si="6"/>
      </x:c>
      <x:c r="O72" s="92" t="str">
        <x:f t="shared" si="7"/>
      </x:c>
    </x:row>
    <x:row r="73">
      <x:c r="A73" s="54"/>
      <x:c r="B73" s="59"/>
      <x:c r="C73" s="59"/>
      <x:c r="D73" s="59"/>
      <x:c r="E73" s="64"/>
      <x:c r="F73" s="83"/>
      <x:c r="G73" s="83"/>
      <x:c r="H73" s="38" t="str">
        <x:f t="shared" si="4"/>
      </x:c>
      <x:c r="I73" s="60" t="str">
        <x:f t="shared" si="5"/>
      </x:c>
      <x:c r="J73" s="64"/>
      <x:c r="K73" s="59"/>
      <x:c r="L73" s="59"/>
      <x:c r="M73" s="81"/>
      <x:c r="N73" s="88" t="str">
        <x:f t="shared" si="6"/>
      </x:c>
      <x:c r="O73" s="91" t="str">
        <x:f t="shared" si="7"/>
      </x:c>
    </x:row>
    <x:row r="74">
      <x:c r="A74" s="54"/>
      <x:c r="B74" s="59"/>
      <x:c r="C74" s="59"/>
      <x:c r="D74" s="59"/>
      <x:c r="E74" s="64"/>
      <x:c r="F74" s="83"/>
      <x:c r="G74" s="83"/>
      <x:c r="H74" s="39" t="str">
        <x:f t="shared" si="4"/>
      </x:c>
      <x:c r="I74" s="60" t="str">
        <x:f t="shared" si="5"/>
      </x:c>
      <x:c r="J74" s="64"/>
      <x:c r="K74" s="59"/>
      <x:c r="L74" s="59"/>
      <x:c r="M74" s="81"/>
      <x:c r="N74" s="89" t="str">
        <x:f t="shared" si="6"/>
      </x:c>
      <x:c r="O74" s="92" t="str">
        <x:f t="shared" si="7"/>
      </x:c>
    </x:row>
    <x:row r="75">
      <x:c r="A75" s="54"/>
      <x:c r="B75" s="59"/>
      <x:c r="C75" s="59"/>
      <x:c r="D75" s="59"/>
      <x:c r="E75" s="64"/>
      <x:c r="F75" s="83"/>
      <x:c r="G75" s="83"/>
      <x:c r="H75" s="38" t="str">
        <x:f t="shared" si="4"/>
      </x:c>
      <x:c r="I75" s="60" t="str">
        <x:f t="shared" si="5"/>
      </x:c>
      <x:c r="J75" s="64"/>
      <x:c r="K75" s="59"/>
      <x:c r="L75" s="59"/>
      <x:c r="M75" s="81"/>
      <x:c r="N75" s="88" t="str">
        <x:f t="shared" si="6"/>
      </x:c>
      <x:c r="O75" s="91" t="str">
        <x:f t="shared" si="7"/>
      </x:c>
    </x:row>
    <x:row r="76">
      <x:c r="A76" s="54"/>
      <x:c r="B76" s="59"/>
      <x:c r="C76" s="59"/>
      <x:c r="D76" s="59"/>
      <x:c r="E76" s="64"/>
      <x:c r="F76" s="83"/>
      <x:c r="G76" s="83"/>
      <x:c r="H76" s="39" t="str">
        <x:f t="shared" si="4"/>
      </x:c>
      <x:c r="I76" s="60" t="str">
        <x:f t="shared" si="5"/>
      </x:c>
      <x:c r="J76" s="64"/>
      <x:c r="K76" s="59"/>
      <x:c r="L76" s="59"/>
      <x:c r="M76" s="81"/>
      <x:c r="N76" s="89" t="str">
        <x:f t="shared" si="6"/>
      </x:c>
      <x:c r="O76" s="92" t="str">
        <x:f t="shared" si="7"/>
      </x:c>
    </x:row>
    <x:row r="77">
      <x:c r="A77" s="54"/>
      <x:c r="B77" s="59"/>
      <x:c r="C77" s="59"/>
      <x:c r="D77" s="59"/>
      <x:c r="E77" s="64"/>
      <x:c r="F77" s="83"/>
      <x:c r="G77" s="83"/>
      <x:c r="H77" s="38" t="str">
        <x:f t="shared" si="4"/>
      </x:c>
      <x:c r="I77" s="60" t="str">
        <x:f t="shared" si="5"/>
      </x:c>
      <x:c r="J77" s="64"/>
      <x:c r="K77" s="59"/>
      <x:c r="L77" s="59"/>
      <x:c r="M77" s="81"/>
      <x:c r="N77" s="88" t="str">
        <x:f t="shared" si="6"/>
      </x:c>
      <x:c r="O77" s="91" t="str">
        <x:f t="shared" si="7"/>
      </x:c>
    </x:row>
    <x:row r="78">
      <x:c r="A78" s="54"/>
      <x:c r="B78" s="59"/>
      <x:c r="C78" s="59"/>
      <x:c r="D78" s="59"/>
      <x:c r="E78" s="64"/>
      <x:c r="F78" s="83"/>
      <x:c r="G78" s="83"/>
      <x:c r="H78" s="39" t="str">
        <x:f t="shared" si="4"/>
      </x:c>
      <x:c r="I78" s="60" t="str">
        <x:f t="shared" si="5"/>
      </x:c>
      <x:c r="J78" s="64"/>
      <x:c r="K78" s="59"/>
      <x:c r="L78" s="59"/>
      <x:c r="M78" s="81"/>
      <x:c r="N78" s="89" t="str">
        <x:f t="shared" si="6"/>
      </x:c>
      <x:c r="O78" s="92" t="str">
        <x:f t="shared" si="7"/>
      </x:c>
    </x:row>
    <x:row r="79">
      <x:c r="A79" s="54"/>
      <x:c r="B79" s="59"/>
      <x:c r="C79" s="59"/>
      <x:c r="D79" s="59"/>
      <x:c r="E79" s="64"/>
      <x:c r="F79" s="83"/>
      <x:c r="G79" s="83"/>
      <x:c r="H79" s="38" t="str">
        <x:f t="shared" si="4"/>
      </x:c>
      <x:c r="I79" s="60" t="str">
        <x:f t="shared" si="5"/>
      </x:c>
      <x:c r="J79" s="64"/>
      <x:c r="K79" s="59"/>
      <x:c r="L79" s="59"/>
      <x:c r="M79" s="81"/>
      <x:c r="N79" s="88" t="str">
        <x:f t="shared" si="6"/>
      </x:c>
      <x:c r="O79" s="91" t="str">
        <x:f t="shared" si="7"/>
      </x:c>
    </x:row>
    <x:row r="80">
      <x:c r="A80" s="54"/>
      <x:c r="B80" s="59"/>
      <x:c r="C80" s="59"/>
      <x:c r="D80" s="59"/>
      <x:c r="E80" s="64"/>
      <x:c r="F80" s="83"/>
      <x:c r="G80" s="83"/>
      <x:c r="H80" s="39" t="str">
        <x:f t="shared" si="4"/>
      </x:c>
      <x:c r="I80" s="60" t="str">
        <x:f t="shared" si="5"/>
      </x:c>
      <x:c r="J80" s="64"/>
      <x:c r="K80" s="59"/>
      <x:c r="L80" s="59"/>
      <x:c r="M80" s="81"/>
      <x:c r="N80" s="89" t="str">
        <x:f t="shared" si="6"/>
      </x:c>
      <x:c r="O80" s="92" t="str">
        <x:f t="shared" si="7"/>
      </x:c>
    </x:row>
    <x:row r="81">
      <x:c r="A81" s="54"/>
      <x:c r="B81" s="59"/>
      <x:c r="C81" s="59"/>
      <x:c r="D81" s="59"/>
      <x:c r="E81" s="64"/>
      <x:c r="F81" s="83"/>
      <x:c r="G81" s="83"/>
      <x:c r="H81" s="38" t="str">
        <x:f t="shared" si="4"/>
      </x:c>
      <x:c r="I81" s="60" t="str">
        <x:f t="shared" si="5"/>
      </x:c>
      <x:c r="J81" s="64"/>
      <x:c r="K81" s="59"/>
      <x:c r="L81" s="59"/>
      <x:c r="M81" s="81"/>
      <x:c r="N81" s="88" t="str">
        <x:f t="shared" si="6"/>
      </x:c>
      <x:c r="O81" s="91" t="str">
        <x:f t="shared" si="7"/>
      </x:c>
    </x:row>
    <x:row r="82">
      <x:c r="A82" s="54"/>
      <x:c r="B82" s="59"/>
      <x:c r="C82" s="59"/>
      <x:c r="D82" s="59"/>
      <x:c r="E82" s="64"/>
      <x:c r="F82" s="83"/>
      <x:c r="G82" s="83"/>
      <x:c r="H82" s="39" t="str">
        <x:f t="shared" si="4"/>
      </x:c>
      <x:c r="I82" s="60" t="str">
        <x:f t="shared" si="5"/>
      </x:c>
      <x:c r="J82" s="64"/>
      <x:c r="K82" s="59"/>
      <x:c r="L82" s="59"/>
      <x:c r="M82" s="81"/>
      <x:c r="N82" s="89" t="str">
        <x:f t="shared" si="6"/>
      </x:c>
      <x:c r="O82" s="92" t="str">
        <x:f t="shared" si="7"/>
      </x:c>
    </x:row>
    <x:row r="83">
      <x:c r="A83" s="54"/>
      <x:c r="B83" s="59"/>
      <x:c r="C83" s="59"/>
      <x:c r="D83" s="59"/>
      <x:c r="E83" s="64"/>
      <x:c r="F83" s="83"/>
      <x:c r="G83" s="83"/>
      <x:c r="H83" s="38" t="str">
        <x:f t="shared" si="4"/>
      </x:c>
      <x:c r="I83" s="60" t="str">
        <x:f t="shared" si="5"/>
      </x:c>
      <x:c r="J83" s="64"/>
      <x:c r="K83" s="59"/>
      <x:c r="L83" s="59"/>
      <x:c r="M83" s="81"/>
      <x:c r="N83" s="88" t="str">
        <x:f t="shared" si="6"/>
      </x:c>
      <x:c r="O83" s="91" t="str">
        <x:f t="shared" si="7"/>
      </x:c>
    </x:row>
    <x:row r="84">
      <x:c r="A84" s="54"/>
      <x:c r="B84" s="59"/>
      <x:c r="C84" s="59"/>
      <x:c r="D84" s="59"/>
      <x:c r="E84" s="64"/>
      <x:c r="F84" s="83"/>
      <x:c r="G84" s="83"/>
      <x:c r="H84" s="39" t="str">
        <x:f t="shared" si="4"/>
      </x:c>
      <x:c r="I84" s="60" t="str">
        <x:f t="shared" si="5"/>
      </x:c>
      <x:c r="J84" s="64"/>
      <x:c r="K84" s="59"/>
      <x:c r="L84" s="59"/>
      <x:c r="M84" s="81"/>
      <x:c r="N84" s="89" t="str">
        <x:f t="shared" si="6"/>
      </x:c>
      <x:c r="O84" s="92" t="str">
        <x:f t="shared" si="7"/>
      </x:c>
    </x:row>
    <x:row r="85">
      <x:c r="A85" s="54"/>
      <x:c r="B85" s="59"/>
      <x:c r="C85" s="59"/>
      <x:c r="D85" s="59"/>
      <x:c r="E85" s="64"/>
      <x:c r="F85" s="83"/>
      <x:c r="G85" s="83"/>
      <x:c r="H85" s="38" t="str">
        <x:f t="shared" si="4"/>
      </x:c>
      <x:c r="I85" s="60" t="str">
        <x:f t="shared" si="5"/>
      </x:c>
      <x:c r="J85" s="64"/>
      <x:c r="K85" s="59"/>
      <x:c r="L85" s="59"/>
      <x:c r="M85" s="81"/>
      <x:c r="N85" s="88" t="str">
        <x:f t="shared" si="6"/>
      </x:c>
      <x:c r="O85" s="91" t="str">
        <x:f t="shared" si="7"/>
      </x:c>
    </x:row>
    <x:row r="86">
      <x:c r="A86" s="54"/>
      <x:c r="B86" s="59"/>
      <x:c r="C86" s="59"/>
      <x:c r="D86" s="59"/>
      <x:c r="E86" s="64"/>
      <x:c r="F86" s="83"/>
      <x:c r="G86" s="83"/>
      <x:c r="H86" s="39" t="str">
        <x:f t="shared" si="4"/>
      </x:c>
      <x:c r="I86" s="60" t="str">
        <x:f t="shared" si="5"/>
      </x:c>
      <x:c r="J86" s="64"/>
      <x:c r="K86" s="59"/>
      <x:c r="L86" s="59"/>
      <x:c r="M86" s="81"/>
      <x:c r="N86" s="89" t="str">
        <x:f t="shared" si="6"/>
      </x:c>
      <x:c r="O86" s="92" t="str">
        <x:f t="shared" si="7"/>
      </x:c>
    </x:row>
    <x:row r="87">
      <x:c r="A87" s="54"/>
      <x:c r="B87" s="59"/>
      <x:c r="C87" s="59"/>
      <x:c r="D87" s="59"/>
      <x:c r="E87" s="64"/>
      <x:c r="F87" s="83"/>
      <x:c r="G87" s="83"/>
      <x:c r="H87" s="38" t="str">
        <x:f t="shared" si="4"/>
      </x:c>
      <x:c r="I87" s="60" t="str">
        <x:f t="shared" si="5"/>
      </x:c>
      <x:c r="J87" s="64"/>
      <x:c r="K87" s="59"/>
      <x:c r="L87" s="59"/>
      <x:c r="M87" s="81"/>
      <x:c r="N87" s="88" t="str">
        <x:f t="shared" si="6"/>
      </x:c>
      <x:c r="O87" s="91" t="str">
        <x:f t="shared" si="7"/>
      </x:c>
    </x:row>
    <x:row r="88">
      <x:c r="A88" s="54"/>
      <x:c r="B88" s="59"/>
      <x:c r="C88" s="59"/>
      <x:c r="D88" s="59"/>
      <x:c r="E88" s="64"/>
      <x:c r="F88" s="83"/>
      <x:c r="G88" s="83"/>
      <x:c r="H88" s="39" t="str">
        <x:f t="shared" si="4"/>
      </x:c>
      <x:c r="I88" s="60" t="str">
        <x:f t="shared" si="5"/>
      </x:c>
      <x:c r="J88" s="64"/>
      <x:c r="K88" s="59"/>
      <x:c r="L88" s="59"/>
      <x:c r="M88" s="81"/>
      <x:c r="N88" s="89" t="str">
        <x:f t="shared" si="6"/>
      </x:c>
      <x:c r="O88" s="92" t="str">
        <x:f t="shared" si="7"/>
      </x:c>
    </x:row>
    <x:row r="89">
      <x:c r="A89" s="54"/>
      <x:c r="B89" s="59"/>
      <x:c r="C89" s="59"/>
      <x:c r="D89" s="59"/>
      <x:c r="E89" s="64"/>
      <x:c r="F89" s="83"/>
      <x:c r="G89" s="83"/>
      <x:c r="H89" s="38" t="str">
        <x:f t="shared" si="4"/>
      </x:c>
      <x:c r="I89" s="60" t="str">
        <x:f t="shared" si="5"/>
      </x:c>
      <x:c r="J89" s="64"/>
      <x:c r="K89" s="59"/>
      <x:c r="L89" s="59"/>
      <x:c r="M89" s="81"/>
      <x:c r="N89" s="88" t="str">
        <x:f t="shared" si="6"/>
      </x:c>
      <x:c r="O89" s="91" t="str">
        <x:f t="shared" si="7"/>
      </x:c>
    </x:row>
    <x:row r="90">
      <x:c r="A90" s="54"/>
      <x:c r="B90" s="59"/>
      <x:c r="C90" s="59"/>
      <x:c r="D90" s="59"/>
      <x:c r="E90" s="64"/>
      <x:c r="F90" s="83"/>
      <x:c r="G90" s="83"/>
      <x:c r="H90" s="39" t="str">
        <x:f t="shared" si="4"/>
      </x:c>
      <x:c r="I90" s="60" t="str">
        <x:f t="shared" si="5"/>
      </x:c>
      <x:c r="J90" s="64"/>
      <x:c r="K90" s="59"/>
      <x:c r="L90" s="59"/>
      <x:c r="M90" s="81"/>
      <x:c r="N90" s="89" t="str">
        <x:f t="shared" si="6"/>
      </x:c>
      <x:c r="O90" s="92" t="str">
        <x:f t="shared" si="7"/>
      </x:c>
    </x:row>
    <x:row r="91">
      <x:c r="A91" s="54"/>
      <x:c r="B91" s="59"/>
      <x:c r="C91" s="59"/>
      <x:c r="D91" s="59"/>
      <x:c r="E91" s="64"/>
      <x:c r="F91" s="83"/>
      <x:c r="G91" s="83"/>
      <x:c r="H91" s="38" t="str">
        <x:f t="shared" si="4"/>
      </x:c>
      <x:c r="I91" s="60" t="str">
        <x:f t="shared" si="5"/>
      </x:c>
      <x:c r="J91" s="64"/>
      <x:c r="K91" s="59"/>
      <x:c r="L91" s="59"/>
      <x:c r="M91" s="81"/>
      <x:c r="N91" s="88" t="str">
        <x:f t="shared" si="6"/>
      </x:c>
      <x:c r="O91" s="91" t="str">
        <x:f t="shared" si="7"/>
      </x:c>
    </x:row>
    <x:row r="92">
      <x:c r="A92" s="54"/>
      <x:c r="B92" s="59"/>
      <x:c r="C92" s="59"/>
      <x:c r="D92" s="59"/>
      <x:c r="E92" s="64"/>
      <x:c r="F92" s="83"/>
      <x:c r="G92" s="83"/>
      <x:c r="H92" s="39" t="str">
        <x:f t="shared" si="4"/>
      </x:c>
      <x:c r="I92" s="60" t="str">
        <x:f t="shared" si="5"/>
      </x:c>
      <x:c r="J92" s="64"/>
      <x:c r="K92" s="59"/>
      <x:c r="L92" s="59"/>
      <x:c r="M92" s="81"/>
      <x:c r="N92" s="89" t="str">
        <x:f t="shared" si="6"/>
      </x:c>
      <x:c r="O92" s="92" t="str">
        <x:f t="shared" si="7"/>
      </x:c>
    </x:row>
    <x:row r="93">
      <x:c r="A93" s="54"/>
      <x:c r="B93" s="59"/>
      <x:c r="C93" s="59"/>
      <x:c r="D93" s="59"/>
      <x:c r="E93" s="64"/>
      <x:c r="F93" s="83"/>
      <x:c r="G93" s="83"/>
      <x:c r="H93" s="38" t="str">
        <x:f t="shared" si="4"/>
      </x:c>
      <x:c r="I93" s="60" t="str">
        <x:f t="shared" si="5"/>
      </x:c>
      <x:c r="J93" s="64"/>
      <x:c r="K93" s="59"/>
      <x:c r="L93" s="59"/>
      <x:c r="M93" s="81"/>
      <x:c r="N93" s="88" t="str">
        <x:f t="shared" si="6"/>
      </x:c>
      <x:c r="O93" s="91" t="str">
        <x:f t="shared" si="7"/>
      </x:c>
    </x:row>
    <x:row r="94">
      <x:c r="A94" s="54"/>
      <x:c r="B94" s="59"/>
      <x:c r="C94" s="59"/>
      <x:c r="D94" s="59"/>
      <x:c r="E94" s="64"/>
      <x:c r="F94" s="83"/>
      <x:c r="G94" s="83"/>
      <x:c r="H94" s="39" t="str">
        <x:f t="shared" si="4"/>
      </x:c>
      <x:c r="I94" s="60" t="str">
        <x:f t="shared" si="5"/>
      </x:c>
      <x:c r="J94" s="64"/>
      <x:c r="K94" s="59"/>
      <x:c r="L94" s="59"/>
      <x:c r="M94" s="81"/>
      <x:c r="N94" s="89" t="str">
        <x:f t="shared" si="6"/>
      </x:c>
      <x:c r="O94" s="92" t="str">
        <x:f t="shared" si="7"/>
      </x:c>
    </x:row>
    <x:row r="95">
      <x:c r="A95" s="54"/>
      <x:c r="B95" s="59"/>
      <x:c r="C95" s="59"/>
      <x:c r="D95" s="59"/>
      <x:c r="E95" s="64"/>
      <x:c r="F95" s="83"/>
      <x:c r="G95" s="83"/>
      <x:c r="H95" s="38" t="str">
        <x:f t="shared" si="4"/>
      </x:c>
      <x:c r="I95" s="60" t="str">
        <x:f t="shared" si="5"/>
      </x:c>
      <x:c r="J95" s="64"/>
      <x:c r="K95" s="59"/>
      <x:c r="L95" s="59"/>
      <x:c r="M95" s="81"/>
      <x:c r="N95" s="88" t="str">
        <x:f t="shared" si="6"/>
      </x:c>
      <x:c r="O95" s="91" t="str">
        <x:f t="shared" si="7"/>
      </x:c>
    </x:row>
    <x:row r="96">
      <x:c r="A96" s="54"/>
      <x:c r="B96" s="59"/>
      <x:c r="C96" s="59"/>
      <x:c r="D96" s="59"/>
      <x:c r="E96" s="64"/>
      <x:c r="F96" s="83"/>
      <x:c r="G96" s="83"/>
      <x:c r="H96" s="39" t="str">
        <x:f t="shared" si="4"/>
      </x:c>
      <x:c r="I96" s="60" t="str">
        <x:f t="shared" si="5"/>
      </x:c>
      <x:c r="J96" s="64"/>
      <x:c r="K96" s="59"/>
      <x:c r="L96" s="59"/>
      <x:c r="M96" s="81"/>
      <x:c r="N96" s="89" t="str">
        <x:f t="shared" si="6"/>
      </x:c>
      <x:c r="O96" s="92" t="str">
        <x:f t="shared" si="7"/>
      </x:c>
    </x:row>
    <x:row r="97">
      <x:c r="A97" s="54"/>
      <x:c r="B97" s="59"/>
      <x:c r="C97" s="59"/>
      <x:c r="D97" s="59"/>
      <x:c r="E97" s="64"/>
      <x:c r="F97" s="83"/>
      <x:c r="G97" s="83"/>
      <x:c r="H97" s="38" t="str">
        <x:f t="shared" si="4"/>
      </x:c>
      <x:c r="I97" s="60" t="str">
        <x:f t="shared" si="5"/>
      </x:c>
      <x:c r="J97" s="64"/>
      <x:c r="K97" s="59"/>
      <x:c r="L97" s="59"/>
      <x:c r="M97" s="81"/>
      <x:c r="N97" s="88" t="str">
        <x:f t="shared" si="6"/>
      </x:c>
      <x:c r="O97" s="91" t="str">
        <x:f t="shared" si="7"/>
      </x:c>
    </x:row>
    <x:row r="98">
      <x:c r="A98" s="54"/>
      <x:c r="B98" s="59"/>
      <x:c r="C98" s="59"/>
      <x:c r="D98" s="59"/>
      <x:c r="E98" s="64"/>
      <x:c r="F98" s="83"/>
      <x:c r="G98" s="83"/>
      <x:c r="H98" s="39" t="str">
        <x:f t="shared" si="4"/>
      </x:c>
      <x:c r="I98" s="60" t="str">
        <x:f t="shared" si="5"/>
      </x:c>
      <x:c r="J98" s="64"/>
      <x:c r="K98" s="59"/>
      <x:c r="L98" s="59"/>
      <x:c r="M98" s="81"/>
      <x:c r="N98" s="89" t="str">
        <x:f t="shared" si="6"/>
      </x:c>
      <x:c r="O98" s="92" t="str">
        <x:f t="shared" si="7"/>
      </x:c>
    </x:row>
    <x:row r="99">
      <x:c r="A99" s="54"/>
      <x:c r="B99" s="59"/>
      <x:c r="C99" s="59"/>
      <x:c r="D99" s="59"/>
      <x:c r="E99" s="64"/>
      <x:c r="F99" s="83"/>
      <x:c r="G99" s="83"/>
      <x:c r="H99" s="38" t="str">
        <x:f t="shared" si="4"/>
      </x:c>
      <x:c r="I99" s="60" t="str">
        <x:f t="shared" si="5"/>
      </x:c>
      <x:c r="J99" s="64"/>
      <x:c r="K99" s="59"/>
      <x:c r="L99" s="59"/>
      <x:c r="M99" s="81"/>
      <x:c r="N99" s="88" t="str">
        <x:f t="shared" si="6"/>
      </x:c>
      <x:c r="O99" s="91" t="str">
        <x:f t="shared" si="7"/>
      </x:c>
    </x:row>
    <x:row r="100">
      <x:c r="A100" s="54"/>
      <x:c r="B100" s="59"/>
      <x:c r="C100" s="59"/>
      <x:c r="D100" s="59"/>
      <x:c r="E100" s="64"/>
      <x:c r="F100" s="83"/>
      <x:c r="G100" s="83"/>
      <x:c r="H100" s="39" t="str">
        <x:f t="shared" si="4"/>
      </x:c>
      <x:c r="I100" s="60" t="str">
        <x:f t="shared" si="5"/>
      </x:c>
      <x:c r="J100" s="64"/>
      <x:c r="K100" s="59"/>
      <x:c r="L100" s="59"/>
      <x:c r="M100" s="81"/>
      <x:c r="N100" s="89" t="str">
        <x:f t="shared" si="6"/>
      </x:c>
      <x:c r="O100" s="92" t="str">
        <x:f t="shared" si="7"/>
      </x:c>
    </x:row>
    <x:row r="101">
      <x:c r="A101" s="54"/>
      <x:c r="B101" s="59"/>
      <x:c r="C101" s="59"/>
      <x:c r="D101" s="59"/>
      <x:c r="E101" s="64"/>
      <x:c r="F101" s="83"/>
      <x:c r="G101" s="83"/>
      <x:c r="H101" s="38" t="str">
        <x:f t="shared" si="4"/>
      </x:c>
      <x:c r="I101" s="60" t="str">
        <x:f t="shared" si="5"/>
      </x:c>
      <x:c r="J101" s="64"/>
      <x:c r="K101" s="59"/>
      <x:c r="L101" s="59"/>
      <x:c r="M101" s="81"/>
      <x:c r="N101" s="88" t="str">
        <x:f t="shared" si="6"/>
      </x:c>
      <x:c r="O101" s="91" t="str">
        <x:f t="shared" si="7"/>
      </x:c>
    </x:row>
    <x:row r="102">
      <x:c r="A102" s="54"/>
      <x:c r="B102" s="59"/>
      <x:c r="C102" s="59"/>
      <x:c r="D102" s="59"/>
      <x:c r="E102" s="64"/>
      <x:c r="F102" s="83"/>
      <x:c r="G102" s="83"/>
      <x:c r="H102" s="39" t="str">
        <x:f t="shared" si="4"/>
      </x:c>
      <x:c r="I102" s="60" t="str">
        <x:f t="shared" si="5"/>
      </x:c>
      <x:c r="J102" s="64"/>
      <x:c r="K102" s="59"/>
      <x:c r="L102" s="59"/>
      <x:c r="M102" s="81"/>
      <x:c r="N102" s="89" t="str">
        <x:f t="shared" si="6"/>
      </x:c>
      <x:c r="O102" s="92" t="str">
        <x:f t="shared" si="7"/>
      </x:c>
    </x:row>
    <x:row r="103">
      <x:c r="A103" s="54"/>
      <x:c r="B103" s="59"/>
      <x:c r="C103" s="59"/>
      <x:c r="D103" s="59"/>
      <x:c r="E103" s="64"/>
      <x:c r="F103" s="83"/>
      <x:c r="G103" s="83"/>
      <x:c r="H103" s="38" t="str">
        <x:f t="shared" si="4"/>
      </x:c>
      <x:c r="I103" s="60" t="str">
        <x:f t="shared" si="5"/>
      </x:c>
      <x:c r="J103" s="64"/>
      <x:c r="K103" s="59"/>
      <x:c r="L103" s="59"/>
      <x:c r="M103" s="81"/>
      <x:c r="N103" s="88" t="str">
        <x:f t="shared" si="6"/>
      </x:c>
      <x:c r="O103" s="91" t="str">
        <x:f t="shared" si="7"/>
      </x:c>
    </x:row>
    <x:row r="104">
      <x:c r="A104" s="54"/>
      <x:c r="B104" s="59"/>
      <x:c r="C104" s="59"/>
      <x:c r="D104" s="59"/>
      <x:c r="E104" s="64"/>
      <x:c r="F104" s="83"/>
      <x:c r="G104" s="83"/>
      <x:c r="H104" s="39" t="str">
        <x:f t="shared" si="4"/>
      </x:c>
      <x:c r="I104" s="60" t="str">
        <x:f t="shared" si="5"/>
      </x:c>
      <x:c r="J104" s="64"/>
      <x:c r="K104" s="59"/>
      <x:c r="L104" s="59"/>
      <x:c r="M104" s="81"/>
      <x:c r="N104" s="89" t="str">
        <x:f t="shared" si="6"/>
      </x:c>
      <x:c r="O104" s="92" t="str">
        <x:f t="shared" si="7"/>
      </x:c>
    </x:row>
    <x:row r="105">
      <x:c r="A105" s="54"/>
      <x:c r="B105" s="59"/>
      <x:c r="C105" s="59"/>
      <x:c r="D105" s="59"/>
      <x:c r="E105" s="64"/>
      <x:c r="F105" s="83"/>
      <x:c r="G105" s="83"/>
      <x:c r="H105" s="38" t="str">
        <x:f t="shared" si="4"/>
      </x:c>
      <x:c r="I105" s="60" t="str">
        <x:f t="shared" si="5"/>
      </x:c>
      <x:c r="J105" s="64"/>
      <x:c r="K105" s="59"/>
      <x:c r="L105" s="59"/>
      <x:c r="M105" s="81"/>
      <x:c r="N105" s="88" t="str">
        <x:f t="shared" si="6"/>
      </x:c>
      <x:c r="O105" s="91" t="str">
        <x:f t="shared" si="7"/>
      </x:c>
    </x:row>
    <x:row r="106">
      <x:c r="A106" s="54"/>
      <x:c r="B106" s="59"/>
      <x:c r="C106" s="59"/>
      <x:c r="D106" s="59"/>
      <x:c r="E106" s="64"/>
      <x:c r="F106" s="83"/>
      <x:c r="G106" s="83"/>
      <x:c r="H106" s="39" t="str">
        <x:f t="shared" si="4"/>
      </x:c>
      <x:c r="I106" s="60" t="str">
        <x:f t="shared" si="5"/>
      </x:c>
      <x:c r="J106" s="64"/>
      <x:c r="K106" s="59"/>
      <x:c r="L106" s="59"/>
      <x:c r="M106" s="81"/>
      <x:c r="N106" s="89" t="str">
        <x:f t="shared" si="6"/>
      </x:c>
      <x:c r="O106" s="92" t="str">
        <x:f t="shared" si="7"/>
      </x:c>
    </x:row>
    <x:row r="107">
      <x:c r="A107" s="54"/>
      <x:c r="B107" s="59"/>
      <x:c r="C107" s="59"/>
      <x:c r="D107" s="59"/>
      <x:c r="E107" s="64"/>
      <x:c r="F107" s="83"/>
      <x:c r="G107" s="83"/>
      <x:c r="H107" s="38" t="str">
        <x:f t="shared" si="4"/>
      </x:c>
      <x:c r="I107" s="60" t="str">
        <x:f t="shared" si="5"/>
      </x:c>
      <x:c r="J107" s="64"/>
      <x:c r="K107" s="59"/>
      <x:c r="L107" s="59"/>
      <x:c r="M107" s="81"/>
      <x:c r="N107" s="88" t="str">
        <x:f t="shared" si="6"/>
      </x:c>
      <x:c r="O107" s="91" t="str">
        <x:f t="shared" si="7"/>
      </x:c>
    </x:row>
    <x:row r="108">
      <x:c r="A108" s="54"/>
      <x:c r="B108" s="59"/>
      <x:c r="C108" s="59"/>
      <x:c r="D108" s="59"/>
      <x:c r="E108" s="64"/>
      <x:c r="F108" s="83"/>
      <x:c r="G108" s="83"/>
      <x:c r="H108" s="39" t="str">
        <x:f t="shared" si="4"/>
      </x:c>
      <x:c r="I108" s="60" t="str">
        <x:f t="shared" si="5"/>
      </x:c>
      <x:c r="J108" s="64"/>
      <x:c r="K108" s="59"/>
      <x:c r="L108" s="59"/>
      <x:c r="M108" s="81"/>
      <x:c r="N108" s="89" t="str">
        <x:f t="shared" si="6"/>
      </x:c>
      <x:c r="O108" s="92" t="str">
        <x:f t="shared" si="7"/>
      </x:c>
    </x:row>
    <x:row r="109">
      <x:c r="A109" s="54"/>
      <x:c r="B109" s="59"/>
      <x:c r="C109" s="59"/>
      <x:c r="D109" s="59"/>
      <x:c r="E109" s="64"/>
      <x:c r="F109" s="83"/>
      <x:c r="G109" s="83"/>
      <x:c r="H109" s="38" t="str">
        <x:f t="shared" si="4"/>
      </x:c>
      <x:c r="I109" s="60" t="str">
        <x:f t="shared" si="5"/>
      </x:c>
      <x:c r="J109" s="64"/>
      <x:c r="K109" s="59"/>
      <x:c r="L109" s="59"/>
      <x:c r="M109" s="81"/>
      <x:c r="N109" s="88" t="str">
        <x:f t="shared" si="6"/>
      </x:c>
      <x:c r="O109" s="91" t="str">
        <x:f t="shared" si="7"/>
      </x:c>
    </x:row>
    <x:row r="110">
      <x:c r="A110" s="54"/>
      <x:c r="B110" s="59"/>
      <x:c r="C110" s="59"/>
      <x:c r="D110" s="59"/>
      <x:c r="E110" s="64"/>
      <x:c r="F110" s="83"/>
      <x:c r="G110" s="83"/>
      <x:c r="H110" s="39" t="str">
        <x:f t="shared" si="4"/>
      </x:c>
      <x:c r="I110" s="60" t="str">
        <x:f t="shared" si="5"/>
      </x:c>
      <x:c r="J110" s="64"/>
      <x:c r="K110" s="59"/>
      <x:c r="L110" s="59"/>
      <x:c r="M110" s="81"/>
      <x:c r="N110" s="89" t="str">
        <x:f t="shared" si="6"/>
      </x:c>
      <x:c r="O110" s="92" t="str">
        <x:f t="shared" si="7"/>
      </x:c>
    </x:row>
    <x:row r="111">
      <x:c r="A111" s="54"/>
      <x:c r="B111" s="59"/>
      <x:c r="C111" s="59"/>
      <x:c r="D111" s="59"/>
      <x:c r="E111" s="64"/>
      <x:c r="F111" s="83"/>
      <x:c r="G111" s="83"/>
      <x:c r="H111" s="38" t="str">
        <x:f t="shared" si="4"/>
      </x:c>
      <x:c r="I111" s="60" t="str">
        <x:f t="shared" si="5"/>
      </x:c>
      <x:c r="J111" s="64"/>
      <x:c r="K111" s="59"/>
      <x:c r="L111" s="59"/>
      <x:c r="M111" s="81"/>
      <x:c r="N111" s="88" t="str">
        <x:f t="shared" si="6"/>
      </x:c>
      <x:c r="O111" s="91" t="str">
        <x:f t="shared" si="7"/>
      </x:c>
    </x:row>
    <x:row r="112">
      <x:c r="A112" s="54"/>
      <x:c r="B112" s="59"/>
      <x:c r="C112" s="59"/>
      <x:c r="D112" s="59"/>
      <x:c r="E112" s="64"/>
      <x:c r="F112" s="83"/>
      <x:c r="G112" s="83"/>
      <x:c r="H112" s="39" t="str">
        <x:f t="shared" si="4"/>
      </x:c>
      <x:c r="I112" s="60" t="str">
        <x:f t="shared" si="5"/>
      </x:c>
      <x:c r="J112" s="64"/>
      <x:c r="K112" s="59"/>
      <x:c r="L112" s="59"/>
      <x:c r="M112" s="81"/>
      <x:c r="N112" s="89" t="str">
        <x:f t="shared" si="6"/>
      </x:c>
      <x:c r="O112" s="92" t="str">
        <x:f t="shared" si="7"/>
      </x:c>
    </x:row>
    <x:row r="113">
      <x:c r="A113" s="54"/>
      <x:c r="B113" s="59"/>
      <x:c r="C113" s="59"/>
      <x:c r="D113" s="59"/>
      <x:c r="E113" s="64"/>
      <x:c r="F113" s="83"/>
      <x:c r="G113" s="83"/>
      <x:c r="H113" s="38" t="str">
        <x:f t="shared" si="4"/>
      </x:c>
      <x:c r="I113" s="60" t="str">
        <x:f t="shared" si="5"/>
      </x:c>
      <x:c r="J113" s="64"/>
      <x:c r="K113" s="59"/>
      <x:c r="L113" s="59"/>
      <x:c r="M113" s="81"/>
      <x:c r="N113" s="88" t="str">
        <x:f t="shared" si="6"/>
      </x:c>
      <x:c r="O113" s="91" t="str">
        <x:f t="shared" si="7"/>
      </x:c>
    </x:row>
    <x:row r="114">
      <x:c r="A114" s="54"/>
      <x:c r="B114" s="59"/>
      <x:c r="C114" s="59"/>
      <x:c r="D114" s="59"/>
      <x:c r="E114" s="64"/>
      <x:c r="F114" s="83"/>
      <x:c r="G114" s="83"/>
      <x:c r="H114" s="39" t="str">
        <x:f t="shared" si="4"/>
      </x:c>
      <x:c r="I114" s="60" t="str">
        <x:f t="shared" si="5"/>
      </x:c>
      <x:c r="J114" s="64"/>
      <x:c r="K114" s="59"/>
      <x:c r="L114" s="59"/>
      <x:c r="M114" s="81"/>
      <x:c r="N114" s="89" t="str">
        <x:f t="shared" si="6"/>
      </x:c>
      <x:c r="O114" s="92" t="str">
        <x:f t="shared" si="7"/>
      </x:c>
    </x:row>
    <x:row r="115">
      <x:c r="A115" s="54"/>
      <x:c r="B115" s="59"/>
      <x:c r="C115" s="59"/>
      <x:c r="D115" s="59"/>
      <x:c r="E115" s="64"/>
      <x:c r="F115" s="83"/>
      <x:c r="G115" s="83"/>
      <x:c r="H115" s="38" t="str">
        <x:f t="shared" si="4"/>
      </x:c>
      <x:c r="I115" s="60" t="str">
        <x:f t="shared" si="5"/>
      </x:c>
      <x:c r="J115" s="64"/>
      <x:c r="K115" s="59"/>
      <x:c r="L115" s="59"/>
      <x:c r="M115" s="81"/>
      <x:c r="N115" s="88" t="str">
        <x:f t="shared" si="6"/>
      </x:c>
      <x:c r="O115" s="91" t="str">
        <x:f t="shared" si="7"/>
      </x:c>
    </x:row>
    <x:row r="116">
      <x:c r="A116" s="54"/>
      <x:c r="B116" s="59"/>
      <x:c r="C116" s="59"/>
      <x:c r="D116" s="59"/>
      <x:c r="E116" s="64"/>
      <x:c r="F116" s="83"/>
      <x:c r="G116" s="83"/>
      <x:c r="H116" s="39" t="str">
        <x:f t="shared" si="4"/>
      </x:c>
      <x:c r="I116" s="60" t="str">
        <x:f t="shared" si="5"/>
      </x:c>
      <x:c r="J116" s="64"/>
      <x:c r="K116" s="59"/>
      <x:c r="L116" s="59"/>
      <x:c r="M116" s="81"/>
      <x:c r="N116" s="89" t="str">
        <x:f t="shared" si="6"/>
      </x:c>
      <x:c r="O116" s="92" t="str">
        <x:f t="shared" si="7"/>
      </x:c>
    </x:row>
    <x:row r="117">
      <x:c r="A117" s="54"/>
      <x:c r="B117" s="59"/>
      <x:c r="C117" s="59"/>
      <x:c r="D117" s="59"/>
      <x:c r="E117" s="64"/>
      <x:c r="F117" s="83"/>
      <x:c r="G117" s="83"/>
      <x:c r="H117" s="38" t="str">
        <x:f t="shared" si="4"/>
      </x:c>
      <x:c r="I117" s="60" t="str">
        <x:f t="shared" si="5"/>
      </x:c>
      <x:c r="J117" s="64"/>
      <x:c r="K117" s="59"/>
      <x:c r="L117" s="59"/>
      <x:c r="M117" s="81"/>
      <x:c r="N117" s="88" t="str">
        <x:f t="shared" si="6"/>
      </x:c>
      <x:c r="O117" s="91" t="str">
        <x:f t="shared" si="7"/>
      </x:c>
    </x:row>
    <x:row r="118">
      <x:c r="A118" s="54"/>
      <x:c r="B118" s="59"/>
      <x:c r="C118" s="59"/>
      <x:c r="D118" s="59"/>
      <x:c r="E118" s="64"/>
      <x:c r="F118" s="83"/>
      <x:c r="G118" s="83"/>
      <x:c r="H118" s="39" t="str">
        <x:f t="shared" si="4"/>
      </x:c>
      <x:c r="I118" s="60" t="str">
        <x:f t="shared" si="5"/>
      </x:c>
      <x:c r="J118" s="64"/>
      <x:c r="K118" s="59"/>
      <x:c r="L118" s="59"/>
      <x:c r="M118" s="81"/>
      <x:c r="N118" s="89" t="str">
        <x:f t="shared" si="6"/>
      </x:c>
      <x:c r="O118" s="92" t="str">
        <x:f t="shared" si="7"/>
      </x:c>
    </x:row>
    <x:row r="119">
      <x:c r="A119" s="54"/>
      <x:c r="B119" s="59"/>
      <x:c r="C119" s="59"/>
      <x:c r="D119" s="59"/>
      <x:c r="E119" s="64"/>
      <x:c r="F119" s="83"/>
      <x:c r="G119" s="83"/>
      <x:c r="H119" s="38" t="str">
        <x:f t="shared" si="4"/>
      </x:c>
      <x:c r="I119" s="60" t="str">
        <x:f t="shared" si="5"/>
      </x:c>
      <x:c r="J119" s="64"/>
      <x:c r="K119" s="59"/>
      <x:c r="L119" s="59"/>
      <x:c r="M119" s="81"/>
      <x:c r="N119" s="88" t="str">
        <x:f t="shared" si="6"/>
      </x:c>
      <x:c r="O119" s="91" t="str">
        <x:f t="shared" si="7"/>
      </x:c>
    </x:row>
    <x:row r="120">
      <x:c r="A120" s="54"/>
      <x:c r="B120" s="59"/>
      <x:c r="C120" s="59"/>
      <x:c r="D120" s="59"/>
      <x:c r="E120" s="64"/>
      <x:c r="F120" s="83"/>
      <x:c r="G120" s="83"/>
      <x:c r="H120" s="39" t="str">
        <x:f t="shared" si="4"/>
      </x:c>
      <x:c r="I120" s="60" t="str">
        <x:f t="shared" si="5"/>
      </x:c>
      <x:c r="J120" s="64"/>
      <x:c r="K120" s="59"/>
      <x:c r="L120" s="59"/>
      <x:c r="M120" s="81"/>
      <x:c r="N120" s="89" t="str">
        <x:f t="shared" si="6"/>
      </x:c>
      <x:c r="O120" s="92" t="str">
        <x:f t="shared" si="7"/>
      </x:c>
    </x:row>
    <x:row r="121">
      <x:c r="A121" s="54"/>
      <x:c r="B121" s="59"/>
      <x:c r="C121" s="59"/>
      <x:c r="D121" s="59"/>
      <x:c r="E121" s="64"/>
      <x:c r="F121" s="83"/>
      <x:c r="G121" s="83"/>
      <x:c r="H121" s="38" t="str">
        <x:f t="shared" si="4"/>
      </x:c>
      <x:c r="I121" s="60" t="str">
        <x:f t="shared" si="5"/>
      </x:c>
      <x:c r="J121" s="64"/>
      <x:c r="K121" s="59"/>
      <x:c r="L121" s="59"/>
      <x:c r="M121" s="81"/>
      <x:c r="N121" s="88" t="str">
        <x:f t="shared" si="6"/>
      </x:c>
      <x:c r="O121" s="91" t="str">
        <x:f t="shared" si="7"/>
      </x:c>
    </x:row>
    <x:row r="122">
      <x:c r="A122" s="54"/>
      <x:c r="B122" s="59"/>
      <x:c r="C122" s="59"/>
      <x:c r="D122" s="59"/>
      <x:c r="E122" s="64"/>
      <x:c r="F122" s="83"/>
      <x:c r="G122" s="83"/>
      <x:c r="H122" s="39" t="str">
        <x:f t="shared" si="4"/>
      </x:c>
      <x:c r="I122" s="60" t="str">
        <x:f t="shared" si="5"/>
      </x:c>
      <x:c r="J122" s="64"/>
      <x:c r="K122" s="59"/>
      <x:c r="L122" s="59"/>
      <x:c r="M122" s="81"/>
      <x:c r="N122" s="89" t="str">
        <x:f t="shared" si="6"/>
      </x:c>
      <x:c r="O122" s="92" t="str">
        <x:f t="shared" si="7"/>
      </x:c>
    </x:row>
    <x:row r="123">
      <x:c r="A123" s="54"/>
      <x:c r="B123" s="59"/>
      <x:c r="C123" s="59"/>
      <x:c r="D123" s="59"/>
      <x:c r="E123" s="64"/>
      <x:c r="F123" s="83"/>
      <x:c r="G123" s="83"/>
      <x:c r="H123" s="38" t="str">
        <x:f t="shared" si="4"/>
      </x:c>
      <x:c r="I123" s="60" t="str">
        <x:f t="shared" si="5"/>
      </x:c>
      <x:c r="J123" s="64"/>
      <x:c r="K123" s="59"/>
      <x:c r="L123" s="59"/>
      <x:c r="M123" s="81"/>
      <x:c r="N123" s="88" t="str">
        <x:f t="shared" si="6"/>
      </x:c>
      <x:c r="O123" s="91" t="str">
        <x:f t="shared" si="7"/>
      </x:c>
    </x:row>
    <x:row r="124">
      <x:c r="A124" s="54"/>
      <x:c r="B124" s="59"/>
      <x:c r="C124" s="59"/>
      <x:c r="D124" s="59"/>
      <x:c r="E124" s="64"/>
      <x:c r="F124" s="83"/>
      <x:c r="G124" s="83"/>
      <x:c r="H124" s="39" t="str">
        <x:f t="shared" si="4"/>
      </x:c>
      <x:c r="I124" s="60" t="str">
        <x:f t="shared" si="5"/>
      </x:c>
      <x:c r="J124" s="64"/>
      <x:c r="K124" s="59"/>
      <x:c r="L124" s="59"/>
      <x:c r="M124" s="81"/>
      <x:c r="N124" s="89" t="str">
        <x:f t="shared" si="6"/>
      </x:c>
      <x:c r="O124" s="92" t="str">
        <x:f t="shared" si="7"/>
      </x:c>
    </x:row>
    <x:row r="125">
      <x:c r="A125" s="54"/>
      <x:c r="B125" s="59"/>
      <x:c r="C125" s="59"/>
      <x:c r="D125" s="59"/>
      <x:c r="E125" s="64"/>
      <x:c r="F125" s="83"/>
      <x:c r="G125" s="83"/>
      <x:c r="H125" s="38" t="str">
        <x:f t="shared" si="4"/>
      </x:c>
      <x:c r="I125" s="60" t="str">
        <x:f t="shared" si="5"/>
      </x:c>
      <x:c r="J125" s="64"/>
      <x:c r="K125" s="59"/>
      <x:c r="L125" s="59"/>
      <x:c r="M125" s="81"/>
      <x:c r="N125" s="88" t="str">
        <x:f t="shared" si="6"/>
      </x:c>
      <x:c r="O125" s="91" t="str">
        <x:f t="shared" si="7"/>
      </x:c>
    </x:row>
    <x:row r="126">
      <x:c r="A126" s="54"/>
      <x:c r="B126" s="59"/>
      <x:c r="C126" s="59"/>
      <x:c r="D126" s="59"/>
      <x:c r="E126" s="64"/>
      <x:c r="F126" s="83"/>
      <x:c r="G126" s="83"/>
      <x:c r="H126" s="39" t="str">
        <x:f t="shared" si="4"/>
      </x:c>
      <x:c r="I126" s="60" t="str">
        <x:f t="shared" si="5"/>
      </x:c>
      <x:c r="J126" s="64"/>
      <x:c r="K126" s="59"/>
      <x:c r="L126" s="59"/>
      <x:c r="M126" s="81"/>
      <x:c r="N126" s="89" t="str">
        <x:f t="shared" si="6"/>
      </x:c>
      <x:c r="O126" s="92" t="str">
        <x:f t="shared" si="7"/>
      </x:c>
    </x:row>
    <x:row r="127">
      <x:c r="A127" s="54"/>
      <x:c r="B127" s="59"/>
      <x:c r="C127" s="59"/>
      <x:c r="D127" s="59"/>
      <x:c r="E127" s="64"/>
      <x:c r="F127" s="83"/>
      <x:c r="G127" s="83"/>
      <x:c r="H127" s="38" t="str">
        <x:f t="shared" si="4"/>
      </x:c>
      <x:c r="I127" s="60" t="str">
        <x:f t="shared" si="5"/>
      </x:c>
      <x:c r="J127" s="64"/>
      <x:c r="K127" s="59"/>
      <x:c r="L127" s="59"/>
      <x:c r="M127" s="81"/>
      <x:c r="N127" s="88" t="str">
        <x:f t="shared" si="6"/>
      </x:c>
      <x:c r="O127" s="91" t="str">
        <x:f t="shared" si="7"/>
      </x:c>
    </x:row>
    <x:row r="128">
      <x:c r="A128" s="54"/>
      <x:c r="B128" s="59"/>
      <x:c r="C128" s="59"/>
      <x:c r="D128" s="59"/>
      <x:c r="E128" s="64"/>
      <x:c r="F128" s="83"/>
      <x:c r="G128" s="83"/>
      <x:c r="H128" s="39" t="str">
        <x:f t="shared" si="4"/>
      </x:c>
      <x:c r="I128" s="60" t="str">
        <x:f t="shared" si="5"/>
      </x:c>
      <x:c r="J128" s="64"/>
      <x:c r="K128" s="59"/>
      <x:c r="L128" s="59"/>
      <x:c r="M128" s="81"/>
      <x:c r="N128" s="89" t="str">
        <x:f t="shared" si="6"/>
      </x:c>
      <x:c r="O128" s="92" t="str">
        <x:f t="shared" si="7"/>
      </x:c>
    </x:row>
    <x:row r="129">
      <x:c r="A129" s="54"/>
      <x:c r="B129" s="59"/>
      <x:c r="C129" s="59"/>
      <x:c r="D129" s="59"/>
      <x:c r="E129" s="64"/>
      <x:c r="F129" s="83"/>
      <x:c r="G129" s="83"/>
      <x:c r="H129" s="38" t="str">
        <x:f t="shared" si="4"/>
      </x:c>
      <x:c r="I129" s="60" t="str">
        <x:f t="shared" si="5"/>
      </x:c>
      <x:c r="J129" s="64"/>
      <x:c r="K129" s="59"/>
      <x:c r="L129" s="59"/>
      <x:c r="M129" s="81"/>
      <x:c r="N129" s="88" t="str">
        <x:f t="shared" si="6"/>
      </x:c>
      <x:c r="O129" s="91" t="str">
        <x:f t="shared" si="7"/>
      </x:c>
    </x:row>
    <x:row r="130">
      <x:c r="A130" s="54"/>
      <x:c r="B130" s="59"/>
      <x:c r="C130" s="59"/>
      <x:c r="D130" s="59"/>
      <x:c r="E130" s="64"/>
      <x:c r="F130" s="83"/>
      <x:c r="G130" s="83"/>
      <x:c r="H130" s="39" t="str">
        <x:f t="shared" ref="H130:H193" si="8">IF(F130="","",MAX(0,F130-G130))</x:f>
      </x:c>
      <x:c r="I130" s="60" t="str">
        <x:f t="shared" ref="I130:I193" si="9">IF(F130="","",IF(H130=0,"Bezahlt",IF(G130&gt;0,"Teilbezahlt","Offen")))</x:f>
      </x:c>
      <x:c r="J130" s="64"/>
      <x:c r="K130" s="59"/>
      <x:c r="L130" s="59"/>
      <x:c r="M130" s="81"/>
      <x:c r="N130" s="89" t="str">
        <x:f t="shared" ref="N130:N193" si="10">IF(F130="","",ROUND(F130/(1+M130),2))</x:f>
      </x:c>
      <x:c r="O130" s="92" t="str">
        <x:f t="shared" ref="O130:O193" si="11">IF(F130="","",ROUND(F130-N130,2))</x:f>
      </x:c>
    </x:row>
    <x:row r="131">
      <x:c r="A131" s="54"/>
      <x:c r="B131" s="59"/>
      <x:c r="C131" s="59"/>
      <x:c r="D131" s="59"/>
      <x:c r="E131" s="64"/>
      <x:c r="F131" s="83"/>
      <x:c r="G131" s="83"/>
      <x:c r="H131" s="38" t="str">
        <x:f t="shared" si="8"/>
      </x:c>
      <x:c r="I131" s="60" t="str">
        <x:f t="shared" si="9"/>
      </x:c>
      <x:c r="J131" s="64"/>
      <x:c r="K131" s="59"/>
      <x:c r="L131" s="59"/>
      <x:c r="M131" s="81"/>
      <x:c r="N131" s="88" t="str">
        <x:f t="shared" si="10"/>
      </x:c>
      <x:c r="O131" s="91" t="str">
        <x:f t="shared" si="11"/>
      </x:c>
    </x:row>
    <x:row r="132">
      <x:c r="A132" s="54"/>
      <x:c r="B132" s="59"/>
      <x:c r="C132" s="59"/>
      <x:c r="D132" s="59"/>
      <x:c r="E132" s="64"/>
      <x:c r="F132" s="83"/>
      <x:c r="G132" s="83"/>
      <x:c r="H132" s="39" t="str">
        <x:f t="shared" si="8"/>
      </x:c>
      <x:c r="I132" s="60" t="str">
        <x:f t="shared" si="9"/>
      </x:c>
      <x:c r="J132" s="64"/>
      <x:c r="K132" s="59"/>
      <x:c r="L132" s="59"/>
      <x:c r="M132" s="81"/>
      <x:c r="N132" s="89" t="str">
        <x:f t="shared" si="10"/>
      </x:c>
      <x:c r="O132" s="92" t="str">
        <x:f t="shared" si="11"/>
      </x:c>
    </x:row>
    <x:row r="133">
      <x:c r="A133" s="54"/>
      <x:c r="B133" s="59"/>
      <x:c r="C133" s="59"/>
      <x:c r="D133" s="59"/>
      <x:c r="E133" s="64"/>
      <x:c r="F133" s="83"/>
      <x:c r="G133" s="83"/>
      <x:c r="H133" s="38" t="str">
        <x:f t="shared" si="8"/>
      </x:c>
      <x:c r="I133" s="60" t="str">
        <x:f t="shared" si="9"/>
      </x:c>
      <x:c r="J133" s="64"/>
      <x:c r="K133" s="59"/>
      <x:c r="L133" s="59"/>
      <x:c r="M133" s="81"/>
      <x:c r="N133" s="88" t="str">
        <x:f t="shared" si="10"/>
      </x:c>
      <x:c r="O133" s="91" t="str">
        <x:f t="shared" si="11"/>
      </x:c>
    </x:row>
    <x:row r="134">
      <x:c r="A134" s="54"/>
      <x:c r="B134" s="59"/>
      <x:c r="C134" s="59"/>
      <x:c r="D134" s="59"/>
      <x:c r="E134" s="64"/>
      <x:c r="F134" s="83"/>
      <x:c r="G134" s="83"/>
      <x:c r="H134" s="39" t="str">
        <x:f t="shared" si="8"/>
      </x:c>
      <x:c r="I134" s="60" t="str">
        <x:f t="shared" si="9"/>
      </x:c>
      <x:c r="J134" s="64"/>
      <x:c r="K134" s="59"/>
      <x:c r="L134" s="59"/>
      <x:c r="M134" s="81"/>
      <x:c r="N134" s="89" t="str">
        <x:f t="shared" si="10"/>
      </x:c>
      <x:c r="O134" s="92" t="str">
        <x:f t="shared" si="11"/>
      </x:c>
    </x:row>
    <x:row r="135">
      <x:c r="A135" s="54"/>
      <x:c r="B135" s="59"/>
      <x:c r="C135" s="59"/>
      <x:c r="D135" s="59"/>
      <x:c r="E135" s="64"/>
      <x:c r="F135" s="83"/>
      <x:c r="G135" s="83"/>
      <x:c r="H135" s="38" t="str">
        <x:f t="shared" si="8"/>
      </x:c>
      <x:c r="I135" s="60" t="str">
        <x:f t="shared" si="9"/>
      </x:c>
      <x:c r="J135" s="64"/>
      <x:c r="K135" s="59"/>
      <x:c r="L135" s="59"/>
      <x:c r="M135" s="81"/>
      <x:c r="N135" s="88" t="str">
        <x:f t="shared" si="10"/>
      </x:c>
      <x:c r="O135" s="91" t="str">
        <x:f t="shared" si="11"/>
      </x:c>
    </x:row>
    <x:row r="136">
      <x:c r="A136" s="54"/>
      <x:c r="B136" s="59"/>
      <x:c r="C136" s="59"/>
      <x:c r="D136" s="59"/>
      <x:c r="E136" s="64"/>
      <x:c r="F136" s="83"/>
      <x:c r="G136" s="83"/>
      <x:c r="H136" s="39" t="str">
        <x:f t="shared" si="8"/>
      </x:c>
      <x:c r="I136" s="60" t="str">
        <x:f t="shared" si="9"/>
      </x:c>
      <x:c r="J136" s="64"/>
      <x:c r="K136" s="59"/>
      <x:c r="L136" s="59"/>
      <x:c r="M136" s="81"/>
      <x:c r="N136" s="89" t="str">
        <x:f t="shared" si="10"/>
      </x:c>
      <x:c r="O136" s="92" t="str">
        <x:f t="shared" si="11"/>
      </x:c>
    </x:row>
    <x:row r="137">
      <x:c r="A137" s="54"/>
      <x:c r="B137" s="59"/>
      <x:c r="C137" s="59"/>
      <x:c r="D137" s="59"/>
      <x:c r="E137" s="64"/>
      <x:c r="F137" s="83"/>
      <x:c r="G137" s="83"/>
      <x:c r="H137" s="38" t="str">
        <x:f t="shared" si="8"/>
      </x:c>
      <x:c r="I137" s="60" t="str">
        <x:f t="shared" si="9"/>
      </x:c>
      <x:c r="J137" s="64"/>
      <x:c r="K137" s="59"/>
      <x:c r="L137" s="59"/>
      <x:c r="M137" s="81"/>
      <x:c r="N137" s="88" t="str">
        <x:f t="shared" si="10"/>
      </x:c>
      <x:c r="O137" s="91" t="str">
        <x:f t="shared" si="11"/>
      </x:c>
    </x:row>
    <x:row r="138">
      <x:c r="A138" s="54"/>
      <x:c r="B138" s="59"/>
      <x:c r="C138" s="59"/>
      <x:c r="D138" s="59"/>
      <x:c r="E138" s="64"/>
      <x:c r="F138" s="83"/>
      <x:c r="G138" s="83"/>
      <x:c r="H138" s="39" t="str">
        <x:f t="shared" si="8"/>
      </x:c>
      <x:c r="I138" s="60" t="str">
        <x:f t="shared" si="9"/>
      </x:c>
      <x:c r="J138" s="64"/>
      <x:c r="K138" s="59"/>
      <x:c r="L138" s="59"/>
      <x:c r="M138" s="81"/>
      <x:c r="N138" s="89" t="str">
        <x:f t="shared" si="10"/>
      </x:c>
      <x:c r="O138" s="92" t="str">
        <x:f t="shared" si="11"/>
      </x:c>
    </x:row>
    <x:row r="139">
      <x:c r="A139" s="54"/>
      <x:c r="B139" s="59"/>
      <x:c r="C139" s="59"/>
      <x:c r="D139" s="59"/>
      <x:c r="E139" s="64"/>
      <x:c r="F139" s="83"/>
      <x:c r="G139" s="83"/>
      <x:c r="H139" s="38" t="str">
        <x:f t="shared" si="8"/>
      </x:c>
      <x:c r="I139" s="60" t="str">
        <x:f t="shared" si="9"/>
      </x:c>
      <x:c r="J139" s="64"/>
      <x:c r="K139" s="59"/>
      <x:c r="L139" s="59"/>
      <x:c r="M139" s="81"/>
      <x:c r="N139" s="88" t="str">
        <x:f t="shared" si="10"/>
      </x:c>
      <x:c r="O139" s="91" t="str">
        <x:f t="shared" si="11"/>
      </x:c>
    </x:row>
    <x:row r="140">
      <x:c r="A140" s="54"/>
      <x:c r="B140" s="59"/>
      <x:c r="C140" s="59"/>
      <x:c r="D140" s="59"/>
      <x:c r="E140" s="64"/>
      <x:c r="F140" s="83"/>
      <x:c r="G140" s="83"/>
      <x:c r="H140" s="39" t="str">
        <x:f t="shared" si="8"/>
      </x:c>
      <x:c r="I140" s="60" t="str">
        <x:f t="shared" si="9"/>
      </x:c>
      <x:c r="J140" s="64"/>
      <x:c r="K140" s="59"/>
      <x:c r="L140" s="59"/>
      <x:c r="M140" s="81"/>
      <x:c r="N140" s="89" t="str">
        <x:f t="shared" si="10"/>
      </x:c>
      <x:c r="O140" s="92" t="str">
        <x:f t="shared" si="11"/>
      </x:c>
    </x:row>
    <x:row r="141">
      <x:c r="A141" s="54"/>
      <x:c r="B141" s="59"/>
      <x:c r="C141" s="59"/>
      <x:c r="D141" s="59"/>
      <x:c r="E141" s="64"/>
      <x:c r="F141" s="83"/>
      <x:c r="G141" s="83"/>
      <x:c r="H141" s="38" t="str">
        <x:f t="shared" si="8"/>
      </x:c>
      <x:c r="I141" s="60" t="str">
        <x:f t="shared" si="9"/>
      </x:c>
      <x:c r="J141" s="64"/>
      <x:c r="K141" s="59"/>
      <x:c r="L141" s="59"/>
      <x:c r="M141" s="81"/>
      <x:c r="N141" s="88" t="str">
        <x:f t="shared" si="10"/>
      </x:c>
      <x:c r="O141" s="91" t="str">
        <x:f t="shared" si="11"/>
      </x:c>
    </x:row>
    <x:row r="142">
      <x:c r="A142" s="54"/>
      <x:c r="B142" s="59"/>
      <x:c r="C142" s="59"/>
      <x:c r="D142" s="59"/>
      <x:c r="E142" s="64"/>
      <x:c r="F142" s="83"/>
      <x:c r="G142" s="83"/>
      <x:c r="H142" s="39" t="str">
        <x:f t="shared" si="8"/>
      </x:c>
      <x:c r="I142" s="60" t="str">
        <x:f t="shared" si="9"/>
      </x:c>
      <x:c r="J142" s="64"/>
      <x:c r="K142" s="59"/>
      <x:c r="L142" s="59"/>
      <x:c r="M142" s="81"/>
      <x:c r="N142" s="89" t="str">
        <x:f t="shared" si="10"/>
      </x:c>
      <x:c r="O142" s="92" t="str">
        <x:f t="shared" si="11"/>
      </x:c>
    </x:row>
    <x:row r="143">
      <x:c r="A143" s="54"/>
      <x:c r="B143" s="59"/>
      <x:c r="C143" s="59"/>
      <x:c r="D143" s="59"/>
      <x:c r="E143" s="64"/>
      <x:c r="F143" s="83"/>
      <x:c r="G143" s="83"/>
      <x:c r="H143" s="38" t="str">
        <x:f t="shared" si="8"/>
      </x:c>
      <x:c r="I143" s="60" t="str">
        <x:f t="shared" si="9"/>
      </x:c>
      <x:c r="J143" s="64"/>
      <x:c r="K143" s="59"/>
      <x:c r="L143" s="59"/>
      <x:c r="M143" s="81"/>
      <x:c r="N143" s="88" t="str">
        <x:f t="shared" si="10"/>
      </x:c>
      <x:c r="O143" s="91" t="str">
        <x:f t="shared" si="11"/>
      </x:c>
    </x:row>
    <x:row r="144">
      <x:c r="A144" s="54"/>
      <x:c r="B144" s="59"/>
      <x:c r="C144" s="59"/>
      <x:c r="D144" s="59"/>
      <x:c r="E144" s="64"/>
      <x:c r="F144" s="83"/>
      <x:c r="G144" s="83"/>
      <x:c r="H144" s="39" t="str">
        <x:f t="shared" si="8"/>
      </x:c>
      <x:c r="I144" s="60" t="str">
        <x:f t="shared" si="9"/>
      </x:c>
      <x:c r="J144" s="64"/>
      <x:c r="K144" s="59"/>
      <x:c r="L144" s="59"/>
      <x:c r="M144" s="81"/>
      <x:c r="N144" s="89" t="str">
        <x:f t="shared" si="10"/>
      </x:c>
      <x:c r="O144" s="92" t="str">
        <x:f t="shared" si="11"/>
      </x:c>
    </x:row>
    <x:row r="145">
      <x:c r="A145" s="54"/>
      <x:c r="B145" s="59"/>
      <x:c r="C145" s="59"/>
      <x:c r="D145" s="59"/>
      <x:c r="E145" s="64"/>
      <x:c r="F145" s="83"/>
      <x:c r="G145" s="83"/>
      <x:c r="H145" s="38" t="str">
        <x:f t="shared" si="8"/>
      </x:c>
      <x:c r="I145" s="60" t="str">
        <x:f t="shared" si="9"/>
      </x:c>
      <x:c r="J145" s="64"/>
      <x:c r="K145" s="59"/>
      <x:c r="L145" s="59"/>
      <x:c r="M145" s="81"/>
      <x:c r="N145" s="88" t="str">
        <x:f t="shared" si="10"/>
      </x:c>
      <x:c r="O145" s="91" t="str">
        <x:f t="shared" si="11"/>
      </x:c>
    </x:row>
    <x:row r="146">
      <x:c r="A146" s="54"/>
      <x:c r="B146" s="59"/>
      <x:c r="C146" s="59"/>
      <x:c r="D146" s="59"/>
      <x:c r="E146" s="64"/>
      <x:c r="F146" s="83"/>
      <x:c r="G146" s="83"/>
      <x:c r="H146" s="39" t="str">
        <x:f t="shared" si="8"/>
      </x:c>
      <x:c r="I146" s="60" t="str">
        <x:f t="shared" si="9"/>
      </x:c>
      <x:c r="J146" s="64"/>
      <x:c r="K146" s="59"/>
      <x:c r="L146" s="59"/>
      <x:c r="M146" s="81"/>
      <x:c r="N146" s="89" t="str">
        <x:f t="shared" si="10"/>
      </x:c>
      <x:c r="O146" s="92" t="str">
        <x:f t="shared" si="11"/>
      </x:c>
    </x:row>
    <x:row r="147">
      <x:c r="A147" s="54"/>
      <x:c r="B147" s="59"/>
      <x:c r="C147" s="59"/>
      <x:c r="D147" s="59"/>
      <x:c r="E147" s="64"/>
      <x:c r="F147" s="83"/>
      <x:c r="G147" s="83"/>
      <x:c r="H147" s="38" t="str">
        <x:f t="shared" si="8"/>
      </x:c>
      <x:c r="I147" s="60" t="str">
        <x:f t="shared" si="9"/>
      </x:c>
      <x:c r="J147" s="64"/>
      <x:c r="K147" s="59"/>
      <x:c r="L147" s="59"/>
      <x:c r="M147" s="81"/>
      <x:c r="N147" s="88" t="str">
        <x:f t="shared" si="10"/>
      </x:c>
      <x:c r="O147" s="91" t="str">
        <x:f t="shared" si="11"/>
      </x:c>
    </x:row>
    <x:row r="148">
      <x:c r="A148" s="54"/>
      <x:c r="B148" s="59"/>
      <x:c r="C148" s="59"/>
      <x:c r="D148" s="59"/>
      <x:c r="E148" s="64"/>
      <x:c r="F148" s="83"/>
      <x:c r="G148" s="83"/>
      <x:c r="H148" s="39" t="str">
        <x:f t="shared" si="8"/>
      </x:c>
      <x:c r="I148" s="60" t="str">
        <x:f t="shared" si="9"/>
      </x:c>
      <x:c r="J148" s="64"/>
      <x:c r="K148" s="59"/>
      <x:c r="L148" s="59"/>
      <x:c r="M148" s="81"/>
      <x:c r="N148" s="89" t="str">
        <x:f t="shared" si="10"/>
      </x:c>
      <x:c r="O148" s="92" t="str">
        <x:f t="shared" si="11"/>
      </x:c>
    </x:row>
    <x:row r="149">
      <x:c r="A149" s="54"/>
      <x:c r="B149" s="59"/>
      <x:c r="C149" s="59"/>
      <x:c r="D149" s="59"/>
      <x:c r="E149" s="64"/>
      <x:c r="F149" s="83"/>
      <x:c r="G149" s="83"/>
      <x:c r="H149" s="38" t="str">
        <x:f t="shared" si="8"/>
      </x:c>
      <x:c r="I149" s="60" t="str">
        <x:f t="shared" si="9"/>
      </x:c>
      <x:c r="J149" s="64"/>
      <x:c r="K149" s="59"/>
      <x:c r="L149" s="59"/>
      <x:c r="M149" s="81"/>
      <x:c r="N149" s="88" t="str">
        <x:f t="shared" si="10"/>
      </x:c>
      <x:c r="O149" s="91" t="str">
        <x:f t="shared" si="11"/>
      </x:c>
    </x:row>
    <x:row r="150">
      <x:c r="A150" s="54"/>
      <x:c r="B150" s="59"/>
      <x:c r="C150" s="59"/>
      <x:c r="D150" s="59"/>
      <x:c r="E150" s="64"/>
      <x:c r="F150" s="83"/>
      <x:c r="G150" s="83"/>
      <x:c r="H150" s="39" t="str">
        <x:f t="shared" si="8"/>
      </x:c>
      <x:c r="I150" s="60" t="str">
        <x:f t="shared" si="9"/>
      </x:c>
      <x:c r="J150" s="64"/>
      <x:c r="K150" s="59"/>
      <x:c r="L150" s="59"/>
      <x:c r="M150" s="81"/>
      <x:c r="N150" s="89" t="str">
        <x:f t="shared" si="10"/>
      </x:c>
      <x:c r="O150" s="92" t="str">
        <x:f t="shared" si="11"/>
      </x:c>
    </x:row>
    <x:row r="151">
      <x:c r="A151" s="54"/>
      <x:c r="B151" s="59"/>
      <x:c r="C151" s="59"/>
      <x:c r="D151" s="59"/>
      <x:c r="E151" s="64"/>
      <x:c r="F151" s="83"/>
      <x:c r="G151" s="83"/>
      <x:c r="H151" s="38" t="str">
        <x:f t="shared" si="8"/>
      </x:c>
      <x:c r="I151" s="60" t="str">
        <x:f t="shared" si="9"/>
      </x:c>
      <x:c r="J151" s="64"/>
      <x:c r="K151" s="59"/>
      <x:c r="L151" s="59"/>
      <x:c r="M151" s="81"/>
      <x:c r="N151" s="88" t="str">
        <x:f t="shared" si="10"/>
      </x:c>
      <x:c r="O151" s="91" t="str">
        <x:f t="shared" si="11"/>
      </x:c>
    </x:row>
    <x:row r="152">
      <x:c r="A152" s="54"/>
      <x:c r="B152" s="59"/>
      <x:c r="C152" s="59"/>
      <x:c r="D152" s="59"/>
      <x:c r="E152" s="64"/>
      <x:c r="F152" s="83"/>
      <x:c r="G152" s="83"/>
      <x:c r="H152" s="39" t="str">
        <x:f t="shared" si="8"/>
      </x:c>
      <x:c r="I152" s="60" t="str">
        <x:f t="shared" si="9"/>
      </x:c>
      <x:c r="J152" s="64"/>
      <x:c r="K152" s="59"/>
      <x:c r="L152" s="59"/>
      <x:c r="M152" s="81"/>
      <x:c r="N152" s="89" t="str">
        <x:f t="shared" si="10"/>
      </x:c>
      <x:c r="O152" s="92" t="str">
        <x:f t="shared" si="11"/>
      </x:c>
    </x:row>
    <x:row r="153">
      <x:c r="A153" s="54"/>
      <x:c r="B153" s="59"/>
      <x:c r="C153" s="59"/>
      <x:c r="D153" s="59"/>
      <x:c r="E153" s="64"/>
      <x:c r="F153" s="83"/>
      <x:c r="G153" s="83"/>
      <x:c r="H153" s="38" t="str">
        <x:f t="shared" si="8"/>
      </x:c>
      <x:c r="I153" s="60" t="str">
        <x:f t="shared" si="9"/>
      </x:c>
      <x:c r="J153" s="64"/>
      <x:c r="K153" s="59"/>
      <x:c r="L153" s="59"/>
      <x:c r="M153" s="81"/>
      <x:c r="N153" s="88" t="str">
        <x:f t="shared" si="10"/>
      </x:c>
      <x:c r="O153" s="91" t="str">
        <x:f t="shared" si="11"/>
      </x:c>
    </x:row>
    <x:row r="154">
      <x:c r="A154" s="54"/>
      <x:c r="B154" s="59"/>
      <x:c r="C154" s="59"/>
      <x:c r="D154" s="59"/>
      <x:c r="E154" s="64"/>
      <x:c r="F154" s="83"/>
      <x:c r="G154" s="83"/>
      <x:c r="H154" s="39" t="str">
        <x:f t="shared" si="8"/>
      </x:c>
      <x:c r="I154" s="60" t="str">
        <x:f t="shared" si="9"/>
      </x:c>
      <x:c r="J154" s="64"/>
      <x:c r="K154" s="59"/>
      <x:c r="L154" s="59"/>
      <x:c r="M154" s="81"/>
      <x:c r="N154" s="89" t="str">
        <x:f t="shared" si="10"/>
      </x:c>
      <x:c r="O154" s="92" t="str">
        <x:f t="shared" si="11"/>
      </x:c>
    </x:row>
    <x:row r="155">
      <x:c r="A155" s="54"/>
      <x:c r="B155" s="59"/>
      <x:c r="C155" s="59"/>
      <x:c r="D155" s="59"/>
      <x:c r="E155" s="64"/>
      <x:c r="F155" s="83"/>
      <x:c r="G155" s="83"/>
      <x:c r="H155" s="38" t="str">
        <x:f t="shared" si="8"/>
      </x:c>
      <x:c r="I155" s="60" t="str">
        <x:f t="shared" si="9"/>
      </x:c>
      <x:c r="J155" s="64"/>
      <x:c r="K155" s="59"/>
      <x:c r="L155" s="59"/>
      <x:c r="M155" s="81"/>
      <x:c r="N155" s="88" t="str">
        <x:f t="shared" si="10"/>
      </x:c>
      <x:c r="O155" s="91" t="str">
        <x:f t="shared" si="11"/>
      </x:c>
    </x:row>
    <x:row r="156">
      <x:c r="A156" s="54"/>
      <x:c r="B156" s="59"/>
      <x:c r="C156" s="59"/>
      <x:c r="D156" s="59"/>
      <x:c r="E156" s="64"/>
      <x:c r="F156" s="83"/>
      <x:c r="G156" s="83"/>
      <x:c r="H156" s="39" t="str">
        <x:f t="shared" si="8"/>
      </x:c>
      <x:c r="I156" s="60" t="str">
        <x:f t="shared" si="9"/>
      </x:c>
      <x:c r="J156" s="64"/>
      <x:c r="K156" s="59"/>
      <x:c r="L156" s="59"/>
      <x:c r="M156" s="81"/>
      <x:c r="N156" s="89" t="str">
        <x:f t="shared" si="10"/>
      </x:c>
      <x:c r="O156" s="92" t="str">
        <x:f t="shared" si="11"/>
      </x:c>
    </x:row>
    <x:row r="157">
      <x:c r="A157" s="54"/>
      <x:c r="B157" s="59"/>
      <x:c r="C157" s="59"/>
      <x:c r="D157" s="59"/>
      <x:c r="E157" s="64"/>
      <x:c r="F157" s="83"/>
      <x:c r="G157" s="83"/>
      <x:c r="H157" s="38" t="str">
        <x:f t="shared" si="8"/>
      </x:c>
      <x:c r="I157" s="60" t="str">
        <x:f t="shared" si="9"/>
      </x:c>
      <x:c r="J157" s="64"/>
      <x:c r="K157" s="59"/>
      <x:c r="L157" s="59"/>
      <x:c r="M157" s="81"/>
      <x:c r="N157" s="88" t="str">
        <x:f t="shared" si="10"/>
      </x:c>
      <x:c r="O157" s="91" t="str">
        <x:f t="shared" si="11"/>
      </x:c>
    </x:row>
    <x:row r="158">
      <x:c r="A158" s="54"/>
      <x:c r="B158" s="59"/>
      <x:c r="C158" s="59"/>
      <x:c r="D158" s="59"/>
      <x:c r="E158" s="64"/>
      <x:c r="F158" s="83"/>
      <x:c r="G158" s="83"/>
      <x:c r="H158" s="39" t="str">
        <x:f t="shared" si="8"/>
      </x:c>
      <x:c r="I158" s="60" t="str">
        <x:f t="shared" si="9"/>
      </x:c>
      <x:c r="J158" s="64"/>
      <x:c r="K158" s="59"/>
      <x:c r="L158" s="59"/>
      <x:c r="M158" s="81"/>
      <x:c r="N158" s="89" t="str">
        <x:f t="shared" si="10"/>
      </x:c>
      <x:c r="O158" s="92" t="str">
        <x:f t="shared" si="11"/>
      </x:c>
    </x:row>
    <x:row r="159">
      <x:c r="A159" s="54"/>
      <x:c r="B159" s="59"/>
      <x:c r="C159" s="59"/>
      <x:c r="D159" s="59"/>
      <x:c r="E159" s="64"/>
      <x:c r="F159" s="83"/>
      <x:c r="G159" s="83"/>
      <x:c r="H159" s="38" t="str">
        <x:f t="shared" si="8"/>
      </x:c>
      <x:c r="I159" s="60" t="str">
        <x:f t="shared" si="9"/>
      </x:c>
      <x:c r="J159" s="64"/>
      <x:c r="K159" s="59"/>
      <x:c r="L159" s="59"/>
      <x:c r="M159" s="81"/>
      <x:c r="N159" s="88" t="str">
        <x:f t="shared" si="10"/>
      </x:c>
      <x:c r="O159" s="91" t="str">
        <x:f t="shared" si="11"/>
      </x:c>
    </x:row>
    <x:row r="160">
      <x:c r="A160" s="54"/>
      <x:c r="B160" s="59"/>
      <x:c r="C160" s="59"/>
      <x:c r="D160" s="59"/>
      <x:c r="E160" s="64"/>
      <x:c r="F160" s="83"/>
      <x:c r="G160" s="83"/>
      <x:c r="H160" s="39" t="str">
        <x:f t="shared" si="8"/>
      </x:c>
      <x:c r="I160" s="60" t="str">
        <x:f t="shared" si="9"/>
      </x:c>
      <x:c r="J160" s="64"/>
      <x:c r="K160" s="59"/>
      <x:c r="L160" s="59"/>
      <x:c r="M160" s="81"/>
      <x:c r="N160" s="89" t="str">
        <x:f t="shared" si="10"/>
      </x:c>
      <x:c r="O160" s="92" t="str">
        <x:f t="shared" si="11"/>
      </x:c>
    </x:row>
    <x:row r="161">
      <x:c r="A161" s="54"/>
      <x:c r="B161" s="59"/>
      <x:c r="C161" s="59"/>
      <x:c r="D161" s="59"/>
      <x:c r="E161" s="64"/>
      <x:c r="F161" s="83"/>
      <x:c r="G161" s="83"/>
      <x:c r="H161" s="38" t="str">
        <x:f t="shared" si="8"/>
      </x:c>
      <x:c r="I161" s="60" t="str">
        <x:f t="shared" si="9"/>
      </x:c>
      <x:c r="J161" s="64"/>
      <x:c r="K161" s="59"/>
      <x:c r="L161" s="59"/>
      <x:c r="M161" s="81"/>
      <x:c r="N161" s="88" t="str">
        <x:f t="shared" si="10"/>
      </x:c>
      <x:c r="O161" s="91" t="str">
        <x:f t="shared" si="11"/>
      </x:c>
    </x:row>
    <x:row r="162">
      <x:c r="A162" s="54"/>
      <x:c r="B162" s="59"/>
      <x:c r="C162" s="59"/>
      <x:c r="D162" s="59"/>
      <x:c r="E162" s="64"/>
      <x:c r="F162" s="83"/>
      <x:c r="G162" s="83"/>
      <x:c r="H162" s="39" t="str">
        <x:f t="shared" si="8"/>
      </x:c>
      <x:c r="I162" s="60" t="str">
        <x:f t="shared" si="9"/>
      </x:c>
      <x:c r="J162" s="64"/>
      <x:c r="K162" s="59"/>
      <x:c r="L162" s="59"/>
      <x:c r="M162" s="81"/>
      <x:c r="N162" s="89" t="str">
        <x:f t="shared" si="10"/>
      </x:c>
      <x:c r="O162" s="92" t="str">
        <x:f t="shared" si="11"/>
      </x:c>
    </x:row>
    <x:row r="163">
      <x:c r="A163" s="54"/>
      <x:c r="B163" s="59"/>
      <x:c r="C163" s="59"/>
      <x:c r="D163" s="59"/>
      <x:c r="E163" s="64"/>
      <x:c r="F163" s="83"/>
      <x:c r="G163" s="83"/>
      <x:c r="H163" s="38" t="str">
        <x:f t="shared" si="8"/>
      </x:c>
      <x:c r="I163" s="60" t="str">
        <x:f t="shared" si="9"/>
      </x:c>
      <x:c r="J163" s="64"/>
      <x:c r="K163" s="59"/>
      <x:c r="L163" s="59"/>
      <x:c r="M163" s="81"/>
      <x:c r="N163" s="88" t="str">
        <x:f t="shared" si="10"/>
      </x:c>
      <x:c r="O163" s="91" t="str">
        <x:f t="shared" si="11"/>
      </x:c>
    </x:row>
    <x:row r="164">
      <x:c r="A164" s="54"/>
      <x:c r="B164" s="59"/>
      <x:c r="C164" s="59"/>
      <x:c r="D164" s="59"/>
      <x:c r="E164" s="64"/>
      <x:c r="F164" s="83"/>
      <x:c r="G164" s="83"/>
      <x:c r="H164" s="39" t="str">
        <x:f t="shared" si="8"/>
      </x:c>
      <x:c r="I164" s="60" t="str">
        <x:f t="shared" si="9"/>
      </x:c>
      <x:c r="J164" s="64"/>
      <x:c r="K164" s="59"/>
      <x:c r="L164" s="59"/>
      <x:c r="M164" s="81"/>
      <x:c r="N164" s="89" t="str">
        <x:f t="shared" si="10"/>
      </x:c>
      <x:c r="O164" s="92" t="str">
        <x:f t="shared" si="11"/>
      </x:c>
    </x:row>
    <x:row r="165">
      <x:c r="A165" s="54"/>
      <x:c r="B165" s="59"/>
      <x:c r="C165" s="59"/>
      <x:c r="D165" s="59"/>
      <x:c r="E165" s="64"/>
      <x:c r="F165" s="83"/>
      <x:c r="G165" s="83"/>
      <x:c r="H165" s="38" t="str">
        <x:f t="shared" si="8"/>
      </x:c>
      <x:c r="I165" s="60" t="str">
        <x:f t="shared" si="9"/>
      </x:c>
      <x:c r="J165" s="64"/>
      <x:c r="K165" s="59"/>
      <x:c r="L165" s="59"/>
      <x:c r="M165" s="81"/>
      <x:c r="N165" s="88" t="str">
        <x:f t="shared" si="10"/>
      </x:c>
      <x:c r="O165" s="91" t="str">
        <x:f t="shared" si="11"/>
      </x:c>
    </x:row>
    <x:row r="166">
      <x:c r="A166" s="54"/>
      <x:c r="B166" s="59"/>
      <x:c r="C166" s="59"/>
      <x:c r="D166" s="59"/>
      <x:c r="E166" s="64"/>
      <x:c r="F166" s="83"/>
      <x:c r="G166" s="83"/>
      <x:c r="H166" s="39" t="str">
        <x:f t="shared" si="8"/>
      </x:c>
      <x:c r="I166" s="60" t="str">
        <x:f t="shared" si="9"/>
      </x:c>
      <x:c r="J166" s="64"/>
      <x:c r="K166" s="59"/>
      <x:c r="L166" s="59"/>
      <x:c r="M166" s="81"/>
      <x:c r="N166" s="89" t="str">
        <x:f t="shared" si="10"/>
      </x:c>
      <x:c r="O166" s="92" t="str">
        <x:f t="shared" si="11"/>
      </x:c>
    </x:row>
    <x:row r="167">
      <x:c r="A167" s="54"/>
      <x:c r="B167" s="59"/>
      <x:c r="C167" s="59"/>
      <x:c r="D167" s="59"/>
      <x:c r="E167" s="64"/>
      <x:c r="F167" s="83"/>
      <x:c r="G167" s="83"/>
      <x:c r="H167" s="38" t="str">
        <x:f t="shared" si="8"/>
      </x:c>
      <x:c r="I167" s="60" t="str">
        <x:f t="shared" si="9"/>
      </x:c>
      <x:c r="J167" s="64"/>
      <x:c r="K167" s="59"/>
      <x:c r="L167" s="59"/>
      <x:c r="M167" s="81"/>
      <x:c r="N167" s="88" t="str">
        <x:f t="shared" si="10"/>
      </x:c>
      <x:c r="O167" s="91" t="str">
        <x:f t="shared" si="11"/>
      </x:c>
    </x:row>
    <x:row r="168">
      <x:c r="A168" s="54"/>
      <x:c r="B168" s="59"/>
      <x:c r="C168" s="59"/>
      <x:c r="D168" s="59"/>
      <x:c r="E168" s="64"/>
      <x:c r="F168" s="83"/>
      <x:c r="G168" s="83"/>
      <x:c r="H168" s="39" t="str">
        <x:f t="shared" si="8"/>
      </x:c>
      <x:c r="I168" s="60" t="str">
        <x:f t="shared" si="9"/>
      </x:c>
      <x:c r="J168" s="64"/>
      <x:c r="K168" s="59"/>
      <x:c r="L168" s="59"/>
      <x:c r="M168" s="81"/>
      <x:c r="N168" s="89" t="str">
        <x:f t="shared" si="10"/>
      </x:c>
      <x:c r="O168" s="92" t="str">
        <x:f t="shared" si="11"/>
      </x:c>
    </x:row>
    <x:row r="169">
      <x:c r="A169" s="54"/>
      <x:c r="B169" s="59"/>
      <x:c r="C169" s="59"/>
      <x:c r="D169" s="59"/>
      <x:c r="E169" s="64"/>
      <x:c r="F169" s="83"/>
      <x:c r="G169" s="83"/>
      <x:c r="H169" s="38" t="str">
        <x:f t="shared" si="8"/>
      </x:c>
      <x:c r="I169" s="60" t="str">
        <x:f t="shared" si="9"/>
      </x:c>
      <x:c r="J169" s="64"/>
      <x:c r="K169" s="59"/>
      <x:c r="L169" s="59"/>
      <x:c r="M169" s="81"/>
      <x:c r="N169" s="88" t="str">
        <x:f t="shared" si="10"/>
      </x:c>
      <x:c r="O169" s="91" t="str">
        <x:f t="shared" si="11"/>
      </x:c>
    </x:row>
    <x:row r="170">
      <x:c r="A170" s="54"/>
      <x:c r="B170" s="59"/>
      <x:c r="C170" s="59"/>
      <x:c r="D170" s="59"/>
      <x:c r="E170" s="64"/>
      <x:c r="F170" s="83"/>
      <x:c r="G170" s="83"/>
      <x:c r="H170" s="39" t="str">
        <x:f t="shared" si="8"/>
      </x:c>
      <x:c r="I170" s="60" t="str">
        <x:f t="shared" si="9"/>
      </x:c>
      <x:c r="J170" s="64"/>
      <x:c r="K170" s="59"/>
      <x:c r="L170" s="59"/>
      <x:c r="M170" s="81"/>
      <x:c r="N170" s="89" t="str">
        <x:f t="shared" si="10"/>
      </x:c>
      <x:c r="O170" s="92" t="str">
        <x:f t="shared" si="11"/>
      </x:c>
    </x:row>
    <x:row r="171">
      <x:c r="A171" s="54"/>
      <x:c r="B171" s="59"/>
      <x:c r="C171" s="59"/>
      <x:c r="D171" s="59"/>
      <x:c r="E171" s="64"/>
      <x:c r="F171" s="83"/>
      <x:c r="G171" s="83"/>
      <x:c r="H171" s="38" t="str">
        <x:f t="shared" si="8"/>
      </x:c>
      <x:c r="I171" s="60" t="str">
        <x:f t="shared" si="9"/>
      </x:c>
      <x:c r="J171" s="64"/>
      <x:c r="K171" s="59"/>
      <x:c r="L171" s="59"/>
      <x:c r="M171" s="81"/>
      <x:c r="N171" s="88" t="str">
        <x:f t="shared" si="10"/>
      </x:c>
      <x:c r="O171" s="91" t="str">
        <x:f t="shared" si="11"/>
      </x:c>
    </x:row>
    <x:row r="172">
      <x:c r="A172" s="54"/>
      <x:c r="B172" s="59"/>
      <x:c r="C172" s="59"/>
      <x:c r="D172" s="59"/>
      <x:c r="E172" s="64"/>
      <x:c r="F172" s="83"/>
      <x:c r="G172" s="83"/>
      <x:c r="H172" s="39" t="str">
        <x:f t="shared" si="8"/>
      </x:c>
      <x:c r="I172" s="60" t="str">
        <x:f t="shared" si="9"/>
      </x:c>
      <x:c r="J172" s="64"/>
      <x:c r="K172" s="59"/>
      <x:c r="L172" s="59"/>
      <x:c r="M172" s="81"/>
      <x:c r="N172" s="89" t="str">
        <x:f t="shared" si="10"/>
      </x:c>
      <x:c r="O172" s="92" t="str">
        <x:f t="shared" si="11"/>
      </x:c>
    </x:row>
    <x:row r="173">
      <x:c r="A173" s="54"/>
      <x:c r="B173" s="59"/>
      <x:c r="C173" s="59"/>
      <x:c r="D173" s="59"/>
      <x:c r="E173" s="64"/>
      <x:c r="F173" s="83"/>
      <x:c r="G173" s="83"/>
      <x:c r="H173" s="38" t="str">
        <x:f t="shared" si="8"/>
      </x:c>
      <x:c r="I173" s="60" t="str">
        <x:f t="shared" si="9"/>
      </x:c>
      <x:c r="J173" s="64"/>
      <x:c r="K173" s="59"/>
      <x:c r="L173" s="59"/>
      <x:c r="M173" s="81"/>
      <x:c r="N173" s="88" t="str">
        <x:f t="shared" si="10"/>
      </x:c>
      <x:c r="O173" s="91" t="str">
        <x:f t="shared" si="11"/>
      </x:c>
    </x:row>
    <x:row r="174">
      <x:c r="A174" s="54"/>
      <x:c r="B174" s="59"/>
      <x:c r="C174" s="59"/>
      <x:c r="D174" s="59"/>
      <x:c r="E174" s="64"/>
      <x:c r="F174" s="83"/>
      <x:c r="G174" s="83"/>
      <x:c r="H174" s="39" t="str">
        <x:f t="shared" si="8"/>
      </x:c>
      <x:c r="I174" s="60" t="str">
        <x:f t="shared" si="9"/>
      </x:c>
      <x:c r="J174" s="64"/>
      <x:c r="K174" s="59"/>
      <x:c r="L174" s="59"/>
      <x:c r="M174" s="81"/>
      <x:c r="N174" s="89" t="str">
        <x:f t="shared" si="10"/>
      </x:c>
      <x:c r="O174" s="92" t="str">
        <x:f t="shared" si="11"/>
      </x:c>
    </x:row>
    <x:row r="175">
      <x:c r="A175" s="54"/>
      <x:c r="B175" s="59"/>
      <x:c r="C175" s="59"/>
      <x:c r="D175" s="59"/>
      <x:c r="E175" s="64"/>
      <x:c r="F175" s="83"/>
      <x:c r="G175" s="83"/>
      <x:c r="H175" s="38" t="str">
        <x:f t="shared" si="8"/>
      </x:c>
      <x:c r="I175" s="60" t="str">
        <x:f t="shared" si="9"/>
      </x:c>
      <x:c r="J175" s="64"/>
      <x:c r="K175" s="59"/>
      <x:c r="L175" s="59"/>
      <x:c r="M175" s="81"/>
      <x:c r="N175" s="88" t="str">
        <x:f t="shared" si="10"/>
      </x:c>
      <x:c r="O175" s="91" t="str">
        <x:f t="shared" si="11"/>
      </x:c>
    </x:row>
    <x:row r="176">
      <x:c r="A176" s="54"/>
      <x:c r="B176" s="59"/>
      <x:c r="C176" s="59"/>
      <x:c r="D176" s="59"/>
      <x:c r="E176" s="64"/>
      <x:c r="F176" s="83"/>
      <x:c r="G176" s="83"/>
      <x:c r="H176" s="39" t="str">
        <x:f t="shared" si="8"/>
      </x:c>
      <x:c r="I176" s="60" t="str">
        <x:f t="shared" si="9"/>
      </x:c>
      <x:c r="J176" s="64"/>
      <x:c r="K176" s="59"/>
      <x:c r="L176" s="59"/>
      <x:c r="M176" s="81"/>
      <x:c r="N176" s="89" t="str">
        <x:f t="shared" si="10"/>
      </x:c>
      <x:c r="O176" s="92" t="str">
        <x:f t="shared" si="11"/>
      </x:c>
    </x:row>
    <x:row r="177">
      <x:c r="A177" s="54"/>
      <x:c r="B177" s="59"/>
      <x:c r="C177" s="59"/>
      <x:c r="D177" s="59"/>
      <x:c r="E177" s="64"/>
      <x:c r="F177" s="83"/>
      <x:c r="G177" s="83"/>
      <x:c r="H177" s="38" t="str">
        <x:f t="shared" si="8"/>
      </x:c>
      <x:c r="I177" s="60" t="str">
        <x:f t="shared" si="9"/>
      </x:c>
      <x:c r="J177" s="64"/>
      <x:c r="K177" s="59"/>
      <x:c r="L177" s="59"/>
      <x:c r="M177" s="81"/>
      <x:c r="N177" s="88" t="str">
        <x:f t="shared" si="10"/>
      </x:c>
      <x:c r="O177" s="91" t="str">
        <x:f t="shared" si="11"/>
      </x:c>
    </x:row>
    <x:row r="178">
      <x:c r="A178" s="54"/>
      <x:c r="B178" s="59"/>
      <x:c r="C178" s="59"/>
      <x:c r="D178" s="59"/>
      <x:c r="E178" s="64"/>
      <x:c r="F178" s="83"/>
      <x:c r="G178" s="83"/>
      <x:c r="H178" s="39" t="str">
        <x:f t="shared" si="8"/>
      </x:c>
      <x:c r="I178" s="60" t="str">
        <x:f t="shared" si="9"/>
      </x:c>
      <x:c r="J178" s="64"/>
      <x:c r="K178" s="59"/>
      <x:c r="L178" s="59"/>
      <x:c r="M178" s="81"/>
      <x:c r="N178" s="89" t="str">
        <x:f t="shared" si="10"/>
      </x:c>
      <x:c r="O178" s="92" t="str">
        <x:f t="shared" si="11"/>
      </x:c>
    </x:row>
    <x:row r="179">
      <x:c r="A179" s="54"/>
      <x:c r="B179" s="59"/>
      <x:c r="C179" s="59"/>
      <x:c r="D179" s="59"/>
      <x:c r="E179" s="64"/>
      <x:c r="F179" s="83"/>
      <x:c r="G179" s="83"/>
      <x:c r="H179" s="38" t="str">
        <x:f t="shared" si="8"/>
      </x:c>
      <x:c r="I179" s="60" t="str">
        <x:f t="shared" si="9"/>
      </x:c>
      <x:c r="J179" s="64"/>
      <x:c r="K179" s="59"/>
      <x:c r="L179" s="59"/>
      <x:c r="M179" s="81"/>
      <x:c r="N179" s="88" t="str">
        <x:f t="shared" si="10"/>
      </x:c>
      <x:c r="O179" s="91" t="str">
        <x:f t="shared" si="11"/>
      </x:c>
    </x:row>
    <x:row r="180">
      <x:c r="A180" s="54"/>
      <x:c r="B180" s="59"/>
      <x:c r="C180" s="59"/>
      <x:c r="D180" s="59"/>
      <x:c r="E180" s="64"/>
      <x:c r="F180" s="83"/>
      <x:c r="G180" s="83"/>
      <x:c r="H180" s="39" t="str">
        <x:f t="shared" si="8"/>
      </x:c>
      <x:c r="I180" s="60" t="str">
        <x:f t="shared" si="9"/>
      </x:c>
      <x:c r="J180" s="64"/>
      <x:c r="K180" s="59"/>
      <x:c r="L180" s="59"/>
      <x:c r="M180" s="81"/>
      <x:c r="N180" s="89" t="str">
        <x:f t="shared" si="10"/>
      </x:c>
      <x:c r="O180" s="92" t="str">
        <x:f t="shared" si="11"/>
      </x:c>
    </x:row>
    <x:row r="181">
      <x:c r="A181" s="54"/>
      <x:c r="B181" s="59"/>
      <x:c r="C181" s="59"/>
      <x:c r="D181" s="59"/>
      <x:c r="E181" s="64"/>
      <x:c r="F181" s="83"/>
      <x:c r="G181" s="83"/>
      <x:c r="H181" s="38" t="str">
        <x:f t="shared" si="8"/>
      </x:c>
      <x:c r="I181" s="60" t="str">
        <x:f t="shared" si="9"/>
      </x:c>
      <x:c r="J181" s="64"/>
      <x:c r="K181" s="59"/>
      <x:c r="L181" s="59"/>
      <x:c r="M181" s="81"/>
      <x:c r="N181" s="88" t="str">
        <x:f t="shared" si="10"/>
      </x:c>
      <x:c r="O181" s="91" t="str">
        <x:f t="shared" si="11"/>
      </x:c>
    </x:row>
    <x:row r="182">
      <x:c r="A182" s="54"/>
      <x:c r="B182" s="59"/>
      <x:c r="C182" s="59"/>
      <x:c r="D182" s="59"/>
      <x:c r="E182" s="64"/>
      <x:c r="F182" s="83"/>
      <x:c r="G182" s="83"/>
      <x:c r="H182" s="39" t="str">
        <x:f t="shared" si="8"/>
      </x:c>
      <x:c r="I182" s="60" t="str">
        <x:f t="shared" si="9"/>
      </x:c>
      <x:c r="J182" s="64"/>
      <x:c r="K182" s="59"/>
      <x:c r="L182" s="59"/>
      <x:c r="M182" s="81"/>
      <x:c r="N182" s="89" t="str">
        <x:f t="shared" si="10"/>
      </x:c>
      <x:c r="O182" s="92" t="str">
        <x:f t="shared" si="11"/>
      </x:c>
    </x:row>
    <x:row r="183">
      <x:c r="A183" s="54"/>
      <x:c r="B183" s="59"/>
      <x:c r="C183" s="59"/>
      <x:c r="D183" s="59"/>
      <x:c r="E183" s="64"/>
      <x:c r="F183" s="83"/>
      <x:c r="G183" s="83"/>
      <x:c r="H183" s="38" t="str">
        <x:f t="shared" si="8"/>
      </x:c>
      <x:c r="I183" s="60" t="str">
        <x:f t="shared" si="9"/>
      </x:c>
      <x:c r="J183" s="64"/>
      <x:c r="K183" s="59"/>
      <x:c r="L183" s="59"/>
      <x:c r="M183" s="81"/>
      <x:c r="N183" s="88" t="str">
        <x:f t="shared" si="10"/>
      </x:c>
      <x:c r="O183" s="91" t="str">
        <x:f t="shared" si="11"/>
      </x:c>
    </x:row>
    <x:row r="184">
      <x:c r="A184" s="54"/>
      <x:c r="B184" s="59"/>
      <x:c r="C184" s="59"/>
      <x:c r="D184" s="59"/>
      <x:c r="E184" s="64"/>
      <x:c r="F184" s="83"/>
      <x:c r="G184" s="83"/>
      <x:c r="H184" s="39" t="str">
        <x:f t="shared" si="8"/>
      </x:c>
      <x:c r="I184" s="60" t="str">
        <x:f t="shared" si="9"/>
      </x:c>
      <x:c r="J184" s="64"/>
      <x:c r="K184" s="59"/>
      <x:c r="L184" s="59"/>
      <x:c r="M184" s="81"/>
      <x:c r="N184" s="89" t="str">
        <x:f t="shared" si="10"/>
      </x:c>
      <x:c r="O184" s="92" t="str">
        <x:f t="shared" si="11"/>
      </x:c>
    </x:row>
    <x:row r="185">
      <x:c r="A185" s="54"/>
      <x:c r="B185" s="59"/>
      <x:c r="C185" s="59"/>
      <x:c r="D185" s="59"/>
      <x:c r="E185" s="64"/>
      <x:c r="F185" s="83"/>
      <x:c r="G185" s="83"/>
      <x:c r="H185" s="38" t="str">
        <x:f t="shared" si="8"/>
      </x:c>
      <x:c r="I185" s="60" t="str">
        <x:f t="shared" si="9"/>
      </x:c>
      <x:c r="J185" s="64"/>
      <x:c r="K185" s="59"/>
      <x:c r="L185" s="59"/>
      <x:c r="M185" s="81"/>
      <x:c r="N185" s="88" t="str">
        <x:f t="shared" si="10"/>
      </x:c>
      <x:c r="O185" s="91" t="str">
        <x:f t="shared" si="11"/>
      </x:c>
    </x:row>
    <x:row r="186">
      <x:c r="A186" s="54"/>
      <x:c r="B186" s="59"/>
      <x:c r="C186" s="59"/>
      <x:c r="D186" s="59"/>
      <x:c r="E186" s="64"/>
      <x:c r="F186" s="83"/>
      <x:c r="G186" s="83"/>
      <x:c r="H186" s="39" t="str">
        <x:f t="shared" si="8"/>
      </x:c>
      <x:c r="I186" s="60" t="str">
        <x:f t="shared" si="9"/>
      </x:c>
      <x:c r="J186" s="64"/>
      <x:c r="K186" s="59"/>
      <x:c r="L186" s="59"/>
      <x:c r="M186" s="81"/>
      <x:c r="N186" s="89" t="str">
        <x:f t="shared" si="10"/>
      </x:c>
      <x:c r="O186" s="92" t="str">
        <x:f t="shared" si="11"/>
      </x:c>
    </x:row>
    <x:row r="187">
      <x:c r="A187" s="54"/>
      <x:c r="B187" s="59"/>
      <x:c r="C187" s="59"/>
      <x:c r="D187" s="59"/>
      <x:c r="E187" s="64"/>
      <x:c r="F187" s="83"/>
      <x:c r="G187" s="83"/>
      <x:c r="H187" s="38" t="str">
        <x:f t="shared" si="8"/>
      </x:c>
      <x:c r="I187" s="60" t="str">
        <x:f t="shared" si="9"/>
      </x:c>
      <x:c r="J187" s="64"/>
      <x:c r="K187" s="59"/>
      <x:c r="L187" s="59"/>
      <x:c r="M187" s="81"/>
      <x:c r="N187" s="88" t="str">
        <x:f t="shared" si="10"/>
      </x:c>
      <x:c r="O187" s="91" t="str">
        <x:f t="shared" si="11"/>
      </x:c>
    </x:row>
    <x:row r="188">
      <x:c r="A188" s="54"/>
      <x:c r="B188" s="59"/>
      <x:c r="C188" s="59"/>
      <x:c r="D188" s="59"/>
      <x:c r="E188" s="64"/>
      <x:c r="F188" s="83"/>
      <x:c r="G188" s="83"/>
      <x:c r="H188" s="39" t="str">
        <x:f t="shared" si="8"/>
      </x:c>
      <x:c r="I188" s="60" t="str">
        <x:f t="shared" si="9"/>
      </x:c>
      <x:c r="J188" s="64"/>
      <x:c r="K188" s="59"/>
      <x:c r="L188" s="59"/>
      <x:c r="M188" s="81"/>
      <x:c r="N188" s="89" t="str">
        <x:f t="shared" si="10"/>
      </x:c>
      <x:c r="O188" s="92" t="str">
        <x:f t="shared" si="11"/>
      </x:c>
    </x:row>
    <x:row r="189">
      <x:c r="A189" s="54"/>
      <x:c r="B189" s="59"/>
      <x:c r="C189" s="59"/>
      <x:c r="D189" s="59"/>
      <x:c r="E189" s="64"/>
      <x:c r="F189" s="83"/>
      <x:c r="G189" s="83"/>
      <x:c r="H189" s="38" t="str">
        <x:f t="shared" si="8"/>
      </x:c>
      <x:c r="I189" s="60" t="str">
        <x:f t="shared" si="9"/>
      </x:c>
      <x:c r="J189" s="64"/>
      <x:c r="K189" s="59"/>
      <x:c r="L189" s="59"/>
      <x:c r="M189" s="81"/>
      <x:c r="N189" s="88" t="str">
        <x:f t="shared" si="10"/>
      </x:c>
      <x:c r="O189" s="91" t="str">
        <x:f t="shared" si="11"/>
      </x:c>
    </x:row>
    <x:row r="190">
      <x:c r="A190" s="54"/>
      <x:c r="B190" s="59"/>
      <x:c r="C190" s="59"/>
      <x:c r="D190" s="59"/>
      <x:c r="E190" s="64"/>
      <x:c r="F190" s="83"/>
      <x:c r="G190" s="83"/>
      <x:c r="H190" s="39" t="str">
        <x:f t="shared" si="8"/>
      </x:c>
      <x:c r="I190" s="60" t="str">
        <x:f t="shared" si="9"/>
      </x:c>
      <x:c r="J190" s="64"/>
      <x:c r="K190" s="59"/>
      <x:c r="L190" s="59"/>
      <x:c r="M190" s="81"/>
      <x:c r="N190" s="89" t="str">
        <x:f t="shared" si="10"/>
      </x:c>
      <x:c r="O190" s="92" t="str">
        <x:f t="shared" si="11"/>
      </x:c>
    </x:row>
    <x:row r="191">
      <x:c r="A191" s="54"/>
      <x:c r="B191" s="59"/>
      <x:c r="C191" s="59"/>
      <x:c r="D191" s="59"/>
      <x:c r="E191" s="64"/>
      <x:c r="F191" s="83"/>
      <x:c r="G191" s="83"/>
      <x:c r="H191" s="38" t="str">
        <x:f t="shared" si="8"/>
      </x:c>
      <x:c r="I191" s="60" t="str">
        <x:f t="shared" si="9"/>
      </x:c>
      <x:c r="J191" s="64"/>
      <x:c r="K191" s="59"/>
      <x:c r="L191" s="59"/>
      <x:c r="M191" s="81"/>
      <x:c r="N191" s="88" t="str">
        <x:f t="shared" si="10"/>
      </x:c>
      <x:c r="O191" s="91" t="str">
        <x:f t="shared" si="11"/>
      </x:c>
    </x:row>
    <x:row r="192">
      <x:c r="A192" s="54"/>
      <x:c r="B192" s="59"/>
      <x:c r="C192" s="59"/>
      <x:c r="D192" s="59"/>
      <x:c r="E192" s="64"/>
      <x:c r="F192" s="83"/>
      <x:c r="G192" s="83"/>
      <x:c r="H192" s="39" t="str">
        <x:f t="shared" si="8"/>
      </x:c>
      <x:c r="I192" s="60" t="str">
        <x:f t="shared" si="9"/>
      </x:c>
      <x:c r="J192" s="64"/>
      <x:c r="K192" s="59"/>
      <x:c r="L192" s="59"/>
      <x:c r="M192" s="81"/>
      <x:c r="N192" s="89" t="str">
        <x:f t="shared" si="10"/>
      </x:c>
      <x:c r="O192" s="92" t="str">
        <x:f t="shared" si="11"/>
      </x:c>
    </x:row>
    <x:row r="193">
      <x:c r="A193" s="54"/>
      <x:c r="B193" s="59"/>
      <x:c r="C193" s="59"/>
      <x:c r="D193" s="59"/>
      <x:c r="E193" s="64"/>
      <x:c r="F193" s="83"/>
      <x:c r="G193" s="83"/>
      <x:c r="H193" s="38" t="str">
        <x:f t="shared" si="8"/>
      </x:c>
      <x:c r="I193" s="60" t="str">
        <x:f t="shared" si="9"/>
      </x:c>
      <x:c r="J193" s="64"/>
      <x:c r="K193" s="59"/>
      <x:c r="L193" s="59"/>
      <x:c r="M193" s="81"/>
      <x:c r="N193" s="88" t="str">
        <x:f t="shared" si="10"/>
      </x:c>
      <x:c r="O193" s="91" t="str">
        <x:f t="shared" si="11"/>
      </x:c>
    </x:row>
    <x:row r="194">
      <x:c r="A194" s="54"/>
      <x:c r="B194" s="59"/>
      <x:c r="C194" s="59"/>
      <x:c r="D194" s="59"/>
      <x:c r="E194" s="64"/>
      <x:c r="F194" s="83"/>
      <x:c r="G194" s="83"/>
      <x:c r="H194" s="39" t="str">
        <x:f t="shared" ref="H194:H257" si="12">IF(F194="","",MAX(0,F194-G194))</x:f>
      </x:c>
      <x:c r="I194" s="60" t="str">
        <x:f t="shared" ref="I194:I257" si="13">IF(F194="","",IF(H194=0,"Bezahlt",IF(G194&gt;0,"Teilbezahlt","Offen")))</x:f>
      </x:c>
      <x:c r="J194" s="64"/>
      <x:c r="K194" s="59"/>
      <x:c r="L194" s="59"/>
      <x:c r="M194" s="81"/>
      <x:c r="N194" s="89" t="str">
        <x:f t="shared" ref="N194:N257" si="14">IF(F194="","",ROUND(F194/(1+M194),2))</x:f>
      </x:c>
      <x:c r="O194" s="92" t="str">
        <x:f t="shared" ref="O194:O257" si="15">IF(F194="","",ROUND(F194-N194,2))</x:f>
      </x:c>
    </x:row>
    <x:row r="195">
      <x:c r="A195" s="54"/>
      <x:c r="B195" s="59"/>
      <x:c r="C195" s="59"/>
      <x:c r="D195" s="59"/>
      <x:c r="E195" s="64"/>
      <x:c r="F195" s="83"/>
      <x:c r="G195" s="83"/>
      <x:c r="H195" s="38" t="str">
        <x:f t="shared" si="12"/>
      </x:c>
      <x:c r="I195" s="60" t="str">
        <x:f t="shared" si="13"/>
      </x:c>
      <x:c r="J195" s="64"/>
      <x:c r="K195" s="59"/>
      <x:c r="L195" s="59"/>
      <x:c r="M195" s="81"/>
      <x:c r="N195" s="88" t="str">
        <x:f t="shared" si="14"/>
      </x:c>
      <x:c r="O195" s="91" t="str">
        <x:f t="shared" si="15"/>
      </x:c>
    </x:row>
    <x:row r="196">
      <x:c r="A196" s="54"/>
      <x:c r="B196" s="59"/>
      <x:c r="C196" s="59"/>
      <x:c r="D196" s="59"/>
      <x:c r="E196" s="64"/>
      <x:c r="F196" s="83"/>
      <x:c r="G196" s="83"/>
      <x:c r="H196" s="39" t="str">
        <x:f t="shared" si="12"/>
      </x:c>
      <x:c r="I196" s="60" t="str">
        <x:f t="shared" si="13"/>
      </x:c>
      <x:c r="J196" s="64"/>
      <x:c r="K196" s="59"/>
      <x:c r="L196" s="59"/>
      <x:c r="M196" s="81"/>
      <x:c r="N196" s="89" t="str">
        <x:f t="shared" si="14"/>
      </x:c>
      <x:c r="O196" s="92" t="str">
        <x:f t="shared" si="15"/>
      </x:c>
    </x:row>
    <x:row r="197">
      <x:c r="A197" s="54"/>
      <x:c r="B197" s="59"/>
      <x:c r="C197" s="59"/>
      <x:c r="D197" s="59"/>
      <x:c r="E197" s="64"/>
      <x:c r="F197" s="83"/>
      <x:c r="G197" s="83"/>
      <x:c r="H197" s="38" t="str">
        <x:f t="shared" si="12"/>
      </x:c>
      <x:c r="I197" s="60" t="str">
        <x:f t="shared" si="13"/>
      </x:c>
      <x:c r="J197" s="64"/>
      <x:c r="K197" s="59"/>
      <x:c r="L197" s="59"/>
      <x:c r="M197" s="81"/>
      <x:c r="N197" s="88" t="str">
        <x:f t="shared" si="14"/>
      </x:c>
      <x:c r="O197" s="91" t="str">
        <x:f t="shared" si="15"/>
      </x:c>
    </x:row>
    <x:row r="198">
      <x:c r="A198" s="54"/>
      <x:c r="B198" s="59"/>
      <x:c r="C198" s="59"/>
      <x:c r="D198" s="59"/>
      <x:c r="E198" s="64"/>
      <x:c r="F198" s="83"/>
      <x:c r="G198" s="83"/>
      <x:c r="H198" s="39" t="str">
        <x:f t="shared" si="12"/>
      </x:c>
      <x:c r="I198" s="60" t="str">
        <x:f t="shared" si="13"/>
      </x:c>
      <x:c r="J198" s="64"/>
      <x:c r="K198" s="59"/>
      <x:c r="L198" s="59"/>
      <x:c r="M198" s="81"/>
      <x:c r="N198" s="89" t="str">
        <x:f t="shared" si="14"/>
      </x:c>
      <x:c r="O198" s="92" t="str">
        <x:f t="shared" si="15"/>
      </x:c>
    </x:row>
    <x:row r="199">
      <x:c r="A199" s="54"/>
      <x:c r="B199" s="59"/>
      <x:c r="C199" s="59"/>
      <x:c r="D199" s="59"/>
      <x:c r="E199" s="64"/>
      <x:c r="F199" s="83"/>
      <x:c r="G199" s="83"/>
      <x:c r="H199" s="38" t="str">
        <x:f t="shared" si="12"/>
      </x:c>
      <x:c r="I199" s="60" t="str">
        <x:f t="shared" si="13"/>
      </x:c>
      <x:c r="J199" s="64"/>
      <x:c r="K199" s="59"/>
      <x:c r="L199" s="59"/>
      <x:c r="M199" s="81"/>
      <x:c r="N199" s="88" t="str">
        <x:f t="shared" si="14"/>
      </x:c>
      <x:c r="O199" s="91" t="str">
        <x:f t="shared" si="15"/>
      </x:c>
    </x:row>
    <x:row r="200">
      <x:c r="A200" s="54"/>
      <x:c r="B200" s="59"/>
      <x:c r="C200" s="59"/>
      <x:c r="D200" s="59"/>
      <x:c r="E200" s="64"/>
      <x:c r="F200" s="83"/>
      <x:c r="G200" s="83"/>
      <x:c r="H200" s="39" t="str">
        <x:f t="shared" si="12"/>
      </x:c>
      <x:c r="I200" s="60" t="str">
        <x:f t="shared" si="13"/>
      </x:c>
      <x:c r="J200" s="64"/>
      <x:c r="K200" s="59"/>
      <x:c r="L200" s="59"/>
      <x:c r="M200" s="81"/>
      <x:c r="N200" s="89" t="str">
        <x:f t="shared" si="14"/>
      </x:c>
      <x:c r="O200" s="92" t="str">
        <x:f t="shared" si="15"/>
      </x:c>
    </x:row>
    <x:row r="201">
      <x:c r="A201" s="54"/>
      <x:c r="B201" s="59"/>
      <x:c r="C201" s="59"/>
      <x:c r="D201" s="59"/>
      <x:c r="E201" s="64"/>
      <x:c r="F201" s="83"/>
      <x:c r="G201" s="83"/>
      <x:c r="H201" s="38" t="str">
        <x:f t="shared" si="12"/>
      </x:c>
      <x:c r="I201" s="60" t="str">
        <x:f t="shared" si="13"/>
      </x:c>
      <x:c r="J201" s="64"/>
      <x:c r="K201" s="59"/>
      <x:c r="L201" s="59"/>
      <x:c r="M201" s="81"/>
      <x:c r="N201" s="88" t="str">
        <x:f t="shared" si="14"/>
      </x:c>
      <x:c r="O201" s="91" t="str">
        <x:f t="shared" si="15"/>
      </x:c>
    </x:row>
    <x:row r="202">
      <x:c r="A202" s="54"/>
      <x:c r="B202" s="59"/>
      <x:c r="C202" s="59"/>
      <x:c r="D202" s="59"/>
      <x:c r="E202" s="64"/>
      <x:c r="F202" s="83"/>
      <x:c r="G202" s="83"/>
      <x:c r="H202" s="39" t="str">
        <x:f t="shared" si="12"/>
      </x:c>
      <x:c r="I202" s="60" t="str">
        <x:f t="shared" si="13"/>
      </x:c>
      <x:c r="J202" s="64"/>
      <x:c r="K202" s="59"/>
      <x:c r="L202" s="59"/>
      <x:c r="M202" s="81"/>
      <x:c r="N202" s="89" t="str">
        <x:f t="shared" si="14"/>
      </x:c>
      <x:c r="O202" s="92" t="str">
        <x:f t="shared" si="15"/>
      </x:c>
    </x:row>
    <x:row r="203">
      <x:c r="A203" s="54"/>
      <x:c r="B203" s="59"/>
      <x:c r="C203" s="59"/>
      <x:c r="D203" s="59"/>
      <x:c r="E203" s="64"/>
      <x:c r="F203" s="83"/>
      <x:c r="G203" s="83"/>
      <x:c r="H203" s="38" t="str">
        <x:f t="shared" si="12"/>
      </x:c>
      <x:c r="I203" s="60" t="str">
        <x:f t="shared" si="13"/>
      </x:c>
      <x:c r="J203" s="64"/>
      <x:c r="K203" s="59"/>
      <x:c r="L203" s="59"/>
      <x:c r="M203" s="81"/>
      <x:c r="N203" s="88" t="str">
        <x:f t="shared" si="14"/>
      </x:c>
      <x:c r="O203" s="91" t="str">
        <x:f t="shared" si="15"/>
      </x:c>
    </x:row>
    <x:row r="204">
      <x:c r="A204" s="54"/>
      <x:c r="B204" s="59"/>
      <x:c r="C204" s="59"/>
      <x:c r="D204" s="59"/>
      <x:c r="E204" s="64"/>
      <x:c r="F204" s="83"/>
      <x:c r="G204" s="83"/>
      <x:c r="H204" s="39" t="str">
        <x:f t="shared" si="12"/>
      </x:c>
      <x:c r="I204" s="60" t="str">
        <x:f t="shared" si="13"/>
      </x:c>
      <x:c r="J204" s="64"/>
      <x:c r="K204" s="59"/>
      <x:c r="L204" s="59"/>
      <x:c r="M204" s="81"/>
      <x:c r="N204" s="89" t="str">
        <x:f t="shared" si="14"/>
      </x:c>
      <x:c r="O204" s="92" t="str">
        <x:f t="shared" si="15"/>
      </x:c>
    </x:row>
    <x:row r="205">
      <x:c r="A205" s="54"/>
      <x:c r="B205" s="59"/>
      <x:c r="C205" s="59"/>
      <x:c r="D205" s="59"/>
      <x:c r="E205" s="64"/>
      <x:c r="F205" s="83"/>
      <x:c r="G205" s="83"/>
      <x:c r="H205" s="38" t="str">
        <x:f t="shared" si="12"/>
      </x:c>
      <x:c r="I205" s="60" t="str">
        <x:f t="shared" si="13"/>
      </x:c>
      <x:c r="J205" s="64"/>
      <x:c r="K205" s="59"/>
      <x:c r="L205" s="59"/>
      <x:c r="M205" s="81"/>
      <x:c r="N205" s="88" t="str">
        <x:f t="shared" si="14"/>
      </x:c>
      <x:c r="O205" s="91" t="str">
        <x:f t="shared" si="15"/>
      </x:c>
    </x:row>
    <x:row r="206">
      <x:c r="A206" s="54"/>
      <x:c r="B206" s="59"/>
      <x:c r="C206" s="59"/>
      <x:c r="D206" s="59"/>
      <x:c r="E206" s="64"/>
      <x:c r="F206" s="83"/>
      <x:c r="G206" s="83"/>
      <x:c r="H206" s="39" t="str">
        <x:f t="shared" si="12"/>
      </x:c>
      <x:c r="I206" s="60" t="str">
        <x:f t="shared" si="13"/>
      </x:c>
      <x:c r="J206" s="64"/>
      <x:c r="K206" s="59"/>
      <x:c r="L206" s="59"/>
      <x:c r="M206" s="81"/>
      <x:c r="N206" s="89" t="str">
        <x:f t="shared" si="14"/>
      </x:c>
      <x:c r="O206" s="92" t="str">
        <x:f t="shared" si="15"/>
      </x:c>
    </x:row>
    <x:row r="207">
      <x:c r="A207" s="54"/>
      <x:c r="B207" s="59"/>
      <x:c r="C207" s="59"/>
      <x:c r="D207" s="59"/>
      <x:c r="E207" s="64"/>
      <x:c r="F207" s="83"/>
      <x:c r="G207" s="83"/>
      <x:c r="H207" s="38" t="str">
        <x:f t="shared" si="12"/>
      </x:c>
      <x:c r="I207" s="60" t="str">
        <x:f t="shared" si="13"/>
      </x:c>
      <x:c r="J207" s="64"/>
      <x:c r="K207" s="59"/>
      <x:c r="L207" s="59"/>
      <x:c r="M207" s="81"/>
      <x:c r="N207" s="88" t="str">
        <x:f t="shared" si="14"/>
      </x:c>
      <x:c r="O207" s="91" t="str">
        <x:f t="shared" si="15"/>
      </x:c>
    </x:row>
    <x:row r="208">
      <x:c r="A208" s="54"/>
      <x:c r="B208" s="59"/>
      <x:c r="C208" s="59"/>
      <x:c r="D208" s="59"/>
      <x:c r="E208" s="64"/>
      <x:c r="F208" s="83"/>
      <x:c r="G208" s="83"/>
      <x:c r="H208" s="39" t="str">
        <x:f t="shared" si="12"/>
      </x:c>
      <x:c r="I208" s="60" t="str">
        <x:f t="shared" si="13"/>
      </x:c>
      <x:c r="J208" s="64"/>
      <x:c r="K208" s="59"/>
      <x:c r="L208" s="59"/>
      <x:c r="M208" s="81"/>
      <x:c r="N208" s="89" t="str">
        <x:f t="shared" si="14"/>
      </x:c>
      <x:c r="O208" s="92" t="str">
        <x:f t="shared" si="15"/>
      </x:c>
    </x:row>
    <x:row r="209">
      <x:c r="A209" s="54"/>
      <x:c r="B209" s="59"/>
      <x:c r="C209" s="59"/>
      <x:c r="D209" s="59"/>
      <x:c r="E209" s="64"/>
      <x:c r="F209" s="83"/>
      <x:c r="G209" s="83"/>
      <x:c r="H209" s="38" t="str">
        <x:f t="shared" si="12"/>
      </x:c>
      <x:c r="I209" s="60" t="str">
        <x:f t="shared" si="13"/>
      </x:c>
      <x:c r="J209" s="64"/>
      <x:c r="K209" s="59"/>
      <x:c r="L209" s="59"/>
      <x:c r="M209" s="81"/>
      <x:c r="N209" s="88" t="str">
        <x:f t="shared" si="14"/>
      </x:c>
      <x:c r="O209" s="91" t="str">
        <x:f t="shared" si="15"/>
      </x:c>
    </x:row>
    <x:row r="210">
      <x:c r="A210" s="54"/>
      <x:c r="B210" s="59"/>
      <x:c r="C210" s="59"/>
      <x:c r="D210" s="59"/>
      <x:c r="E210" s="64"/>
      <x:c r="F210" s="83"/>
      <x:c r="G210" s="83"/>
      <x:c r="H210" s="39" t="str">
        <x:f t="shared" si="12"/>
      </x:c>
      <x:c r="I210" s="60" t="str">
        <x:f t="shared" si="13"/>
      </x:c>
      <x:c r="J210" s="64"/>
      <x:c r="K210" s="59"/>
      <x:c r="L210" s="59"/>
      <x:c r="M210" s="81"/>
      <x:c r="N210" s="89" t="str">
        <x:f t="shared" si="14"/>
      </x:c>
      <x:c r="O210" s="92" t="str">
        <x:f t="shared" si="15"/>
      </x:c>
    </x:row>
    <x:row r="211">
      <x:c r="A211" s="54"/>
      <x:c r="B211" s="59"/>
      <x:c r="C211" s="59"/>
      <x:c r="D211" s="59"/>
      <x:c r="E211" s="64"/>
      <x:c r="F211" s="83"/>
      <x:c r="G211" s="83"/>
      <x:c r="H211" s="38" t="str">
        <x:f t="shared" si="12"/>
      </x:c>
      <x:c r="I211" s="60" t="str">
        <x:f t="shared" si="13"/>
      </x:c>
      <x:c r="J211" s="64"/>
      <x:c r="K211" s="59"/>
      <x:c r="L211" s="59"/>
      <x:c r="M211" s="81"/>
      <x:c r="N211" s="88" t="str">
        <x:f t="shared" si="14"/>
      </x:c>
      <x:c r="O211" s="91" t="str">
        <x:f t="shared" si="15"/>
      </x:c>
    </x:row>
    <x:row r="212">
      <x:c r="A212" s="54"/>
      <x:c r="B212" s="59"/>
      <x:c r="C212" s="59"/>
      <x:c r="D212" s="59"/>
      <x:c r="E212" s="64"/>
      <x:c r="F212" s="83"/>
      <x:c r="G212" s="83"/>
      <x:c r="H212" s="39" t="str">
        <x:f t="shared" si="12"/>
      </x:c>
      <x:c r="I212" s="60" t="str">
        <x:f t="shared" si="13"/>
      </x:c>
      <x:c r="J212" s="64"/>
      <x:c r="K212" s="59"/>
      <x:c r="L212" s="59"/>
      <x:c r="M212" s="81"/>
      <x:c r="N212" s="89" t="str">
        <x:f t="shared" si="14"/>
      </x:c>
      <x:c r="O212" s="92" t="str">
        <x:f t="shared" si="15"/>
      </x:c>
    </x:row>
    <x:row r="213">
      <x:c r="A213" s="54"/>
      <x:c r="B213" s="59"/>
      <x:c r="C213" s="59"/>
      <x:c r="D213" s="59"/>
      <x:c r="E213" s="64"/>
      <x:c r="F213" s="83"/>
      <x:c r="G213" s="83"/>
      <x:c r="H213" s="38" t="str">
        <x:f t="shared" si="12"/>
      </x:c>
      <x:c r="I213" s="60" t="str">
        <x:f t="shared" si="13"/>
      </x:c>
      <x:c r="J213" s="64"/>
      <x:c r="K213" s="59"/>
      <x:c r="L213" s="59"/>
      <x:c r="M213" s="81"/>
      <x:c r="N213" s="88" t="str">
        <x:f t="shared" si="14"/>
      </x:c>
      <x:c r="O213" s="91" t="str">
        <x:f t="shared" si="15"/>
      </x:c>
    </x:row>
    <x:row r="214">
      <x:c r="A214" s="54"/>
      <x:c r="B214" s="59"/>
      <x:c r="C214" s="59"/>
      <x:c r="D214" s="59"/>
      <x:c r="E214" s="64"/>
      <x:c r="F214" s="83"/>
      <x:c r="G214" s="83"/>
      <x:c r="H214" s="39" t="str">
        <x:f t="shared" si="12"/>
      </x:c>
      <x:c r="I214" s="60" t="str">
        <x:f t="shared" si="13"/>
      </x:c>
      <x:c r="J214" s="64"/>
      <x:c r="K214" s="59"/>
      <x:c r="L214" s="59"/>
      <x:c r="M214" s="81"/>
      <x:c r="N214" s="89" t="str">
        <x:f t="shared" si="14"/>
      </x:c>
      <x:c r="O214" s="92" t="str">
        <x:f t="shared" si="15"/>
      </x:c>
    </x:row>
    <x:row r="215">
      <x:c r="A215" s="54"/>
      <x:c r="B215" s="59"/>
      <x:c r="C215" s="59"/>
      <x:c r="D215" s="59"/>
      <x:c r="E215" s="64"/>
      <x:c r="F215" s="83"/>
      <x:c r="G215" s="83"/>
      <x:c r="H215" s="38" t="str">
        <x:f t="shared" si="12"/>
      </x:c>
      <x:c r="I215" s="60" t="str">
        <x:f t="shared" si="13"/>
      </x:c>
      <x:c r="J215" s="64"/>
      <x:c r="K215" s="59"/>
      <x:c r="L215" s="59"/>
      <x:c r="M215" s="81"/>
      <x:c r="N215" s="88" t="str">
        <x:f t="shared" si="14"/>
      </x:c>
      <x:c r="O215" s="91" t="str">
        <x:f t="shared" si="15"/>
      </x:c>
    </x:row>
    <x:row r="216">
      <x:c r="A216" s="54"/>
      <x:c r="B216" s="59"/>
      <x:c r="C216" s="59"/>
      <x:c r="D216" s="59"/>
      <x:c r="E216" s="64"/>
      <x:c r="F216" s="83"/>
      <x:c r="G216" s="83"/>
      <x:c r="H216" s="39" t="str">
        <x:f t="shared" si="12"/>
      </x:c>
      <x:c r="I216" s="60" t="str">
        <x:f t="shared" si="13"/>
      </x:c>
      <x:c r="J216" s="64"/>
      <x:c r="K216" s="59"/>
      <x:c r="L216" s="59"/>
      <x:c r="M216" s="81"/>
      <x:c r="N216" s="89" t="str">
        <x:f t="shared" si="14"/>
      </x:c>
      <x:c r="O216" s="92" t="str">
        <x:f t="shared" si="15"/>
      </x:c>
    </x:row>
    <x:row r="217">
      <x:c r="A217" s="54"/>
      <x:c r="B217" s="59"/>
      <x:c r="C217" s="59"/>
      <x:c r="D217" s="59"/>
      <x:c r="E217" s="64"/>
      <x:c r="F217" s="83"/>
      <x:c r="G217" s="83"/>
      <x:c r="H217" s="38" t="str">
        <x:f t="shared" si="12"/>
      </x:c>
      <x:c r="I217" s="60" t="str">
        <x:f t="shared" si="13"/>
      </x:c>
      <x:c r="J217" s="64"/>
      <x:c r="K217" s="59"/>
      <x:c r="L217" s="59"/>
      <x:c r="M217" s="81"/>
      <x:c r="N217" s="88" t="str">
        <x:f t="shared" si="14"/>
      </x:c>
      <x:c r="O217" s="91" t="str">
        <x:f t="shared" si="15"/>
      </x:c>
    </x:row>
    <x:row r="218">
      <x:c r="A218" s="54"/>
      <x:c r="B218" s="59"/>
      <x:c r="C218" s="59"/>
      <x:c r="D218" s="59"/>
      <x:c r="E218" s="64"/>
      <x:c r="F218" s="83"/>
      <x:c r="G218" s="83"/>
      <x:c r="H218" s="39" t="str">
        <x:f t="shared" si="12"/>
      </x:c>
      <x:c r="I218" s="60" t="str">
        <x:f t="shared" si="13"/>
      </x:c>
      <x:c r="J218" s="64"/>
      <x:c r="K218" s="59"/>
      <x:c r="L218" s="59"/>
      <x:c r="M218" s="81"/>
      <x:c r="N218" s="89" t="str">
        <x:f t="shared" si="14"/>
      </x:c>
      <x:c r="O218" s="92" t="str">
        <x:f t="shared" si="15"/>
      </x:c>
    </x:row>
    <x:row r="219">
      <x:c r="A219" s="54"/>
      <x:c r="B219" s="59"/>
      <x:c r="C219" s="59"/>
      <x:c r="D219" s="59"/>
      <x:c r="E219" s="64"/>
      <x:c r="F219" s="83"/>
      <x:c r="G219" s="83"/>
      <x:c r="H219" s="38" t="str">
        <x:f t="shared" si="12"/>
      </x:c>
      <x:c r="I219" s="60" t="str">
        <x:f t="shared" si="13"/>
      </x:c>
      <x:c r="J219" s="64"/>
      <x:c r="K219" s="59"/>
      <x:c r="L219" s="59"/>
      <x:c r="M219" s="81"/>
      <x:c r="N219" s="88" t="str">
        <x:f t="shared" si="14"/>
      </x:c>
      <x:c r="O219" s="91" t="str">
        <x:f t="shared" si="15"/>
      </x:c>
    </x:row>
    <x:row r="220">
      <x:c r="A220" s="54"/>
      <x:c r="B220" s="59"/>
      <x:c r="C220" s="59"/>
      <x:c r="D220" s="59"/>
      <x:c r="E220" s="64"/>
      <x:c r="F220" s="83"/>
      <x:c r="G220" s="83"/>
      <x:c r="H220" s="39" t="str">
        <x:f t="shared" si="12"/>
      </x:c>
      <x:c r="I220" s="60" t="str">
        <x:f t="shared" si="13"/>
      </x:c>
      <x:c r="J220" s="64"/>
      <x:c r="K220" s="59"/>
      <x:c r="L220" s="59"/>
      <x:c r="M220" s="81"/>
      <x:c r="N220" s="89" t="str">
        <x:f t="shared" si="14"/>
      </x:c>
      <x:c r="O220" s="92" t="str">
        <x:f t="shared" si="15"/>
      </x:c>
    </x:row>
    <x:row r="221">
      <x:c r="A221" s="54"/>
      <x:c r="B221" s="59"/>
      <x:c r="C221" s="59"/>
      <x:c r="D221" s="59"/>
      <x:c r="E221" s="64"/>
      <x:c r="F221" s="83"/>
      <x:c r="G221" s="83"/>
      <x:c r="H221" s="38" t="str">
        <x:f t="shared" si="12"/>
      </x:c>
      <x:c r="I221" s="60" t="str">
        <x:f t="shared" si="13"/>
      </x:c>
      <x:c r="J221" s="64"/>
      <x:c r="K221" s="59"/>
      <x:c r="L221" s="59"/>
      <x:c r="M221" s="81"/>
      <x:c r="N221" s="88" t="str">
        <x:f t="shared" si="14"/>
      </x:c>
      <x:c r="O221" s="91" t="str">
        <x:f t="shared" si="15"/>
      </x:c>
    </x:row>
    <x:row r="222">
      <x:c r="A222" s="54"/>
      <x:c r="B222" s="59"/>
      <x:c r="C222" s="59"/>
      <x:c r="D222" s="59"/>
      <x:c r="E222" s="64"/>
      <x:c r="F222" s="83"/>
      <x:c r="G222" s="83"/>
      <x:c r="H222" s="39" t="str">
        <x:f t="shared" si="12"/>
      </x:c>
      <x:c r="I222" s="60" t="str">
        <x:f t="shared" si="13"/>
      </x:c>
      <x:c r="J222" s="64"/>
      <x:c r="K222" s="59"/>
      <x:c r="L222" s="59"/>
      <x:c r="M222" s="81"/>
      <x:c r="N222" s="89" t="str">
        <x:f t="shared" si="14"/>
      </x:c>
      <x:c r="O222" s="92" t="str">
        <x:f t="shared" si="15"/>
      </x:c>
    </x:row>
    <x:row r="223">
      <x:c r="A223" s="54"/>
      <x:c r="B223" s="59"/>
      <x:c r="C223" s="59"/>
      <x:c r="D223" s="59"/>
      <x:c r="E223" s="64"/>
      <x:c r="F223" s="83"/>
      <x:c r="G223" s="83"/>
      <x:c r="H223" s="38" t="str">
        <x:f t="shared" si="12"/>
      </x:c>
      <x:c r="I223" s="60" t="str">
        <x:f t="shared" si="13"/>
      </x:c>
      <x:c r="J223" s="64"/>
      <x:c r="K223" s="59"/>
      <x:c r="L223" s="59"/>
      <x:c r="M223" s="81"/>
      <x:c r="N223" s="88" t="str">
        <x:f t="shared" si="14"/>
      </x:c>
      <x:c r="O223" s="91" t="str">
        <x:f t="shared" si="15"/>
      </x:c>
    </x:row>
    <x:row r="224">
      <x:c r="A224" s="54"/>
      <x:c r="B224" s="59"/>
      <x:c r="C224" s="59"/>
      <x:c r="D224" s="59"/>
      <x:c r="E224" s="64"/>
      <x:c r="F224" s="83"/>
      <x:c r="G224" s="83"/>
      <x:c r="H224" s="39" t="str">
        <x:f t="shared" si="12"/>
      </x:c>
      <x:c r="I224" s="60" t="str">
        <x:f t="shared" si="13"/>
      </x:c>
      <x:c r="J224" s="64"/>
      <x:c r="K224" s="59"/>
      <x:c r="L224" s="59"/>
      <x:c r="M224" s="81"/>
      <x:c r="N224" s="89" t="str">
        <x:f t="shared" si="14"/>
      </x:c>
      <x:c r="O224" s="92" t="str">
        <x:f t="shared" si="15"/>
      </x:c>
    </x:row>
    <x:row r="225">
      <x:c r="A225" s="54"/>
      <x:c r="B225" s="59"/>
      <x:c r="C225" s="59"/>
      <x:c r="D225" s="59"/>
      <x:c r="E225" s="64"/>
      <x:c r="F225" s="83"/>
      <x:c r="G225" s="83"/>
      <x:c r="H225" s="38" t="str">
        <x:f t="shared" si="12"/>
      </x:c>
      <x:c r="I225" s="60" t="str">
        <x:f t="shared" si="13"/>
      </x:c>
      <x:c r="J225" s="64"/>
      <x:c r="K225" s="59"/>
      <x:c r="L225" s="59"/>
      <x:c r="M225" s="81"/>
      <x:c r="N225" s="88" t="str">
        <x:f t="shared" si="14"/>
      </x:c>
      <x:c r="O225" s="91" t="str">
        <x:f t="shared" si="15"/>
      </x:c>
    </x:row>
    <x:row r="226">
      <x:c r="A226" s="54"/>
      <x:c r="B226" s="59"/>
      <x:c r="C226" s="59"/>
      <x:c r="D226" s="59"/>
      <x:c r="E226" s="64"/>
      <x:c r="F226" s="83"/>
      <x:c r="G226" s="83"/>
      <x:c r="H226" s="39" t="str">
        <x:f t="shared" si="12"/>
      </x:c>
      <x:c r="I226" s="60" t="str">
        <x:f t="shared" si="13"/>
      </x:c>
      <x:c r="J226" s="64"/>
      <x:c r="K226" s="59"/>
      <x:c r="L226" s="59"/>
      <x:c r="M226" s="81"/>
      <x:c r="N226" s="89" t="str">
        <x:f t="shared" si="14"/>
      </x:c>
      <x:c r="O226" s="92" t="str">
        <x:f t="shared" si="15"/>
      </x:c>
    </x:row>
    <x:row r="227">
      <x:c r="A227" s="54"/>
      <x:c r="B227" s="59"/>
      <x:c r="C227" s="59"/>
      <x:c r="D227" s="59"/>
      <x:c r="E227" s="64"/>
      <x:c r="F227" s="83"/>
      <x:c r="G227" s="83"/>
      <x:c r="H227" s="38" t="str">
        <x:f t="shared" si="12"/>
      </x:c>
      <x:c r="I227" s="60" t="str">
        <x:f t="shared" si="13"/>
      </x:c>
      <x:c r="J227" s="64"/>
      <x:c r="K227" s="59"/>
      <x:c r="L227" s="59"/>
      <x:c r="M227" s="81"/>
      <x:c r="N227" s="88" t="str">
        <x:f t="shared" si="14"/>
      </x:c>
      <x:c r="O227" s="91" t="str">
        <x:f t="shared" si="15"/>
      </x:c>
    </x:row>
    <x:row r="228">
      <x:c r="A228" s="54"/>
      <x:c r="B228" s="59"/>
      <x:c r="C228" s="59"/>
      <x:c r="D228" s="59"/>
      <x:c r="E228" s="64"/>
      <x:c r="F228" s="83"/>
      <x:c r="G228" s="83"/>
      <x:c r="H228" s="39" t="str">
        <x:f t="shared" si="12"/>
      </x:c>
      <x:c r="I228" s="60" t="str">
        <x:f t="shared" si="13"/>
      </x:c>
      <x:c r="J228" s="64"/>
      <x:c r="K228" s="59"/>
      <x:c r="L228" s="59"/>
      <x:c r="M228" s="81"/>
      <x:c r="N228" s="89" t="str">
        <x:f t="shared" si="14"/>
      </x:c>
      <x:c r="O228" s="92" t="str">
        <x:f t="shared" si="15"/>
      </x:c>
    </x:row>
    <x:row r="229">
      <x:c r="A229" s="54"/>
      <x:c r="B229" s="59"/>
      <x:c r="C229" s="59"/>
      <x:c r="D229" s="59"/>
      <x:c r="E229" s="64"/>
      <x:c r="F229" s="83"/>
      <x:c r="G229" s="83"/>
      <x:c r="H229" s="38" t="str">
        <x:f t="shared" si="12"/>
      </x:c>
      <x:c r="I229" s="60" t="str">
        <x:f t="shared" si="13"/>
      </x:c>
      <x:c r="J229" s="64"/>
      <x:c r="K229" s="59"/>
      <x:c r="L229" s="59"/>
      <x:c r="M229" s="81"/>
      <x:c r="N229" s="88" t="str">
        <x:f t="shared" si="14"/>
      </x:c>
      <x:c r="O229" s="91" t="str">
        <x:f t="shared" si="15"/>
      </x:c>
    </x:row>
    <x:row r="230">
      <x:c r="A230" s="54"/>
      <x:c r="B230" s="59"/>
      <x:c r="C230" s="59"/>
      <x:c r="D230" s="59"/>
      <x:c r="E230" s="64"/>
      <x:c r="F230" s="83"/>
      <x:c r="G230" s="83"/>
      <x:c r="H230" s="39" t="str">
        <x:f t="shared" si="12"/>
      </x:c>
      <x:c r="I230" s="60" t="str">
        <x:f t="shared" si="13"/>
      </x:c>
      <x:c r="J230" s="64"/>
      <x:c r="K230" s="59"/>
      <x:c r="L230" s="59"/>
      <x:c r="M230" s="81"/>
      <x:c r="N230" s="89" t="str">
        <x:f t="shared" si="14"/>
      </x:c>
      <x:c r="O230" s="92" t="str">
        <x:f t="shared" si="15"/>
      </x:c>
    </x:row>
    <x:row r="231">
      <x:c r="A231" s="54"/>
      <x:c r="B231" s="59"/>
      <x:c r="C231" s="59"/>
      <x:c r="D231" s="59"/>
      <x:c r="E231" s="64"/>
      <x:c r="F231" s="83"/>
      <x:c r="G231" s="83"/>
      <x:c r="H231" s="38" t="str">
        <x:f t="shared" si="12"/>
      </x:c>
      <x:c r="I231" s="60" t="str">
        <x:f t="shared" si="13"/>
      </x:c>
      <x:c r="J231" s="64"/>
      <x:c r="K231" s="59"/>
      <x:c r="L231" s="59"/>
      <x:c r="M231" s="81"/>
      <x:c r="N231" s="88" t="str">
        <x:f t="shared" si="14"/>
      </x:c>
      <x:c r="O231" s="91" t="str">
        <x:f t="shared" si="15"/>
      </x:c>
    </x:row>
    <x:row r="232">
      <x:c r="A232" s="54"/>
      <x:c r="B232" s="59"/>
      <x:c r="C232" s="59"/>
      <x:c r="D232" s="59"/>
      <x:c r="E232" s="64"/>
      <x:c r="F232" s="83"/>
      <x:c r="G232" s="83"/>
      <x:c r="H232" s="39" t="str">
        <x:f t="shared" si="12"/>
      </x:c>
      <x:c r="I232" s="60" t="str">
        <x:f t="shared" si="13"/>
      </x:c>
      <x:c r="J232" s="64"/>
      <x:c r="K232" s="59"/>
      <x:c r="L232" s="59"/>
      <x:c r="M232" s="81"/>
      <x:c r="N232" s="89" t="str">
        <x:f t="shared" si="14"/>
      </x:c>
      <x:c r="O232" s="92" t="str">
        <x:f t="shared" si="15"/>
      </x:c>
    </x:row>
    <x:row r="233">
      <x:c r="A233" s="54"/>
      <x:c r="B233" s="59"/>
      <x:c r="C233" s="59"/>
      <x:c r="D233" s="59"/>
      <x:c r="E233" s="64"/>
      <x:c r="F233" s="83"/>
      <x:c r="G233" s="83"/>
      <x:c r="H233" s="38" t="str">
        <x:f t="shared" si="12"/>
      </x:c>
      <x:c r="I233" s="60" t="str">
        <x:f t="shared" si="13"/>
      </x:c>
      <x:c r="J233" s="64"/>
      <x:c r="K233" s="59"/>
      <x:c r="L233" s="59"/>
      <x:c r="M233" s="81"/>
      <x:c r="N233" s="88" t="str">
        <x:f t="shared" si="14"/>
      </x:c>
      <x:c r="O233" s="91" t="str">
        <x:f t="shared" si="15"/>
      </x:c>
    </x:row>
    <x:row r="234">
      <x:c r="A234" s="54"/>
      <x:c r="B234" s="59"/>
      <x:c r="C234" s="59"/>
      <x:c r="D234" s="59"/>
      <x:c r="E234" s="64"/>
      <x:c r="F234" s="83"/>
      <x:c r="G234" s="83"/>
      <x:c r="H234" s="39" t="str">
        <x:f t="shared" si="12"/>
      </x:c>
      <x:c r="I234" s="60" t="str">
        <x:f t="shared" si="13"/>
      </x:c>
      <x:c r="J234" s="64"/>
      <x:c r="K234" s="59"/>
      <x:c r="L234" s="59"/>
      <x:c r="M234" s="81"/>
      <x:c r="N234" s="89" t="str">
        <x:f t="shared" si="14"/>
      </x:c>
      <x:c r="O234" s="92" t="str">
        <x:f t="shared" si="15"/>
      </x:c>
    </x:row>
    <x:row r="235">
      <x:c r="A235" s="54"/>
      <x:c r="B235" s="59"/>
      <x:c r="C235" s="59"/>
      <x:c r="D235" s="59"/>
      <x:c r="E235" s="64"/>
      <x:c r="F235" s="83"/>
      <x:c r="G235" s="83"/>
      <x:c r="H235" s="38" t="str">
        <x:f t="shared" si="12"/>
      </x:c>
      <x:c r="I235" s="60" t="str">
        <x:f t="shared" si="13"/>
      </x:c>
      <x:c r="J235" s="64"/>
      <x:c r="K235" s="59"/>
      <x:c r="L235" s="59"/>
      <x:c r="M235" s="81"/>
      <x:c r="N235" s="88" t="str">
        <x:f t="shared" si="14"/>
      </x:c>
      <x:c r="O235" s="91" t="str">
        <x:f t="shared" si="15"/>
      </x:c>
    </x:row>
    <x:row r="236">
      <x:c r="A236" s="54"/>
      <x:c r="B236" s="59"/>
      <x:c r="C236" s="59"/>
      <x:c r="D236" s="59"/>
      <x:c r="E236" s="64"/>
      <x:c r="F236" s="83"/>
      <x:c r="G236" s="83"/>
      <x:c r="H236" s="39" t="str">
        <x:f t="shared" si="12"/>
      </x:c>
      <x:c r="I236" s="60" t="str">
        <x:f t="shared" si="13"/>
      </x:c>
      <x:c r="J236" s="64"/>
      <x:c r="K236" s="59"/>
      <x:c r="L236" s="59"/>
      <x:c r="M236" s="81"/>
      <x:c r="N236" s="89" t="str">
        <x:f t="shared" si="14"/>
      </x:c>
      <x:c r="O236" s="92" t="str">
        <x:f t="shared" si="15"/>
      </x:c>
    </x:row>
    <x:row r="237">
      <x:c r="A237" s="54"/>
      <x:c r="B237" s="59"/>
      <x:c r="C237" s="59"/>
      <x:c r="D237" s="59"/>
      <x:c r="E237" s="64"/>
      <x:c r="F237" s="83"/>
      <x:c r="G237" s="83"/>
      <x:c r="H237" s="38" t="str">
        <x:f t="shared" si="12"/>
      </x:c>
      <x:c r="I237" s="60" t="str">
        <x:f t="shared" si="13"/>
      </x:c>
      <x:c r="J237" s="64"/>
      <x:c r="K237" s="59"/>
      <x:c r="L237" s="59"/>
      <x:c r="M237" s="81"/>
      <x:c r="N237" s="88" t="str">
        <x:f t="shared" si="14"/>
      </x:c>
      <x:c r="O237" s="91" t="str">
        <x:f t="shared" si="15"/>
      </x:c>
    </x:row>
    <x:row r="238">
      <x:c r="A238" s="54"/>
      <x:c r="B238" s="59"/>
      <x:c r="C238" s="59"/>
      <x:c r="D238" s="59"/>
      <x:c r="E238" s="64"/>
      <x:c r="F238" s="83"/>
      <x:c r="G238" s="83"/>
      <x:c r="H238" s="39" t="str">
        <x:f t="shared" si="12"/>
      </x:c>
      <x:c r="I238" s="60" t="str">
        <x:f t="shared" si="13"/>
      </x:c>
      <x:c r="J238" s="64"/>
      <x:c r="K238" s="59"/>
      <x:c r="L238" s="59"/>
      <x:c r="M238" s="81"/>
      <x:c r="N238" s="89" t="str">
        <x:f t="shared" si="14"/>
      </x:c>
      <x:c r="O238" s="92" t="str">
        <x:f t="shared" si="15"/>
      </x:c>
    </x:row>
    <x:row r="239">
      <x:c r="A239" s="54"/>
      <x:c r="B239" s="59"/>
      <x:c r="C239" s="59"/>
      <x:c r="D239" s="59"/>
      <x:c r="E239" s="64"/>
      <x:c r="F239" s="83"/>
      <x:c r="G239" s="83"/>
      <x:c r="H239" s="38" t="str">
        <x:f t="shared" si="12"/>
      </x:c>
      <x:c r="I239" s="60" t="str">
        <x:f t="shared" si="13"/>
      </x:c>
      <x:c r="J239" s="64"/>
      <x:c r="K239" s="59"/>
      <x:c r="L239" s="59"/>
      <x:c r="M239" s="81"/>
      <x:c r="N239" s="88" t="str">
        <x:f t="shared" si="14"/>
      </x:c>
      <x:c r="O239" s="91" t="str">
        <x:f t="shared" si="15"/>
      </x:c>
    </x:row>
    <x:row r="240">
      <x:c r="A240" s="54"/>
      <x:c r="B240" s="59"/>
      <x:c r="C240" s="59"/>
      <x:c r="D240" s="59"/>
      <x:c r="E240" s="64"/>
      <x:c r="F240" s="83"/>
      <x:c r="G240" s="83"/>
      <x:c r="H240" s="39" t="str">
        <x:f t="shared" si="12"/>
      </x:c>
      <x:c r="I240" s="60" t="str">
        <x:f t="shared" si="13"/>
      </x:c>
      <x:c r="J240" s="64"/>
      <x:c r="K240" s="59"/>
      <x:c r="L240" s="59"/>
      <x:c r="M240" s="81"/>
      <x:c r="N240" s="89" t="str">
        <x:f t="shared" si="14"/>
      </x:c>
      <x:c r="O240" s="92" t="str">
        <x:f t="shared" si="15"/>
      </x:c>
    </x:row>
    <x:row r="241">
      <x:c r="A241" s="54"/>
      <x:c r="B241" s="59"/>
      <x:c r="C241" s="59"/>
      <x:c r="D241" s="59"/>
      <x:c r="E241" s="64"/>
      <x:c r="F241" s="83"/>
      <x:c r="G241" s="83"/>
      <x:c r="H241" s="38" t="str">
        <x:f t="shared" si="12"/>
      </x:c>
      <x:c r="I241" s="60" t="str">
        <x:f t="shared" si="13"/>
      </x:c>
      <x:c r="J241" s="64"/>
      <x:c r="K241" s="59"/>
      <x:c r="L241" s="59"/>
      <x:c r="M241" s="81"/>
      <x:c r="N241" s="88" t="str">
        <x:f t="shared" si="14"/>
      </x:c>
      <x:c r="O241" s="91" t="str">
        <x:f t="shared" si="15"/>
      </x:c>
    </x:row>
    <x:row r="242">
      <x:c r="A242" s="54"/>
      <x:c r="B242" s="59"/>
      <x:c r="C242" s="59"/>
      <x:c r="D242" s="59"/>
      <x:c r="E242" s="64"/>
      <x:c r="F242" s="83"/>
      <x:c r="G242" s="83"/>
      <x:c r="H242" s="39" t="str">
        <x:f t="shared" si="12"/>
      </x:c>
      <x:c r="I242" s="60" t="str">
        <x:f t="shared" si="13"/>
      </x:c>
      <x:c r="J242" s="64"/>
      <x:c r="K242" s="59"/>
      <x:c r="L242" s="59"/>
      <x:c r="M242" s="81"/>
      <x:c r="N242" s="89" t="str">
        <x:f t="shared" si="14"/>
      </x:c>
      <x:c r="O242" s="92" t="str">
        <x:f t="shared" si="15"/>
      </x:c>
    </x:row>
    <x:row r="243">
      <x:c r="A243" s="54"/>
      <x:c r="B243" s="59"/>
      <x:c r="C243" s="59"/>
      <x:c r="D243" s="59"/>
      <x:c r="E243" s="64"/>
      <x:c r="F243" s="83"/>
      <x:c r="G243" s="83"/>
      <x:c r="H243" s="38" t="str">
        <x:f t="shared" si="12"/>
      </x:c>
      <x:c r="I243" s="60" t="str">
        <x:f t="shared" si="13"/>
      </x:c>
      <x:c r="J243" s="64"/>
      <x:c r="K243" s="59"/>
      <x:c r="L243" s="59"/>
      <x:c r="M243" s="81"/>
      <x:c r="N243" s="88" t="str">
        <x:f t="shared" si="14"/>
      </x:c>
      <x:c r="O243" s="91" t="str">
        <x:f t="shared" si="15"/>
      </x:c>
    </x:row>
    <x:row r="244">
      <x:c r="A244" s="54"/>
      <x:c r="B244" s="59"/>
      <x:c r="C244" s="59"/>
      <x:c r="D244" s="59"/>
      <x:c r="E244" s="64"/>
      <x:c r="F244" s="83"/>
      <x:c r="G244" s="83"/>
      <x:c r="H244" s="39" t="str">
        <x:f t="shared" si="12"/>
      </x:c>
      <x:c r="I244" s="60" t="str">
        <x:f t="shared" si="13"/>
      </x:c>
      <x:c r="J244" s="64"/>
      <x:c r="K244" s="59"/>
      <x:c r="L244" s="59"/>
      <x:c r="M244" s="81"/>
      <x:c r="N244" s="89" t="str">
        <x:f t="shared" si="14"/>
      </x:c>
      <x:c r="O244" s="92" t="str">
        <x:f t="shared" si="15"/>
      </x:c>
    </x:row>
    <x:row r="245">
      <x:c r="A245" s="54"/>
      <x:c r="B245" s="59"/>
      <x:c r="C245" s="59"/>
      <x:c r="D245" s="59"/>
      <x:c r="E245" s="64"/>
      <x:c r="F245" s="83"/>
      <x:c r="G245" s="83"/>
      <x:c r="H245" s="38" t="str">
        <x:f t="shared" si="12"/>
      </x:c>
      <x:c r="I245" s="60" t="str">
        <x:f t="shared" si="13"/>
      </x:c>
      <x:c r="J245" s="64"/>
      <x:c r="K245" s="59"/>
      <x:c r="L245" s="59"/>
      <x:c r="M245" s="81"/>
      <x:c r="N245" s="88" t="str">
        <x:f t="shared" si="14"/>
      </x:c>
      <x:c r="O245" s="91" t="str">
        <x:f t="shared" si="15"/>
      </x:c>
    </x:row>
    <x:row r="246">
      <x:c r="A246" s="54"/>
      <x:c r="B246" s="59"/>
      <x:c r="C246" s="59"/>
      <x:c r="D246" s="59"/>
      <x:c r="E246" s="64"/>
      <x:c r="F246" s="83"/>
      <x:c r="G246" s="83"/>
      <x:c r="H246" s="39" t="str">
        <x:f t="shared" si="12"/>
      </x:c>
      <x:c r="I246" s="60" t="str">
        <x:f t="shared" si="13"/>
      </x:c>
      <x:c r="J246" s="64"/>
      <x:c r="K246" s="59"/>
      <x:c r="L246" s="59"/>
      <x:c r="M246" s="81"/>
      <x:c r="N246" s="89" t="str">
        <x:f t="shared" si="14"/>
      </x:c>
      <x:c r="O246" s="92" t="str">
        <x:f t="shared" si="15"/>
      </x:c>
    </x:row>
    <x:row r="247">
      <x:c r="A247" s="54"/>
      <x:c r="B247" s="59"/>
      <x:c r="C247" s="59"/>
      <x:c r="D247" s="59"/>
      <x:c r="E247" s="64"/>
      <x:c r="F247" s="83"/>
      <x:c r="G247" s="83"/>
      <x:c r="H247" s="38" t="str">
        <x:f t="shared" si="12"/>
      </x:c>
      <x:c r="I247" s="60" t="str">
        <x:f t="shared" si="13"/>
      </x:c>
      <x:c r="J247" s="64"/>
      <x:c r="K247" s="59"/>
      <x:c r="L247" s="59"/>
      <x:c r="M247" s="81"/>
      <x:c r="N247" s="88" t="str">
        <x:f t="shared" si="14"/>
      </x:c>
      <x:c r="O247" s="91" t="str">
        <x:f t="shared" si="15"/>
      </x:c>
    </x:row>
    <x:row r="248">
      <x:c r="A248" s="54"/>
      <x:c r="B248" s="59"/>
      <x:c r="C248" s="59"/>
      <x:c r="D248" s="59"/>
      <x:c r="E248" s="64"/>
      <x:c r="F248" s="83"/>
      <x:c r="G248" s="83"/>
      <x:c r="H248" s="39" t="str">
        <x:f t="shared" si="12"/>
      </x:c>
      <x:c r="I248" s="60" t="str">
        <x:f t="shared" si="13"/>
      </x:c>
      <x:c r="J248" s="64"/>
      <x:c r="K248" s="59"/>
      <x:c r="L248" s="59"/>
      <x:c r="M248" s="81"/>
      <x:c r="N248" s="89" t="str">
        <x:f t="shared" si="14"/>
      </x:c>
      <x:c r="O248" s="92" t="str">
        <x:f t="shared" si="15"/>
      </x:c>
    </x:row>
    <x:row r="249">
      <x:c r="A249" s="54"/>
      <x:c r="B249" s="59"/>
      <x:c r="C249" s="59"/>
      <x:c r="D249" s="59"/>
      <x:c r="E249" s="64"/>
      <x:c r="F249" s="83"/>
      <x:c r="G249" s="83"/>
      <x:c r="H249" s="38" t="str">
        <x:f t="shared" si="12"/>
      </x:c>
      <x:c r="I249" s="60" t="str">
        <x:f t="shared" si="13"/>
      </x:c>
      <x:c r="J249" s="64"/>
      <x:c r="K249" s="59"/>
      <x:c r="L249" s="59"/>
      <x:c r="M249" s="81"/>
      <x:c r="N249" s="88" t="str">
        <x:f t="shared" si="14"/>
      </x:c>
      <x:c r="O249" s="91" t="str">
        <x:f t="shared" si="15"/>
      </x:c>
    </x:row>
    <x:row r="250">
      <x:c r="A250" s="54"/>
      <x:c r="B250" s="59"/>
      <x:c r="C250" s="59"/>
      <x:c r="D250" s="59"/>
      <x:c r="E250" s="64"/>
      <x:c r="F250" s="83"/>
      <x:c r="G250" s="83"/>
      <x:c r="H250" s="39" t="str">
        <x:f t="shared" si="12"/>
      </x:c>
      <x:c r="I250" s="60" t="str">
        <x:f t="shared" si="13"/>
      </x:c>
      <x:c r="J250" s="64"/>
      <x:c r="K250" s="59"/>
      <x:c r="L250" s="59"/>
      <x:c r="M250" s="81"/>
      <x:c r="N250" s="89" t="str">
        <x:f t="shared" si="14"/>
      </x:c>
      <x:c r="O250" s="92" t="str">
        <x:f t="shared" si="15"/>
      </x:c>
    </x:row>
    <x:row r="251">
      <x:c r="A251" s="54"/>
      <x:c r="B251" s="59"/>
      <x:c r="C251" s="59"/>
      <x:c r="D251" s="59"/>
      <x:c r="E251" s="64"/>
      <x:c r="F251" s="83"/>
      <x:c r="G251" s="83"/>
      <x:c r="H251" s="38" t="str">
        <x:f t="shared" si="12"/>
      </x:c>
      <x:c r="I251" s="60" t="str">
        <x:f t="shared" si="13"/>
      </x:c>
      <x:c r="J251" s="64"/>
      <x:c r="K251" s="59"/>
      <x:c r="L251" s="59"/>
      <x:c r="M251" s="81"/>
      <x:c r="N251" s="88" t="str">
        <x:f t="shared" si="14"/>
      </x:c>
      <x:c r="O251" s="91" t="str">
        <x:f t="shared" si="15"/>
      </x:c>
    </x:row>
    <x:row r="252">
      <x:c r="A252" s="54"/>
      <x:c r="B252" s="59"/>
      <x:c r="C252" s="59"/>
      <x:c r="D252" s="59"/>
      <x:c r="E252" s="64"/>
      <x:c r="F252" s="83"/>
      <x:c r="G252" s="83"/>
      <x:c r="H252" s="39" t="str">
        <x:f t="shared" si="12"/>
      </x:c>
      <x:c r="I252" s="60" t="str">
        <x:f t="shared" si="13"/>
      </x:c>
      <x:c r="J252" s="64"/>
      <x:c r="K252" s="59"/>
      <x:c r="L252" s="59"/>
      <x:c r="M252" s="81"/>
      <x:c r="N252" s="89" t="str">
        <x:f t="shared" si="14"/>
      </x:c>
      <x:c r="O252" s="92" t="str">
        <x:f t="shared" si="15"/>
      </x:c>
    </x:row>
    <x:row r="253">
      <x:c r="A253" s="54"/>
      <x:c r="B253" s="59"/>
      <x:c r="C253" s="59"/>
      <x:c r="D253" s="59"/>
      <x:c r="E253" s="64"/>
      <x:c r="F253" s="83"/>
      <x:c r="G253" s="83"/>
      <x:c r="H253" s="38" t="str">
        <x:f t="shared" si="12"/>
      </x:c>
      <x:c r="I253" s="60" t="str">
        <x:f t="shared" si="13"/>
      </x:c>
      <x:c r="J253" s="64"/>
      <x:c r="K253" s="59"/>
      <x:c r="L253" s="59"/>
      <x:c r="M253" s="81"/>
      <x:c r="N253" s="88" t="str">
        <x:f t="shared" si="14"/>
      </x:c>
      <x:c r="O253" s="91" t="str">
        <x:f t="shared" si="15"/>
      </x:c>
    </x:row>
    <x:row r="254">
      <x:c r="A254" s="54"/>
      <x:c r="B254" s="59"/>
      <x:c r="C254" s="59"/>
      <x:c r="D254" s="59"/>
      <x:c r="E254" s="64"/>
      <x:c r="F254" s="83"/>
      <x:c r="G254" s="83"/>
      <x:c r="H254" s="39" t="str">
        <x:f t="shared" si="12"/>
      </x:c>
      <x:c r="I254" s="60" t="str">
        <x:f t="shared" si="13"/>
      </x:c>
      <x:c r="J254" s="64"/>
      <x:c r="K254" s="59"/>
      <x:c r="L254" s="59"/>
      <x:c r="M254" s="81"/>
      <x:c r="N254" s="89" t="str">
        <x:f t="shared" si="14"/>
      </x:c>
      <x:c r="O254" s="92" t="str">
        <x:f t="shared" si="15"/>
      </x:c>
    </x:row>
    <x:row r="255">
      <x:c r="A255" s="54"/>
      <x:c r="B255" s="59"/>
      <x:c r="C255" s="59"/>
      <x:c r="D255" s="59"/>
      <x:c r="E255" s="64"/>
      <x:c r="F255" s="83"/>
      <x:c r="G255" s="83"/>
      <x:c r="H255" s="38" t="str">
        <x:f t="shared" si="12"/>
      </x:c>
      <x:c r="I255" s="60" t="str">
        <x:f t="shared" si="13"/>
      </x:c>
      <x:c r="J255" s="64"/>
      <x:c r="K255" s="59"/>
      <x:c r="L255" s="59"/>
      <x:c r="M255" s="81"/>
      <x:c r="N255" s="88" t="str">
        <x:f t="shared" si="14"/>
      </x:c>
      <x:c r="O255" s="91" t="str">
        <x:f t="shared" si="15"/>
      </x:c>
    </x:row>
    <x:row r="256">
      <x:c r="A256" s="54"/>
      <x:c r="B256" s="59"/>
      <x:c r="C256" s="59"/>
      <x:c r="D256" s="59"/>
      <x:c r="E256" s="64"/>
      <x:c r="F256" s="83"/>
      <x:c r="G256" s="83"/>
      <x:c r="H256" s="39" t="str">
        <x:f t="shared" si="12"/>
      </x:c>
      <x:c r="I256" s="60" t="str">
        <x:f t="shared" si="13"/>
      </x:c>
      <x:c r="J256" s="64"/>
      <x:c r="K256" s="59"/>
      <x:c r="L256" s="59"/>
      <x:c r="M256" s="81"/>
      <x:c r="N256" s="89" t="str">
        <x:f t="shared" si="14"/>
      </x:c>
      <x:c r="O256" s="92" t="str">
        <x:f t="shared" si="15"/>
      </x:c>
    </x:row>
    <x:row r="257">
      <x:c r="A257" s="54"/>
      <x:c r="B257" s="59"/>
      <x:c r="C257" s="59"/>
      <x:c r="D257" s="59"/>
      <x:c r="E257" s="64"/>
      <x:c r="F257" s="83"/>
      <x:c r="G257" s="83"/>
      <x:c r="H257" s="38" t="str">
        <x:f t="shared" si="12"/>
      </x:c>
      <x:c r="I257" s="60" t="str">
        <x:f t="shared" si="13"/>
      </x:c>
      <x:c r="J257" s="64"/>
      <x:c r="K257" s="59"/>
      <x:c r="L257" s="59"/>
      <x:c r="M257" s="81"/>
      <x:c r="N257" s="88" t="str">
        <x:f t="shared" si="14"/>
      </x:c>
      <x:c r="O257" s="91" t="str">
        <x:f t="shared" si="15"/>
      </x:c>
    </x:row>
    <x:row r="258">
      <x:c r="A258" s="54"/>
      <x:c r="B258" s="59"/>
      <x:c r="C258" s="59"/>
      <x:c r="D258" s="59"/>
      <x:c r="E258" s="64"/>
      <x:c r="F258" s="83"/>
      <x:c r="G258" s="83"/>
      <x:c r="H258" s="39" t="str">
        <x:f t="shared" ref="H258:H301" si="16">IF(F258="","",MAX(0,F258-G258))</x:f>
      </x:c>
      <x:c r="I258" s="60" t="str">
        <x:f t="shared" ref="I258:I301" si="17">IF(F258="","",IF(H258=0,"Bezahlt",IF(G258&gt;0,"Teilbezahlt","Offen")))</x:f>
      </x:c>
      <x:c r="J258" s="64"/>
      <x:c r="K258" s="59"/>
      <x:c r="L258" s="59"/>
      <x:c r="M258" s="81"/>
      <x:c r="N258" s="89" t="str">
        <x:f t="shared" ref="N258:N301" si="18">IF(F258="","",ROUND(F258/(1+M258),2))</x:f>
      </x:c>
      <x:c r="O258" s="92" t="str">
        <x:f t="shared" ref="O258:O301" si="19">IF(F258="","",ROUND(F258-N258,2))</x:f>
      </x:c>
    </x:row>
    <x:row r="259">
      <x:c r="A259" s="54"/>
      <x:c r="B259" s="59"/>
      <x:c r="C259" s="59"/>
      <x:c r="D259" s="59"/>
      <x:c r="E259" s="64"/>
      <x:c r="F259" s="83"/>
      <x:c r="G259" s="83"/>
      <x:c r="H259" s="38" t="str">
        <x:f t="shared" si="16"/>
      </x:c>
      <x:c r="I259" s="60" t="str">
        <x:f t="shared" si="17"/>
      </x:c>
      <x:c r="J259" s="64"/>
      <x:c r="K259" s="59"/>
      <x:c r="L259" s="59"/>
      <x:c r="M259" s="81"/>
      <x:c r="N259" s="88" t="str">
        <x:f t="shared" si="18"/>
      </x:c>
      <x:c r="O259" s="91" t="str">
        <x:f t="shared" si="19"/>
      </x:c>
    </x:row>
    <x:row r="260">
      <x:c r="A260" s="54"/>
      <x:c r="B260" s="59"/>
      <x:c r="C260" s="59"/>
      <x:c r="D260" s="59"/>
      <x:c r="E260" s="64"/>
      <x:c r="F260" s="83"/>
      <x:c r="G260" s="83"/>
      <x:c r="H260" s="39" t="str">
        <x:f t="shared" si="16"/>
      </x:c>
      <x:c r="I260" s="60" t="str">
        <x:f t="shared" si="17"/>
      </x:c>
      <x:c r="J260" s="64"/>
      <x:c r="K260" s="59"/>
      <x:c r="L260" s="59"/>
      <x:c r="M260" s="81"/>
      <x:c r="N260" s="89" t="str">
        <x:f t="shared" si="18"/>
      </x:c>
      <x:c r="O260" s="92" t="str">
        <x:f t="shared" si="19"/>
      </x:c>
    </x:row>
    <x:row r="261">
      <x:c r="A261" s="54"/>
      <x:c r="B261" s="59"/>
      <x:c r="C261" s="59"/>
      <x:c r="D261" s="59"/>
      <x:c r="E261" s="64"/>
      <x:c r="F261" s="83"/>
      <x:c r="G261" s="83"/>
      <x:c r="H261" s="38" t="str">
        <x:f t="shared" si="16"/>
      </x:c>
      <x:c r="I261" s="60" t="str">
        <x:f t="shared" si="17"/>
      </x:c>
      <x:c r="J261" s="64"/>
      <x:c r="K261" s="59"/>
      <x:c r="L261" s="59"/>
      <x:c r="M261" s="81"/>
      <x:c r="N261" s="88" t="str">
        <x:f t="shared" si="18"/>
      </x:c>
      <x:c r="O261" s="91" t="str">
        <x:f t="shared" si="19"/>
      </x:c>
    </x:row>
    <x:row r="262">
      <x:c r="A262" s="54"/>
      <x:c r="B262" s="59"/>
      <x:c r="C262" s="59"/>
      <x:c r="D262" s="59"/>
      <x:c r="E262" s="64"/>
      <x:c r="F262" s="83"/>
      <x:c r="G262" s="83"/>
      <x:c r="H262" s="39" t="str">
        <x:f t="shared" si="16"/>
      </x:c>
      <x:c r="I262" s="60" t="str">
        <x:f t="shared" si="17"/>
      </x:c>
      <x:c r="J262" s="64"/>
      <x:c r="K262" s="59"/>
      <x:c r="L262" s="59"/>
      <x:c r="M262" s="81"/>
      <x:c r="N262" s="89" t="str">
        <x:f t="shared" si="18"/>
      </x:c>
      <x:c r="O262" s="92" t="str">
        <x:f t="shared" si="19"/>
      </x:c>
    </x:row>
    <x:row r="263">
      <x:c r="A263" s="54"/>
      <x:c r="B263" s="59"/>
      <x:c r="C263" s="59"/>
      <x:c r="D263" s="59"/>
      <x:c r="E263" s="64"/>
      <x:c r="F263" s="83"/>
      <x:c r="G263" s="83"/>
      <x:c r="H263" s="38" t="str">
        <x:f t="shared" si="16"/>
      </x:c>
      <x:c r="I263" s="60" t="str">
        <x:f t="shared" si="17"/>
      </x:c>
      <x:c r="J263" s="64"/>
      <x:c r="K263" s="59"/>
      <x:c r="L263" s="59"/>
      <x:c r="M263" s="81"/>
      <x:c r="N263" s="88" t="str">
        <x:f t="shared" si="18"/>
      </x:c>
      <x:c r="O263" s="91" t="str">
        <x:f t="shared" si="19"/>
      </x:c>
    </x:row>
    <x:row r="264">
      <x:c r="A264" s="54"/>
      <x:c r="B264" s="59"/>
      <x:c r="C264" s="59"/>
      <x:c r="D264" s="59"/>
      <x:c r="E264" s="64"/>
      <x:c r="F264" s="83"/>
      <x:c r="G264" s="83"/>
      <x:c r="H264" s="39" t="str">
        <x:f t="shared" si="16"/>
      </x:c>
      <x:c r="I264" s="60" t="str">
        <x:f t="shared" si="17"/>
      </x:c>
      <x:c r="J264" s="64"/>
      <x:c r="K264" s="59"/>
      <x:c r="L264" s="59"/>
      <x:c r="M264" s="81"/>
      <x:c r="N264" s="89" t="str">
        <x:f t="shared" si="18"/>
      </x:c>
      <x:c r="O264" s="92" t="str">
        <x:f t="shared" si="19"/>
      </x:c>
    </x:row>
    <x:row r="265">
      <x:c r="A265" s="54"/>
      <x:c r="B265" s="59"/>
      <x:c r="C265" s="59"/>
      <x:c r="D265" s="59"/>
      <x:c r="E265" s="64"/>
      <x:c r="F265" s="83"/>
      <x:c r="G265" s="83"/>
      <x:c r="H265" s="38" t="str">
        <x:f t="shared" si="16"/>
      </x:c>
      <x:c r="I265" s="60" t="str">
        <x:f t="shared" si="17"/>
      </x:c>
      <x:c r="J265" s="64"/>
      <x:c r="K265" s="59"/>
      <x:c r="L265" s="59"/>
      <x:c r="M265" s="81"/>
      <x:c r="N265" s="88" t="str">
        <x:f t="shared" si="18"/>
      </x:c>
      <x:c r="O265" s="91" t="str">
        <x:f t="shared" si="19"/>
      </x:c>
    </x:row>
    <x:row r="266">
      <x:c r="A266" s="54"/>
      <x:c r="B266" s="59"/>
      <x:c r="C266" s="59"/>
      <x:c r="D266" s="59"/>
      <x:c r="E266" s="64"/>
      <x:c r="F266" s="83"/>
      <x:c r="G266" s="83"/>
      <x:c r="H266" s="39" t="str">
        <x:f t="shared" si="16"/>
      </x:c>
      <x:c r="I266" s="60" t="str">
        <x:f t="shared" si="17"/>
      </x:c>
      <x:c r="J266" s="64"/>
      <x:c r="K266" s="59"/>
      <x:c r="L266" s="59"/>
      <x:c r="M266" s="81"/>
      <x:c r="N266" s="89" t="str">
        <x:f t="shared" si="18"/>
      </x:c>
      <x:c r="O266" s="92" t="str">
        <x:f t="shared" si="19"/>
      </x:c>
    </x:row>
    <x:row r="267">
      <x:c r="A267" s="54"/>
      <x:c r="B267" s="59"/>
      <x:c r="C267" s="59"/>
      <x:c r="D267" s="59"/>
      <x:c r="E267" s="64"/>
      <x:c r="F267" s="83"/>
      <x:c r="G267" s="83"/>
      <x:c r="H267" s="38" t="str">
        <x:f t="shared" si="16"/>
      </x:c>
      <x:c r="I267" s="60" t="str">
        <x:f t="shared" si="17"/>
      </x:c>
      <x:c r="J267" s="64"/>
      <x:c r="K267" s="59"/>
      <x:c r="L267" s="59"/>
      <x:c r="M267" s="81"/>
      <x:c r="N267" s="88" t="str">
        <x:f t="shared" si="18"/>
      </x:c>
      <x:c r="O267" s="91" t="str">
        <x:f t="shared" si="19"/>
      </x:c>
    </x:row>
    <x:row r="268">
      <x:c r="A268" s="54"/>
      <x:c r="B268" s="59"/>
      <x:c r="C268" s="59"/>
      <x:c r="D268" s="59"/>
      <x:c r="E268" s="64"/>
      <x:c r="F268" s="83"/>
      <x:c r="G268" s="83"/>
      <x:c r="H268" s="39" t="str">
        <x:f t="shared" si="16"/>
      </x:c>
      <x:c r="I268" s="60" t="str">
        <x:f t="shared" si="17"/>
      </x:c>
      <x:c r="J268" s="64"/>
      <x:c r="K268" s="59"/>
      <x:c r="L268" s="59"/>
      <x:c r="M268" s="81"/>
      <x:c r="N268" s="89" t="str">
        <x:f t="shared" si="18"/>
      </x:c>
      <x:c r="O268" s="92" t="str">
        <x:f t="shared" si="19"/>
      </x:c>
    </x:row>
    <x:row r="269">
      <x:c r="A269" s="54"/>
      <x:c r="B269" s="59"/>
      <x:c r="C269" s="59"/>
      <x:c r="D269" s="59"/>
      <x:c r="E269" s="64"/>
      <x:c r="F269" s="83"/>
      <x:c r="G269" s="83"/>
      <x:c r="H269" s="38" t="str">
        <x:f t="shared" si="16"/>
      </x:c>
      <x:c r="I269" s="60" t="str">
        <x:f t="shared" si="17"/>
      </x:c>
      <x:c r="J269" s="64"/>
      <x:c r="K269" s="59"/>
      <x:c r="L269" s="59"/>
      <x:c r="M269" s="81"/>
      <x:c r="N269" s="88" t="str">
        <x:f t="shared" si="18"/>
      </x:c>
      <x:c r="O269" s="91" t="str">
        <x:f t="shared" si="19"/>
      </x:c>
    </x:row>
    <x:row r="270">
      <x:c r="A270" s="54"/>
      <x:c r="B270" s="59"/>
      <x:c r="C270" s="59"/>
      <x:c r="D270" s="59"/>
      <x:c r="E270" s="64"/>
      <x:c r="F270" s="83"/>
      <x:c r="G270" s="83"/>
      <x:c r="H270" s="39" t="str">
        <x:f t="shared" si="16"/>
      </x:c>
      <x:c r="I270" s="60" t="str">
        <x:f t="shared" si="17"/>
      </x:c>
      <x:c r="J270" s="64"/>
      <x:c r="K270" s="59"/>
      <x:c r="L270" s="59"/>
      <x:c r="M270" s="81"/>
      <x:c r="N270" s="89" t="str">
        <x:f t="shared" si="18"/>
      </x:c>
      <x:c r="O270" s="92" t="str">
        <x:f t="shared" si="19"/>
      </x:c>
    </x:row>
    <x:row r="271">
      <x:c r="A271" s="54"/>
      <x:c r="B271" s="59"/>
      <x:c r="C271" s="59"/>
      <x:c r="D271" s="59"/>
      <x:c r="E271" s="64"/>
      <x:c r="F271" s="83"/>
      <x:c r="G271" s="83"/>
      <x:c r="H271" s="38" t="str">
        <x:f t="shared" si="16"/>
      </x:c>
      <x:c r="I271" s="60" t="str">
        <x:f t="shared" si="17"/>
      </x:c>
      <x:c r="J271" s="64"/>
      <x:c r="K271" s="59"/>
      <x:c r="L271" s="59"/>
      <x:c r="M271" s="81"/>
      <x:c r="N271" s="88" t="str">
        <x:f t="shared" si="18"/>
      </x:c>
      <x:c r="O271" s="91" t="str">
        <x:f t="shared" si="19"/>
      </x:c>
    </x:row>
    <x:row r="272">
      <x:c r="A272" s="54"/>
      <x:c r="B272" s="59"/>
      <x:c r="C272" s="59"/>
      <x:c r="D272" s="59"/>
      <x:c r="E272" s="64"/>
      <x:c r="F272" s="83"/>
      <x:c r="G272" s="83"/>
      <x:c r="H272" s="39" t="str">
        <x:f t="shared" si="16"/>
      </x:c>
      <x:c r="I272" s="60" t="str">
        <x:f t="shared" si="17"/>
      </x:c>
      <x:c r="J272" s="64"/>
      <x:c r="K272" s="59"/>
      <x:c r="L272" s="59"/>
      <x:c r="M272" s="81"/>
      <x:c r="N272" s="89" t="str">
        <x:f t="shared" si="18"/>
      </x:c>
      <x:c r="O272" s="92" t="str">
        <x:f t="shared" si="19"/>
      </x:c>
    </x:row>
    <x:row r="273">
      <x:c r="A273" s="54"/>
      <x:c r="B273" s="59"/>
      <x:c r="C273" s="59"/>
      <x:c r="D273" s="59"/>
      <x:c r="E273" s="64"/>
      <x:c r="F273" s="83"/>
      <x:c r="G273" s="83"/>
      <x:c r="H273" s="38" t="str">
        <x:f t="shared" si="16"/>
      </x:c>
      <x:c r="I273" s="60" t="str">
        <x:f t="shared" si="17"/>
      </x:c>
      <x:c r="J273" s="64"/>
      <x:c r="K273" s="59"/>
      <x:c r="L273" s="59"/>
      <x:c r="M273" s="81"/>
      <x:c r="N273" s="88" t="str">
        <x:f t="shared" si="18"/>
      </x:c>
      <x:c r="O273" s="91" t="str">
        <x:f t="shared" si="19"/>
      </x:c>
    </x:row>
    <x:row r="274">
      <x:c r="A274" s="54"/>
      <x:c r="B274" s="59"/>
      <x:c r="C274" s="59"/>
      <x:c r="D274" s="59"/>
      <x:c r="E274" s="64"/>
      <x:c r="F274" s="83"/>
      <x:c r="G274" s="83"/>
      <x:c r="H274" s="39" t="str">
        <x:f t="shared" si="16"/>
      </x:c>
      <x:c r="I274" s="60" t="str">
        <x:f t="shared" si="17"/>
      </x:c>
      <x:c r="J274" s="64"/>
      <x:c r="K274" s="59"/>
      <x:c r="L274" s="59"/>
      <x:c r="M274" s="81"/>
      <x:c r="N274" s="89" t="str">
        <x:f t="shared" si="18"/>
      </x:c>
      <x:c r="O274" s="92" t="str">
        <x:f t="shared" si="19"/>
      </x:c>
    </x:row>
    <x:row r="275">
      <x:c r="A275" s="54"/>
      <x:c r="B275" s="59"/>
      <x:c r="C275" s="59"/>
      <x:c r="D275" s="59"/>
      <x:c r="E275" s="64"/>
      <x:c r="F275" s="83"/>
      <x:c r="G275" s="83"/>
      <x:c r="H275" s="38" t="str">
        <x:f t="shared" si="16"/>
      </x:c>
      <x:c r="I275" s="60" t="str">
        <x:f t="shared" si="17"/>
      </x:c>
      <x:c r="J275" s="64"/>
      <x:c r="K275" s="59"/>
      <x:c r="L275" s="59"/>
      <x:c r="M275" s="81"/>
      <x:c r="N275" s="88" t="str">
        <x:f t="shared" si="18"/>
      </x:c>
      <x:c r="O275" s="91" t="str">
        <x:f t="shared" si="19"/>
      </x:c>
    </x:row>
    <x:row r="276">
      <x:c r="A276" s="54"/>
      <x:c r="B276" s="59"/>
      <x:c r="C276" s="59"/>
      <x:c r="D276" s="59"/>
      <x:c r="E276" s="64"/>
      <x:c r="F276" s="83"/>
      <x:c r="G276" s="83"/>
      <x:c r="H276" s="39" t="str">
        <x:f t="shared" si="16"/>
      </x:c>
      <x:c r="I276" s="60" t="str">
        <x:f t="shared" si="17"/>
      </x:c>
      <x:c r="J276" s="64"/>
      <x:c r="K276" s="59"/>
      <x:c r="L276" s="59"/>
      <x:c r="M276" s="81"/>
      <x:c r="N276" s="89" t="str">
        <x:f t="shared" si="18"/>
      </x:c>
      <x:c r="O276" s="92" t="str">
        <x:f t="shared" si="19"/>
      </x:c>
    </x:row>
    <x:row r="277">
      <x:c r="A277" s="54"/>
      <x:c r="B277" s="59"/>
      <x:c r="C277" s="59"/>
      <x:c r="D277" s="59"/>
      <x:c r="E277" s="64"/>
      <x:c r="F277" s="83"/>
      <x:c r="G277" s="83"/>
      <x:c r="H277" s="38" t="str">
        <x:f t="shared" si="16"/>
      </x:c>
      <x:c r="I277" s="60" t="str">
        <x:f t="shared" si="17"/>
      </x:c>
      <x:c r="J277" s="64"/>
      <x:c r="K277" s="59"/>
      <x:c r="L277" s="59"/>
      <x:c r="M277" s="81"/>
      <x:c r="N277" s="88" t="str">
        <x:f t="shared" si="18"/>
      </x:c>
      <x:c r="O277" s="91" t="str">
        <x:f t="shared" si="19"/>
      </x:c>
    </x:row>
    <x:row r="278">
      <x:c r="A278" s="54"/>
      <x:c r="B278" s="59"/>
      <x:c r="C278" s="59"/>
      <x:c r="D278" s="59"/>
      <x:c r="E278" s="64"/>
      <x:c r="F278" s="83"/>
      <x:c r="G278" s="83"/>
      <x:c r="H278" s="39" t="str">
        <x:f t="shared" si="16"/>
      </x:c>
      <x:c r="I278" s="60" t="str">
        <x:f t="shared" si="17"/>
      </x:c>
      <x:c r="J278" s="64"/>
      <x:c r="K278" s="59"/>
      <x:c r="L278" s="59"/>
      <x:c r="M278" s="81"/>
      <x:c r="N278" s="89" t="str">
        <x:f t="shared" si="18"/>
      </x:c>
      <x:c r="O278" s="92" t="str">
        <x:f t="shared" si="19"/>
      </x:c>
    </x:row>
    <x:row r="279">
      <x:c r="A279" s="54"/>
      <x:c r="B279" s="59"/>
      <x:c r="C279" s="59"/>
      <x:c r="D279" s="59"/>
      <x:c r="E279" s="64"/>
      <x:c r="F279" s="83"/>
      <x:c r="G279" s="83"/>
      <x:c r="H279" s="38" t="str">
        <x:f t="shared" si="16"/>
      </x:c>
      <x:c r="I279" s="60" t="str">
        <x:f t="shared" si="17"/>
      </x:c>
      <x:c r="J279" s="64"/>
      <x:c r="K279" s="59"/>
      <x:c r="L279" s="59"/>
      <x:c r="M279" s="81"/>
      <x:c r="N279" s="88" t="str">
        <x:f t="shared" si="18"/>
      </x:c>
      <x:c r="O279" s="91" t="str">
        <x:f t="shared" si="19"/>
      </x:c>
    </x:row>
    <x:row r="280">
      <x:c r="A280" s="54"/>
      <x:c r="B280" s="59"/>
      <x:c r="C280" s="59"/>
      <x:c r="D280" s="59"/>
      <x:c r="E280" s="64"/>
      <x:c r="F280" s="83"/>
      <x:c r="G280" s="83"/>
      <x:c r="H280" s="39" t="str">
        <x:f t="shared" si="16"/>
      </x:c>
      <x:c r="I280" s="60" t="str">
        <x:f t="shared" si="17"/>
      </x:c>
      <x:c r="J280" s="64"/>
      <x:c r="K280" s="59"/>
      <x:c r="L280" s="59"/>
      <x:c r="M280" s="81"/>
      <x:c r="N280" s="89" t="str">
        <x:f t="shared" si="18"/>
      </x:c>
      <x:c r="O280" s="92" t="str">
        <x:f t="shared" si="19"/>
      </x:c>
    </x:row>
    <x:row r="281">
      <x:c r="A281" s="54"/>
      <x:c r="B281" s="59"/>
      <x:c r="C281" s="59"/>
      <x:c r="D281" s="59"/>
      <x:c r="E281" s="64"/>
      <x:c r="F281" s="83"/>
      <x:c r="G281" s="83"/>
      <x:c r="H281" s="38" t="str">
        <x:f t="shared" si="16"/>
      </x:c>
      <x:c r="I281" s="60" t="str">
        <x:f t="shared" si="17"/>
      </x:c>
      <x:c r="J281" s="64"/>
      <x:c r="K281" s="59"/>
      <x:c r="L281" s="59"/>
      <x:c r="M281" s="81"/>
      <x:c r="N281" s="88" t="str">
        <x:f t="shared" si="18"/>
      </x:c>
      <x:c r="O281" s="91" t="str">
        <x:f t="shared" si="19"/>
      </x:c>
    </x:row>
    <x:row r="282">
      <x:c r="A282" s="54"/>
      <x:c r="B282" s="59"/>
      <x:c r="C282" s="59"/>
      <x:c r="D282" s="59"/>
      <x:c r="E282" s="64"/>
      <x:c r="F282" s="83"/>
      <x:c r="G282" s="83"/>
      <x:c r="H282" s="39" t="str">
        <x:f t="shared" si="16"/>
      </x:c>
      <x:c r="I282" s="60" t="str">
        <x:f t="shared" si="17"/>
      </x:c>
      <x:c r="J282" s="64"/>
      <x:c r="K282" s="59"/>
      <x:c r="L282" s="59"/>
      <x:c r="M282" s="81"/>
      <x:c r="N282" s="89" t="str">
        <x:f t="shared" si="18"/>
      </x:c>
      <x:c r="O282" s="92" t="str">
        <x:f t="shared" si="19"/>
      </x:c>
    </x:row>
    <x:row r="283">
      <x:c r="A283" s="54"/>
      <x:c r="B283" s="59"/>
      <x:c r="C283" s="59"/>
      <x:c r="D283" s="59"/>
      <x:c r="E283" s="64"/>
      <x:c r="F283" s="83"/>
      <x:c r="G283" s="83"/>
      <x:c r="H283" s="38" t="str">
        <x:f t="shared" si="16"/>
      </x:c>
      <x:c r="I283" s="60" t="str">
        <x:f t="shared" si="17"/>
      </x:c>
      <x:c r="J283" s="64"/>
      <x:c r="K283" s="59"/>
      <x:c r="L283" s="59"/>
      <x:c r="M283" s="81"/>
      <x:c r="N283" s="88" t="str">
        <x:f t="shared" si="18"/>
      </x:c>
      <x:c r="O283" s="91" t="str">
        <x:f t="shared" si="19"/>
      </x:c>
    </x:row>
    <x:row r="284">
      <x:c r="A284" s="54"/>
      <x:c r="B284" s="59"/>
      <x:c r="C284" s="59"/>
      <x:c r="D284" s="59"/>
      <x:c r="E284" s="64"/>
      <x:c r="F284" s="83"/>
      <x:c r="G284" s="83"/>
      <x:c r="H284" s="39" t="str">
        <x:f t="shared" si="16"/>
      </x:c>
      <x:c r="I284" s="60" t="str">
        <x:f t="shared" si="17"/>
      </x:c>
      <x:c r="J284" s="64"/>
      <x:c r="K284" s="59"/>
      <x:c r="L284" s="59"/>
      <x:c r="M284" s="81"/>
      <x:c r="N284" s="89" t="str">
        <x:f t="shared" si="18"/>
      </x:c>
      <x:c r="O284" s="92" t="str">
        <x:f t="shared" si="19"/>
      </x:c>
    </x:row>
    <x:row r="285">
      <x:c r="A285" s="54"/>
      <x:c r="B285" s="59"/>
      <x:c r="C285" s="59"/>
      <x:c r="D285" s="59"/>
      <x:c r="E285" s="64"/>
      <x:c r="F285" s="83"/>
      <x:c r="G285" s="83"/>
      <x:c r="H285" s="38" t="str">
        <x:f t="shared" si="16"/>
      </x:c>
      <x:c r="I285" s="60" t="str">
        <x:f t="shared" si="17"/>
      </x:c>
      <x:c r="J285" s="64"/>
      <x:c r="K285" s="59"/>
      <x:c r="L285" s="59"/>
      <x:c r="M285" s="81"/>
      <x:c r="N285" s="88" t="str">
        <x:f t="shared" si="18"/>
      </x:c>
      <x:c r="O285" s="91" t="str">
        <x:f t="shared" si="19"/>
      </x:c>
    </x:row>
    <x:row r="286">
      <x:c r="A286" s="54"/>
      <x:c r="B286" s="59"/>
      <x:c r="C286" s="59"/>
      <x:c r="D286" s="59"/>
      <x:c r="E286" s="64"/>
      <x:c r="F286" s="83"/>
      <x:c r="G286" s="83"/>
      <x:c r="H286" s="39" t="str">
        <x:f t="shared" si="16"/>
      </x:c>
      <x:c r="I286" s="60" t="str">
        <x:f t="shared" si="17"/>
      </x:c>
      <x:c r="J286" s="64"/>
      <x:c r="K286" s="59"/>
      <x:c r="L286" s="59"/>
      <x:c r="M286" s="81"/>
      <x:c r="N286" s="89" t="str">
        <x:f t="shared" si="18"/>
      </x:c>
      <x:c r="O286" s="92" t="str">
        <x:f t="shared" si="19"/>
      </x:c>
    </x:row>
    <x:row r="287">
      <x:c r="A287" s="54"/>
      <x:c r="B287" s="59"/>
      <x:c r="C287" s="59"/>
      <x:c r="D287" s="59"/>
      <x:c r="E287" s="64"/>
      <x:c r="F287" s="83"/>
      <x:c r="G287" s="83"/>
      <x:c r="H287" s="38" t="str">
        <x:f t="shared" si="16"/>
      </x:c>
      <x:c r="I287" s="60" t="str">
        <x:f t="shared" si="17"/>
      </x:c>
      <x:c r="J287" s="64"/>
      <x:c r="K287" s="59"/>
      <x:c r="L287" s="59"/>
      <x:c r="M287" s="81"/>
      <x:c r="N287" s="88" t="str">
        <x:f t="shared" si="18"/>
      </x:c>
      <x:c r="O287" s="91" t="str">
        <x:f t="shared" si="19"/>
      </x:c>
    </x:row>
    <x:row r="288">
      <x:c r="A288" s="54"/>
      <x:c r="B288" s="59"/>
      <x:c r="C288" s="59"/>
      <x:c r="D288" s="59"/>
      <x:c r="E288" s="64"/>
      <x:c r="F288" s="83"/>
      <x:c r="G288" s="83"/>
      <x:c r="H288" s="39" t="str">
        <x:f t="shared" si="16"/>
      </x:c>
      <x:c r="I288" s="60" t="str">
        <x:f t="shared" si="17"/>
      </x:c>
      <x:c r="J288" s="64"/>
      <x:c r="K288" s="59"/>
      <x:c r="L288" s="59"/>
      <x:c r="M288" s="81"/>
      <x:c r="N288" s="89" t="str">
        <x:f t="shared" si="18"/>
      </x:c>
      <x:c r="O288" s="92" t="str">
        <x:f t="shared" si="19"/>
      </x:c>
    </x:row>
    <x:row r="289">
      <x:c r="A289" s="54"/>
      <x:c r="B289" s="59"/>
      <x:c r="C289" s="59"/>
      <x:c r="D289" s="59"/>
      <x:c r="E289" s="64"/>
      <x:c r="F289" s="83"/>
      <x:c r="G289" s="83"/>
      <x:c r="H289" s="38" t="str">
        <x:f t="shared" si="16"/>
      </x:c>
      <x:c r="I289" s="60" t="str">
        <x:f t="shared" si="17"/>
      </x:c>
      <x:c r="J289" s="64"/>
      <x:c r="K289" s="59"/>
      <x:c r="L289" s="59"/>
      <x:c r="M289" s="81"/>
      <x:c r="N289" s="88" t="str">
        <x:f t="shared" si="18"/>
      </x:c>
      <x:c r="O289" s="91" t="str">
        <x:f t="shared" si="19"/>
      </x:c>
    </x:row>
    <x:row r="290">
      <x:c r="A290" s="54"/>
      <x:c r="B290" s="59"/>
      <x:c r="C290" s="59"/>
      <x:c r="D290" s="59"/>
      <x:c r="E290" s="64"/>
      <x:c r="F290" s="83"/>
      <x:c r="G290" s="83"/>
      <x:c r="H290" s="39" t="str">
        <x:f t="shared" si="16"/>
      </x:c>
      <x:c r="I290" s="60" t="str">
        <x:f t="shared" si="17"/>
      </x:c>
      <x:c r="J290" s="64"/>
      <x:c r="K290" s="59"/>
      <x:c r="L290" s="59"/>
      <x:c r="M290" s="81"/>
      <x:c r="N290" s="89" t="str">
        <x:f t="shared" si="18"/>
      </x:c>
      <x:c r="O290" s="92" t="str">
        <x:f t="shared" si="19"/>
      </x:c>
    </x:row>
    <x:row r="291">
      <x:c r="A291" s="54"/>
      <x:c r="B291" s="59"/>
      <x:c r="C291" s="59"/>
      <x:c r="D291" s="59"/>
      <x:c r="E291" s="64"/>
      <x:c r="F291" s="83"/>
      <x:c r="G291" s="83"/>
      <x:c r="H291" s="38" t="str">
        <x:f t="shared" si="16"/>
      </x:c>
      <x:c r="I291" s="60" t="str">
        <x:f t="shared" si="17"/>
      </x:c>
      <x:c r="J291" s="64"/>
      <x:c r="K291" s="59"/>
      <x:c r="L291" s="59"/>
      <x:c r="M291" s="81"/>
      <x:c r="N291" s="88" t="str">
        <x:f t="shared" si="18"/>
      </x:c>
      <x:c r="O291" s="91" t="str">
        <x:f t="shared" si="19"/>
      </x:c>
    </x:row>
    <x:row r="292">
      <x:c r="A292" s="54"/>
      <x:c r="B292" s="59"/>
      <x:c r="C292" s="59"/>
      <x:c r="D292" s="59"/>
      <x:c r="E292" s="64"/>
      <x:c r="F292" s="83"/>
      <x:c r="G292" s="83"/>
      <x:c r="H292" s="39" t="str">
        <x:f t="shared" si="16"/>
      </x:c>
      <x:c r="I292" s="60" t="str">
        <x:f t="shared" si="17"/>
      </x:c>
      <x:c r="J292" s="64"/>
      <x:c r="K292" s="59"/>
      <x:c r="L292" s="59"/>
      <x:c r="M292" s="81"/>
      <x:c r="N292" s="89" t="str">
        <x:f t="shared" si="18"/>
      </x:c>
      <x:c r="O292" s="92" t="str">
        <x:f t="shared" si="19"/>
      </x:c>
    </x:row>
    <x:row r="293">
      <x:c r="A293" s="54"/>
      <x:c r="B293" s="59"/>
      <x:c r="C293" s="59"/>
      <x:c r="D293" s="59"/>
      <x:c r="E293" s="64"/>
      <x:c r="F293" s="83"/>
      <x:c r="G293" s="83"/>
      <x:c r="H293" s="38" t="str">
        <x:f t="shared" si="16"/>
      </x:c>
      <x:c r="I293" s="60" t="str">
        <x:f t="shared" si="17"/>
      </x:c>
      <x:c r="J293" s="64"/>
      <x:c r="K293" s="59"/>
      <x:c r="L293" s="59"/>
      <x:c r="M293" s="81"/>
      <x:c r="N293" s="88" t="str">
        <x:f t="shared" si="18"/>
      </x:c>
      <x:c r="O293" s="91" t="str">
        <x:f t="shared" si="19"/>
      </x:c>
    </x:row>
    <x:row r="294">
      <x:c r="A294" s="54"/>
      <x:c r="B294" s="59"/>
      <x:c r="C294" s="59"/>
      <x:c r="D294" s="59"/>
      <x:c r="E294" s="64"/>
      <x:c r="F294" s="83"/>
      <x:c r="G294" s="83"/>
      <x:c r="H294" s="39" t="str">
        <x:f t="shared" si="16"/>
      </x:c>
      <x:c r="I294" s="60" t="str">
        <x:f t="shared" si="17"/>
      </x:c>
      <x:c r="J294" s="64"/>
      <x:c r="K294" s="59"/>
      <x:c r="L294" s="59"/>
      <x:c r="M294" s="81"/>
      <x:c r="N294" s="89" t="str">
        <x:f t="shared" si="18"/>
      </x:c>
      <x:c r="O294" s="92" t="str">
        <x:f t="shared" si="19"/>
      </x:c>
    </x:row>
    <x:row r="295">
      <x:c r="A295" s="54"/>
      <x:c r="B295" s="59"/>
      <x:c r="C295" s="59"/>
      <x:c r="D295" s="59"/>
      <x:c r="E295" s="64"/>
      <x:c r="F295" s="83"/>
      <x:c r="G295" s="83"/>
      <x:c r="H295" s="38" t="str">
        <x:f t="shared" si="16"/>
      </x:c>
      <x:c r="I295" s="60" t="str">
        <x:f t="shared" si="17"/>
      </x:c>
      <x:c r="J295" s="64"/>
      <x:c r="K295" s="59"/>
      <x:c r="L295" s="59"/>
      <x:c r="M295" s="81"/>
      <x:c r="N295" s="88" t="str">
        <x:f t="shared" si="18"/>
      </x:c>
      <x:c r="O295" s="91" t="str">
        <x:f t="shared" si="19"/>
      </x:c>
    </x:row>
    <x:row r="296">
      <x:c r="A296" s="54"/>
      <x:c r="B296" s="59"/>
      <x:c r="C296" s="59"/>
      <x:c r="D296" s="59"/>
      <x:c r="E296" s="64"/>
      <x:c r="F296" s="83"/>
      <x:c r="G296" s="83"/>
      <x:c r="H296" s="39" t="str">
        <x:f t="shared" si="16"/>
      </x:c>
      <x:c r="I296" s="60" t="str">
        <x:f t="shared" si="17"/>
      </x:c>
      <x:c r="J296" s="64"/>
      <x:c r="K296" s="59"/>
      <x:c r="L296" s="59"/>
      <x:c r="M296" s="81"/>
      <x:c r="N296" s="89" t="str">
        <x:f t="shared" si="18"/>
      </x:c>
      <x:c r="O296" s="92" t="str">
        <x:f t="shared" si="19"/>
      </x:c>
    </x:row>
    <x:row r="297">
      <x:c r="A297" s="54"/>
      <x:c r="B297" s="59"/>
      <x:c r="C297" s="59"/>
      <x:c r="D297" s="59"/>
      <x:c r="E297" s="64"/>
      <x:c r="F297" s="83"/>
      <x:c r="G297" s="83"/>
      <x:c r="H297" s="38" t="str">
        <x:f t="shared" si="16"/>
      </x:c>
      <x:c r="I297" s="60" t="str">
        <x:f t="shared" si="17"/>
      </x:c>
      <x:c r="J297" s="64"/>
      <x:c r="K297" s="59"/>
      <x:c r="L297" s="59"/>
      <x:c r="M297" s="81"/>
      <x:c r="N297" s="88" t="str">
        <x:f t="shared" si="18"/>
      </x:c>
      <x:c r="O297" s="91" t="str">
        <x:f t="shared" si="19"/>
      </x:c>
    </x:row>
    <x:row r="298">
      <x:c r="A298" s="54"/>
      <x:c r="B298" s="59"/>
      <x:c r="C298" s="59"/>
      <x:c r="D298" s="59"/>
      <x:c r="E298" s="64"/>
      <x:c r="F298" s="83"/>
      <x:c r="G298" s="83"/>
      <x:c r="H298" s="39" t="str">
        <x:f t="shared" si="16"/>
      </x:c>
      <x:c r="I298" s="60" t="str">
        <x:f t="shared" si="17"/>
      </x:c>
      <x:c r="J298" s="64"/>
      <x:c r="K298" s="59"/>
      <x:c r="L298" s="59"/>
      <x:c r="M298" s="81"/>
      <x:c r="N298" s="89" t="str">
        <x:f t="shared" si="18"/>
      </x:c>
      <x:c r="O298" s="92" t="str">
        <x:f t="shared" si="19"/>
      </x:c>
    </x:row>
    <x:row r="299">
      <x:c r="A299" s="54"/>
      <x:c r="B299" s="59"/>
      <x:c r="C299" s="59"/>
      <x:c r="D299" s="59"/>
      <x:c r="E299" s="64"/>
      <x:c r="F299" s="83"/>
      <x:c r="G299" s="83"/>
      <x:c r="H299" s="38" t="str">
        <x:f t="shared" si="16"/>
      </x:c>
      <x:c r="I299" s="60" t="str">
        <x:f t="shared" si="17"/>
      </x:c>
      <x:c r="J299" s="64"/>
      <x:c r="K299" s="59"/>
      <x:c r="L299" s="59"/>
      <x:c r="M299" s="81"/>
      <x:c r="N299" s="88" t="str">
        <x:f t="shared" si="18"/>
      </x:c>
      <x:c r="O299" s="91" t="str">
        <x:f t="shared" si="19"/>
      </x:c>
    </x:row>
    <x:row r="300">
      <x:c r="A300" s="54"/>
      <x:c r="B300" s="59"/>
      <x:c r="C300" s="59"/>
      <x:c r="D300" s="59"/>
      <x:c r="E300" s="64"/>
      <x:c r="F300" s="83"/>
      <x:c r="G300" s="83"/>
      <x:c r="H300" s="39" t="str">
        <x:f t="shared" si="16"/>
      </x:c>
      <x:c r="I300" s="60" t="str">
        <x:f t="shared" si="17"/>
      </x:c>
      <x:c r="J300" s="64"/>
      <x:c r="K300" s="59"/>
      <x:c r="L300" s="59"/>
      <x:c r="M300" s="81"/>
      <x:c r="N300" s="89" t="str">
        <x:f t="shared" si="18"/>
      </x:c>
      <x:c r="O300" s="92" t="str">
        <x:f t="shared" si="19"/>
      </x:c>
    </x:row>
    <x:row r="301">
      <x:c r="A301" s="54"/>
      <x:c r="B301" s="59"/>
      <x:c r="C301" s="59"/>
      <x:c r="D301" s="59"/>
      <x:c r="E301" s="64"/>
      <x:c r="F301" s="83"/>
      <x:c r="G301" s="83"/>
      <x:c r="H301" s="38" t="str">
        <x:f t="shared" si="16"/>
      </x:c>
      <x:c r="I301" s="60" t="str">
        <x:f t="shared" si="17"/>
      </x:c>
      <x:c r="J301" s="64"/>
      <x:c r="K301" s="59"/>
      <x:c r="L301" s="59"/>
      <x:c r="M301" s="81"/>
      <x:c r="N301" s="88" t="str">
        <x:f t="shared" si="18"/>
      </x:c>
      <x:c r="O301" s="91" t="str">
        <x:f t="shared" si="19"/>
      </x:c>
    </x:row>
    <x:row r="302">
      <x:c r="A302" s="55"/>
      <x:c r="B302" s="60"/>
      <x:c r="C302" s="60"/>
      <x:c r="D302" s="60"/>
      <x:c r="E302" s="65"/>
      <x:c r="F302" s="84"/>
      <x:c r="G302" s="84"/>
      <x:c r="H302" s="39"/>
      <x:c r="I302" s="60"/>
      <x:c r="J302" s="65"/>
      <x:c r="K302" s="60"/>
      <x:c r="L302" s="60"/>
      <x:c r="M302" s="98"/>
      <x:c r="N302" s="39"/>
      <x:c r="O302" s="93"/>
    </x:row>
    <x:row r="303">
      <x:c r="A303" s="55"/>
      <x:c r="B303" s="60"/>
      <x:c r="C303" s="60"/>
      <x:c r="D303" s="60"/>
      <x:c r="E303" s="65"/>
      <x:c r="F303" s="84"/>
      <x:c r="G303" s="84"/>
      <x:c r="H303" s="38"/>
      <x:c r="I303" s="60"/>
      <x:c r="J303" s="65"/>
      <x:c r="K303" s="60"/>
      <x:c r="L303" s="60"/>
      <x:c r="M303" s="98"/>
      <x:c r="N303" s="38"/>
      <x:c r="O303" s="94"/>
    </x:row>
    <x:row r="304">
      <x:c r="A304" s="55"/>
      <x:c r="B304" s="60"/>
      <x:c r="C304" s="60"/>
      <x:c r="D304" s="60"/>
      <x:c r="E304" s="65"/>
      <x:c r="F304" s="84"/>
      <x:c r="G304" s="84"/>
      <x:c r="H304" s="39"/>
      <x:c r="I304" s="60"/>
      <x:c r="J304" s="65"/>
      <x:c r="K304" s="60"/>
      <x:c r="L304" s="60"/>
      <x:c r="M304" s="98"/>
      <x:c r="N304" s="39"/>
      <x:c r="O304" s="93"/>
    </x:row>
    <x:row r="305">
      <x:c r="A305" s="55"/>
      <x:c r="B305" s="60"/>
      <x:c r="C305" s="60"/>
      <x:c r="D305" s="60"/>
      <x:c r="E305" s="65"/>
      <x:c r="F305" s="84"/>
      <x:c r="G305" s="84"/>
      <x:c r="H305" s="38"/>
      <x:c r="I305" s="60"/>
      <x:c r="J305" s="65"/>
      <x:c r="K305" s="60"/>
      <x:c r="L305" s="60"/>
      <x:c r="M305" s="98"/>
      <x:c r="N305" s="38"/>
      <x:c r="O305" s="94"/>
    </x:row>
    <x:row r="306">
      <x:c r="A306" s="55"/>
      <x:c r="B306" s="60"/>
      <x:c r="C306" s="60"/>
      <x:c r="D306" s="60"/>
      <x:c r="E306" s="65"/>
      <x:c r="F306" s="84"/>
      <x:c r="G306" s="84"/>
      <x:c r="H306" s="39"/>
      <x:c r="I306" s="60"/>
      <x:c r="J306" s="65"/>
      <x:c r="K306" s="60"/>
      <x:c r="L306" s="60"/>
      <x:c r="M306" s="98"/>
      <x:c r="N306" s="39"/>
      <x:c r="O306" s="93"/>
    </x:row>
    <x:row r="307">
      <x:c r="A307" s="55"/>
      <x:c r="B307" s="60"/>
      <x:c r="C307" s="60"/>
      <x:c r="D307" s="60"/>
      <x:c r="E307" s="65"/>
      <x:c r="F307" s="84"/>
      <x:c r="G307" s="84"/>
      <x:c r="H307" s="38"/>
      <x:c r="I307" s="60"/>
      <x:c r="J307" s="65"/>
      <x:c r="K307" s="60"/>
      <x:c r="L307" s="60"/>
      <x:c r="M307" s="98"/>
      <x:c r="N307" s="38"/>
      <x:c r="O307" s="94"/>
    </x:row>
    <x:row r="308">
      <x:c r="A308" s="55"/>
      <x:c r="B308" s="60"/>
      <x:c r="C308" s="60"/>
      <x:c r="D308" s="60"/>
      <x:c r="E308" s="65"/>
      <x:c r="F308" s="84"/>
      <x:c r="G308" s="84"/>
      <x:c r="H308" s="39"/>
      <x:c r="I308" s="60"/>
      <x:c r="J308" s="65"/>
      <x:c r="K308" s="60"/>
      <x:c r="L308" s="60"/>
      <x:c r="M308" s="98"/>
      <x:c r="N308" s="39"/>
      <x:c r="O308" s="93"/>
    </x:row>
    <x:row r="309">
      <x:c r="A309" s="55"/>
      <x:c r="B309" s="60"/>
      <x:c r="C309" s="60"/>
      <x:c r="D309" s="60"/>
      <x:c r="E309" s="65"/>
      <x:c r="F309" s="84"/>
      <x:c r="G309" s="84"/>
      <x:c r="H309" s="38"/>
      <x:c r="I309" s="60"/>
      <x:c r="J309" s="65"/>
      <x:c r="K309" s="60"/>
      <x:c r="L309" s="60"/>
      <x:c r="M309" s="98"/>
      <x:c r="N309" s="38"/>
      <x:c r="O309" s="94"/>
    </x:row>
    <x:row r="310">
      <x:c r="A310" s="55"/>
      <x:c r="B310" s="60"/>
      <x:c r="C310" s="60"/>
      <x:c r="D310" s="60"/>
      <x:c r="E310" s="65"/>
      <x:c r="F310" s="84"/>
      <x:c r="G310" s="84"/>
      <x:c r="H310" s="39"/>
      <x:c r="I310" s="60"/>
      <x:c r="J310" s="65"/>
      <x:c r="K310" s="60"/>
      <x:c r="L310" s="60"/>
      <x:c r="M310" s="98"/>
      <x:c r="N310" s="39"/>
      <x:c r="O310" s="93"/>
    </x:row>
    <x:row r="311">
      <x:c r="A311" s="55"/>
      <x:c r="B311" s="60"/>
      <x:c r="C311" s="60"/>
      <x:c r="D311" s="60"/>
      <x:c r="E311" s="65"/>
      <x:c r="F311" s="84"/>
      <x:c r="G311" s="84"/>
      <x:c r="H311" s="38"/>
      <x:c r="I311" s="60"/>
      <x:c r="J311" s="65"/>
      <x:c r="K311" s="60"/>
      <x:c r="L311" s="60"/>
      <x:c r="M311" s="98"/>
      <x:c r="N311" s="38"/>
      <x:c r="O311" s="94"/>
    </x:row>
    <x:row r="312">
      <x:c r="A312" s="55"/>
      <x:c r="B312" s="60"/>
      <x:c r="C312" s="60"/>
      <x:c r="D312" s="60"/>
      <x:c r="E312" s="65"/>
      <x:c r="F312" s="84"/>
      <x:c r="G312" s="84"/>
      <x:c r="H312" s="39"/>
      <x:c r="I312" s="60"/>
      <x:c r="J312" s="65"/>
      <x:c r="K312" s="60"/>
      <x:c r="L312" s="60"/>
      <x:c r="M312" s="98"/>
      <x:c r="N312" s="39"/>
      <x:c r="O312" s="93"/>
    </x:row>
    <x:row r="313">
      <x:c r="A313" s="55"/>
      <x:c r="B313" s="60"/>
      <x:c r="C313" s="60"/>
      <x:c r="D313" s="60"/>
      <x:c r="E313" s="65"/>
      <x:c r="F313" s="84"/>
      <x:c r="G313" s="84"/>
      <x:c r="H313" s="38"/>
      <x:c r="I313" s="60"/>
      <x:c r="J313" s="65"/>
      <x:c r="K313" s="60"/>
      <x:c r="L313" s="60"/>
      <x:c r="M313" s="98"/>
      <x:c r="N313" s="38"/>
      <x:c r="O313" s="94"/>
    </x:row>
    <x:row r="314">
      <x:c r="A314" s="55"/>
      <x:c r="B314" s="60"/>
      <x:c r="C314" s="60"/>
      <x:c r="D314" s="60"/>
      <x:c r="E314" s="65"/>
      <x:c r="F314" s="84"/>
      <x:c r="G314" s="84"/>
      <x:c r="H314" s="39"/>
      <x:c r="I314" s="60"/>
      <x:c r="J314" s="65"/>
      <x:c r="K314" s="60"/>
      <x:c r="L314" s="60"/>
      <x:c r="M314" s="98"/>
      <x:c r="N314" s="39"/>
      <x:c r="O314" s="93"/>
    </x:row>
    <x:row r="315">
      <x:c r="A315" s="55"/>
      <x:c r="B315" s="60"/>
      <x:c r="C315" s="60"/>
      <x:c r="D315" s="60"/>
      <x:c r="E315" s="65"/>
      <x:c r="F315" s="84"/>
      <x:c r="G315" s="84"/>
      <x:c r="H315" s="38"/>
      <x:c r="I315" s="60"/>
      <x:c r="J315" s="65"/>
      <x:c r="K315" s="60"/>
      <x:c r="L315" s="60"/>
      <x:c r="M315" s="98"/>
      <x:c r="N315" s="38"/>
      <x:c r="O315" s="94"/>
    </x:row>
    <x:row r="316">
      <x:c r="A316" s="55"/>
      <x:c r="B316" s="60"/>
      <x:c r="C316" s="60"/>
      <x:c r="D316" s="60"/>
      <x:c r="E316" s="65"/>
      <x:c r="F316" s="84"/>
      <x:c r="G316" s="84"/>
      <x:c r="H316" s="39"/>
      <x:c r="I316" s="60"/>
      <x:c r="J316" s="65"/>
      <x:c r="K316" s="60"/>
      <x:c r="L316" s="60"/>
      <x:c r="M316" s="98"/>
      <x:c r="N316" s="39"/>
      <x:c r="O316" s="93"/>
    </x:row>
    <x:row r="317">
      <x:c r="A317" s="55"/>
      <x:c r="B317" s="60"/>
      <x:c r="C317" s="60"/>
      <x:c r="D317" s="60"/>
      <x:c r="E317" s="65"/>
      <x:c r="F317" s="84"/>
      <x:c r="G317" s="84"/>
      <x:c r="H317" s="38"/>
      <x:c r="I317" s="60"/>
      <x:c r="J317" s="65"/>
      <x:c r="K317" s="60"/>
      <x:c r="L317" s="60"/>
      <x:c r="M317" s="98"/>
      <x:c r="N317" s="38"/>
      <x:c r="O317" s="94"/>
    </x:row>
    <x:row r="318">
      <x:c r="A318" s="55"/>
      <x:c r="B318" s="60"/>
      <x:c r="C318" s="60"/>
      <x:c r="D318" s="60"/>
      <x:c r="E318" s="65"/>
      <x:c r="F318" s="84"/>
      <x:c r="G318" s="84"/>
      <x:c r="H318" s="39"/>
      <x:c r="I318" s="60"/>
      <x:c r="J318" s="65"/>
      <x:c r="K318" s="60"/>
      <x:c r="L318" s="60"/>
      <x:c r="M318" s="98"/>
      <x:c r="N318" s="39"/>
      <x:c r="O318" s="93"/>
    </x:row>
    <x:row r="319">
      <x:c r="A319" s="55"/>
      <x:c r="B319" s="60"/>
      <x:c r="C319" s="60"/>
      <x:c r="D319" s="60"/>
      <x:c r="E319" s="65"/>
      <x:c r="F319" s="84"/>
      <x:c r="G319" s="84"/>
      <x:c r="H319" s="38"/>
      <x:c r="I319" s="60"/>
      <x:c r="J319" s="65"/>
      <x:c r="K319" s="60"/>
      <x:c r="L319" s="60"/>
      <x:c r="M319" s="98"/>
      <x:c r="N319" s="38"/>
      <x:c r="O319" s="94"/>
    </x:row>
    <x:row r="320">
      <x:c r="A320" s="55"/>
      <x:c r="B320" s="60"/>
      <x:c r="C320" s="60"/>
      <x:c r="D320" s="60"/>
      <x:c r="E320" s="65"/>
      <x:c r="F320" s="84"/>
      <x:c r="G320" s="84"/>
      <x:c r="H320" s="39"/>
      <x:c r="I320" s="60"/>
      <x:c r="J320" s="65"/>
      <x:c r="K320" s="60"/>
      <x:c r="L320" s="60"/>
      <x:c r="M320" s="98"/>
      <x:c r="N320" s="39"/>
      <x:c r="O320" s="93"/>
    </x:row>
    <x:row r="321">
      <x:c r="A321" s="56"/>
      <x:c r="B321" s="61"/>
      <x:c r="C321" s="61"/>
      <x:c r="D321" s="61"/>
      <x:c r="E321" s="66"/>
      <x:c r="F321" s="85"/>
      <x:c r="G321" s="85"/>
      <x:c r="H321" s="71"/>
      <x:c r="I321" s="61"/>
      <x:c r="J321" s="66"/>
      <x:c r="K321" s="61"/>
      <x:c r="L321" s="61"/>
      <x:c r="M321" s="99"/>
      <x:c r="N321" s="71"/>
      <x:c r="O321" s="95"/>
    </x:row>
    <x:row r="322">
      <x:c r="A322" s="56"/>
      <x:c r="B322" s="61"/>
      <x:c r="C322" s="61"/>
      <x:c r="D322" s="61"/>
      <x:c r="E322" s="66"/>
      <x:c r="F322" s="85"/>
      <x:c r="G322" s="85"/>
      <x:c r="H322" s="72"/>
      <x:c r="I322" s="61"/>
      <x:c r="J322" s="66"/>
      <x:c r="K322" s="61"/>
      <x:c r="L322" s="61"/>
      <x:c r="M322" s="99"/>
      <x:c r="N322" s="72"/>
      <x:c r="O322" s="96"/>
    </x:row>
    <x:row r="323">
      <x:c r="A323" s="56"/>
      <x:c r="B323" s="61"/>
      <x:c r="C323" s="61"/>
      <x:c r="D323" s="61"/>
      <x:c r="E323" s="66"/>
      <x:c r="F323" s="85"/>
      <x:c r="G323" s="85"/>
      <x:c r="H323" s="71"/>
      <x:c r="I323" s="61"/>
      <x:c r="J323" s="66"/>
      <x:c r="K323" s="61"/>
      <x:c r="L323" s="61"/>
      <x:c r="M323" s="99"/>
      <x:c r="N323" s="71"/>
      <x:c r="O323" s="95"/>
    </x:row>
    <x:row r="324">
      <x:c r="A324" s="56"/>
      <x:c r="B324" s="61"/>
      <x:c r="C324" s="61"/>
      <x:c r="D324" s="61"/>
      <x:c r="E324" s="66"/>
      <x:c r="F324" s="85"/>
      <x:c r="G324" s="85"/>
      <x:c r="H324" s="72"/>
      <x:c r="I324" s="61"/>
      <x:c r="J324" s="66"/>
      <x:c r="K324" s="61"/>
      <x:c r="L324" s="61"/>
      <x:c r="M324" s="99"/>
      <x:c r="N324" s="72"/>
      <x:c r="O324" s="96"/>
    </x:row>
    <x:row r="325">
      <x:c r="A325" s="56"/>
      <x:c r="B325" s="61"/>
      <x:c r="C325" s="61"/>
      <x:c r="D325" s="61"/>
      <x:c r="E325" s="66"/>
      <x:c r="F325" s="85"/>
      <x:c r="G325" s="85"/>
      <x:c r="H325" s="71"/>
      <x:c r="I325" s="61"/>
      <x:c r="J325" s="66"/>
      <x:c r="K325" s="61"/>
      <x:c r="L325" s="61"/>
      <x:c r="M325" s="99"/>
      <x:c r="N325" s="71"/>
      <x:c r="O325" s="95"/>
    </x:row>
    <x:row r="326">
      <x:c r="A326" s="56"/>
      <x:c r="B326" s="61"/>
      <x:c r="C326" s="61"/>
      <x:c r="D326" s="61"/>
      <x:c r="E326" s="66"/>
      <x:c r="F326" s="85"/>
      <x:c r="G326" s="85"/>
      <x:c r="H326" s="72"/>
      <x:c r="I326" s="61"/>
      <x:c r="J326" s="66"/>
      <x:c r="K326" s="61"/>
      <x:c r="L326" s="61"/>
      <x:c r="M326" s="99"/>
      <x:c r="N326" s="72"/>
      <x:c r="O326" s="96"/>
    </x:row>
    <x:row r="327">
      <x:c r="A327" s="56"/>
      <x:c r="B327" s="61"/>
      <x:c r="C327" s="61"/>
      <x:c r="D327" s="61"/>
      <x:c r="E327" s="66"/>
      <x:c r="F327" s="85"/>
      <x:c r="G327" s="85"/>
      <x:c r="H327" s="71"/>
      <x:c r="I327" s="61"/>
      <x:c r="J327" s="66"/>
      <x:c r="K327" s="61"/>
      <x:c r="L327" s="61"/>
      <x:c r="M327" s="99"/>
      <x:c r="N327" s="71"/>
      <x:c r="O327" s="95"/>
    </x:row>
    <x:row r="328">
      <x:c r="A328" s="56"/>
      <x:c r="B328" s="61"/>
      <x:c r="C328" s="61"/>
      <x:c r="D328" s="61"/>
      <x:c r="E328" s="66"/>
      <x:c r="F328" s="85"/>
      <x:c r="G328" s="85"/>
      <x:c r="H328" s="72"/>
      <x:c r="I328" s="61"/>
      <x:c r="J328" s="66"/>
      <x:c r="K328" s="61"/>
      <x:c r="L328" s="61"/>
      <x:c r="M328" s="99"/>
      <x:c r="N328" s="72"/>
      <x:c r="O328" s="96"/>
    </x:row>
    <x:row r="329">
      <x:c r="A329" s="56"/>
      <x:c r="B329" s="61"/>
      <x:c r="C329" s="61"/>
      <x:c r="D329" s="61"/>
      <x:c r="E329" s="66"/>
      <x:c r="F329" s="85"/>
      <x:c r="G329" s="85"/>
      <x:c r="H329" s="71"/>
      <x:c r="I329" s="61"/>
      <x:c r="J329" s="66"/>
      <x:c r="K329" s="61"/>
      <x:c r="L329" s="61"/>
      <x:c r="M329" s="99"/>
      <x:c r="N329" s="71"/>
      <x:c r="O329" s="95"/>
    </x:row>
    <x:row r="330">
      <x:c r="A330" s="56"/>
      <x:c r="B330" s="61"/>
      <x:c r="C330" s="61"/>
      <x:c r="D330" s="61"/>
      <x:c r="E330" s="66"/>
      <x:c r="F330" s="85"/>
      <x:c r="G330" s="85"/>
      <x:c r="H330" s="72"/>
      <x:c r="I330" s="61"/>
      <x:c r="J330" s="66"/>
      <x:c r="K330" s="61"/>
      <x:c r="L330" s="61"/>
      <x:c r="M330" s="99"/>
      <x:c r="N330" s="72"/>
      <x:c r="O330" s="96"/>
    </x:row>
    <x:row r="331">
      <x:c r="A331" s="56"/>
      <x:c r="B331" s="61"/>
      <x:c r="C331" s="61"/>
      <x:c r="D331" s="61"/>
      <x:c r="E331" s="66"/>
      <x:c r="F331" s="85"/>
      <x:c r="G331" s="85"/>
      <x:c r="H331" s="71"/>
      <x:c r="I331" s="61"/>
      <x:c r="J331" s="66"/>
      <x:c r="K331" s="61"/>
      <x:c r="L331" s="61"/>
      <x:c r="M331" s="99"/>
      <x:c r="N331" s="71"/>
      <x:c r="O331" s="95"/>
    </x:row>
    <x:row r="332">
      <x:c r="A332" s="56"/>
      <x:c r="B332" s="61"/>
      <x:c r="C332" s="61"/>
      <x:c r="D332" s="61"/>
      <x:c r="E332" s="66"/>
      <x:c r="F332" s="85"/>
      <x:c r="G332" s="85"/>
      <x:c r="H332" s="72"/>
      <x:c r="I332" s="61"/>
      <x:c r="J332" s="66"/>
      <x:c r="K332" s="61"/>
      <x:c r="L332" s="61"/>
      <x:c r="M332" s="99"/>
      <x:c r="N332" s="72"/>
      <x:c r="O332" s="96"/>
    </x:row>
    <x:row r="333">
      <x:c r="A333" s="56"/>
      <x:c r="B333" s="61"/>
      <x:c r="C333" s="61"/>
      <x:c r="D333" s="61"/>
      <x:c r="E333" s="66"/>
      <x:c r="F333" s="85"/>
      <x:c r="G333" s="85"/>
      <x:c r="H333" s="71"/>
      <x:c r="I333" s="61"/>
      <x:c r="J333" s="66"/>
      <x:c r="K333" s="61"/>
      <x:c r="L333" s="61"/>
      <x:c r="M333" s="99"/>
      <x:c r="N333" s="71"/>
      <x:c r="O333" s="95"/>
    </x:row>
    <x:row r="334">
      <x:c r="A334" s="56"/>
      <x:c r="B334" s="61"/>
      <x:c r="C334" s="61"/>
      <x:c r="D334" s="61"/>
      <x:c r="E334" s="66"/>
      <x:c r="F334" s="85"/>
      <x:c r="G334" s="85"/>
      <x:c r="H334" s="72"/>
      <x:c r="I334" s="61"/>
      <x:c r="J334" s="66"/>
      <x:c r="K334" s="61"/>
      <x:c r="L334" s="61"/>
      <x:c r="M334" s="99"/>
      <x:c r="N334" s="72"/>
      <x:c r="O334" s="96"/>
    </x:row>
    <x:row r="335">
      <x:c r="A335" s="56"/>
      <x:c r="B335" s="61"/>
      <x:c r="C335" s="61"/>
      <x:c r="D335" s="61"/>
      <x:c r="E335" s="66"/>
      <x:c r="F335" s="85"/>
      <x:c r="G335" s="85"/>
      <x:c r="H335" s="71"/>
      <x:c r="I335" s="61"/>
      <x:c r="J335" s="66"/>
      <x:c r="K335" s="61"/>
      <x:c r="L335" s="61"/>
      <x:c r="M335" s="99"/>
      <x:c r="N335" s="71"/>
      <x:c r="O335" s="95"/>
    </x:row>
    <x:row r="336">
      <x:c r="A336" s="56"/>
      <x:c r="B336" s="61"/>
      <x:c r="C336" s="61"/>
      <x:c r="D336" s="61"/>
      <x:c r="E336" s="66"/>
      <x:c r="F336" s="85"/>
      <x:c r="G336" s="85"/>
      <x:c r="H336" s="72"/>
      <x:c r="I336" s="61"/>
      <x:c r="J336" s="66"/>
      <x:c r="K336" s="61"/>
      <x:c r="L336" s="61"/>
      <x:c r="M336" s="99"/>
      <x:c r="N336" s="72"/>
      <x:c r="O336" s="96"/>
    </x:row>
    <x:row r="337">
      <x:c r="A337" s="56"/>
      <x:c r="B337" s="61"/>
      <x:c r="C337" s="61"/>
      <x:c r="D337" s="61"/>
      <x:c r="E337" s="66"/>
      <x:c r="F337" s="85"/>
      <x:c r="G337" s="85"/>
      <x:c r="H337" s="71"/>
      <x:c r="I337" s="61"/>
      <x:c r="J337" s="66"/>
      <x:c r="K337" s="61"/>
      <x:c r="L337" s="61"/>
      <x:c r="M337" s="99"/>
      <x:c r="N337" s="71"/>
      <x:c r="O337" s="95"/>
    </x:row>
    <x:row r="338">
      <x:c r="A338" s="56"/>
      <x:c r="B338" s="61"/>
      <x:c r="C338" s="61"/>
      <x:c r="D338" s="61"/>
      <x:c r="E338" s="66"/>
      <x:c r="F338" s="85"/>
      <x:c r="G338" s="85"/>
      <x:c r="H338" s="72"/>
      <x:c r="I338" s="61"/>
      <x:c r="J338" s="66"/>
      <x:c r="K338" s="61"/>
      <x:c r="L338" s="61"/>
      <x:c r="M338" s="99"/>
      <x:c r="N338" s="72"/>
      <x:c r="O338" s="96"/>
    </x:row>
    <x:row r="339">
      <x:c r="A339" s="56"/>
      <x:c r="B339" s="61"/>
      <x:c r="C339" s="61"/>
      <x:c r="D339" s="61"/>
      <x:c r="E339" s="66"/>
      <x:c r="F339" s="85"/>
      <x:c r="G339" s="85"/>
      <x:c r="H339" s="71"/>
      <x:c r="I339" s="61"/>
      <x:c r="J339" s="66"/>
      <x:c r="K339" s="61"/>
      <x:c r="L339" s="61"/>
      <x:c r="M339" s="99"/>
      <x:c r="N339" s="71"/>
      <x:c r="O339" s="95"/>
    </x:row>
    <x:row r="340">
      <x:c r="A340" s="56"/>
      <x:c r="B340" s="61"/>
      <x:c r="C340" s="61"/>
      <x:c r="D340" s="61"/>
      <x:c r="E340" s="66"/>
      <x:c r="F340" s="85"/>
      <x:c r="G340" s="85"/>
      <x:c r="H340" s="72"/>
      <x:c r="I340" s="61"/>
      <x:c r="J340" s="66"/>
      <x:c r="K340" s="61"/>
      <x:c r="L340" s="61"/>
      <x:c r="M340" s="99"/>
      <x:c r="N340" s="72"/>
      <x:c r="O340" s="96"/>
    </x:row>
    <x:row r="341">
      <x:c r="A341" s="56"/>
      <x:c r="B341" s="61"/>
      <x:c r="C341" s="61"/>
      <x:c r="D341" s="61"/>
      <x:c r="E341" s="66"/>
      <x:c r="F341" s="85"/>
      <x:c r="G341" s="85"/>
      <x:c r="H341" s="71"/>
      <x:c r="I341" s="61"/>
      <x:c r="J341" s="66"/>
      <x:c r="K341" s="61"/>
      <x:c r="L341" s="61"/>
      <x:c r="M341" s="99"/>
      <x:c r="N341" s="71"/>
      <x:c r="O341" s="95"/>
    </x:row>
    <x:row r="342">
      <x:c r="A342" s="56"/>
      <x:c r="B342" s="61"/>
      <x:c r="C342" s="61"/>
      <x:c r="D342" s="61"/>
      <x:c r="E342" s="66"/>
      <x:c r="F342" s="85"/>
      <x:c r="G342" s="85"/>
      <x:c r="H342" s="72"/>
      <x:c r="I342" s="61"/>
      <x:c r="J342" s="66"/>
      <x:c r="K342" s="61"/>
      <x:c r="L342" s="61"/>
      <x:c r="M342" s="99"/>
      <x:c r="N342" s="72"/>
      <x:c r="O342" s="96"/>
    </x:row>
    <x:row r="343">
      <x:c r="A343" s="56"/>
      <x:c r="B343" s="61"/>
      <x:c r="C343" s="61"/>
      <x:c r="D343" s="61"/>
      <x:c r="E343" s="66"/>
      <x:c r="F343" s="85"/>
      <x:c r="G343" s="85"/>
      <x:c r="H343" s="71"/>
      <x:c r="I343" s="61"/>
      <x:c r="J343" s="66"/>
      <x:c r="K343" s="61"/>
      <x:c r="L343" s="61"/>
      <x:c r="M343" s="99"/>
      <x:c r="N343" s="71"/>
      <x:c r="O343" s="95"/>
    </x:row>
    <x:row r="344">
      <x:c r="A344" s="56"/>
      <x:c r="B344" s="61"/>
      <x:c r="C344" s="61"/>
      <x:c r="D344" s="61"/>
      <x:c r="E344" s="66"/>
      <x:c r="F344" s="85"/>
      <x:c r="G344" s="85"/>
      <x:c r="H344" s="72"/>
      <x:c r="I344" s="61"/>
      <x:c r="J344" s="66"/>
      <x:c r="K344" s="61"/>
      <x:c r="L344" s="61"/>
      <x:c r="M344" s="99"/>
      <x:c r="N344" s="72"/>
      <x:c r="O344" s="96"/>
    </x:row>
    <x:row r="345">
      <x:c r="A345" s="56"/>
      <x:c r="B345" s="61"/>
      <x:c r="C345" s="61"/>
      <x:c r="D345" s="61"/>
      <x:c r="E345" s="66"/>
      <x:c r="F345" s="85"/>
      <x:c r="G345" s="85"/>
      <x:c r="H345" s="71"/>
      <x:c r="I345" s="61"/>
      <x:c r="J345" s="66"/>
      <x:c r="K345" s="61"/>
      <x:c r="L345" s="61"/>
      <x:c r="M345" s="99"/>
      <x:c r="N345" s="71"/>
      <x:c r="O345" s="95"/>
    </x:row>
    <x:row r="346">
      <x:c r="A346" s="56"/>
      <x:c r="B346" s="61"/>
      <x:c r="C346" s="61"/>
      <x:c r="D346" s="61"/>
      <x:c r="E346" s="66"/>
      <x:c r="F346" s="85"/>
      <x:c r="G346" s="85"/>
      <x:c r="H346" s="72"/>
      <x:c r="I346" s="61"/>
      <x:c r="J346" s="66"/>
      <x:c r="K346" s="61"/>
      <x:c r="L346" s="61"/>
      <x:c r="M346" s="99"/>
      <x:c r="N346" s="72"/>
      <x:c r="O346" s="96"/>
    </x:row>
    <x:row r="347">
      <x:c r="A347" s="56"/>
      <x:c r="B347" s="61"/>
      <x:c r="C347" s="61"/>
      <x:c r="D347" s="61"/>
      <x:c r="E347" s="66"/>
      <x:c r="F347" s="85"/>
      <x:c r="G347" s="85"/>
      <x:c r="H347" s="71"/>
      <x:c r="I347" s="61"/>
      <x:c r="J347" s="66"/>
      <x:c r="K347" s="61"/>
      <x:c r="L347" s="61"/>
      <x:c r="M347" s="99"/>
      <x:c r="N347" s="71"/>
      <x:c r="O347" s="95"/>
    </x:row>
    <x:row r="348">
      <x:c r="A348" s="56"/>
      <x:c r="B348" s="61"/>
      <x:c r="C348" s="61"/>
      <x:c r="D348" s="61"/>
      <x:c r="E348" s="66"/>
      <x:c r="F348" s="85"/>
      <x:c r="G348" s="85"/>
      <x:c r="H348" s="72"/>
      <x:c r="I348" s="61"/>
      <x:c r="J348" s="66"/>
      <x:c r="K348" s="61"/>
      <x:c r="L348" s="61"/>
      <x:c r="M348" s="99"/>
      <x:c r="N348" s="72"/>
      <x:c r="O348" s="96"/>
    </x:row>
    <x:row r="349">
      <x:c r="A349" s="56"/>
      <x:c r="B349" s="61"/>
      <x:c r="C349" s="61"/>
      <x:c r="D349" s="61"/>
      <x:c r="E349" s="66"/>
      <x:c r="F349" s="85"/>
      <x:c r="G349" s="85"/>
      <x:c r="H349" s="71"/>
      <x:c r="I349" s="61"/>
      <x:c r="J349" s="66"/>
      <x:c r="K349" s="61"/>
      <x:c r="L349" s="61"/>
      <x:c r="M349" s="99"/>
      <x:c r="N349" s="71"/>
      <x:c r="O349" s="95"/>
    </x:row>
    <x:row r="350">
      <x:c r="A350" s="56"/>
      <x:c r="B350" s="61"/>
      <x:c r="C350" s="61"/>
      <x:c r="D350" s="61"/>
      <x:c r="E350" s="66"/>
      <x:c r="F350" s="85"/>
      <x:c r="G350" s="85"/>
      <x:c r="H350" s="72"/>
      <x:c r="I350" s="61"/>
      <x:c r="J350" s="66"/>
      <x:c r="K350" s="61"/>
      <x:c r="L350" s="61"/>
      <x:c r="M350" s="99"/>
      <x:c r="N350" s="72"/>
      <x:c r="O350" s="96"/>
    </x:row>
    <x:row r="351">
      <x:c r="A351" s="56"/>
      <x:c r="B351" s="61"/>
      <x:c r="C351" s="61"/>
      <x:c r="D351" s="61"/>
      <x:c r="E351" s="66"/>
      <x:c r="F351" s="85"/>
      <x:c r="G351" s="85"/>
      <x:c r="H351" s="71"/>
      <x:c r="I351" s="61"/>
      <x:c r="J351" s="66"/>
      <x:c r="K351" s="61"/>
      <x:c r="L351" s="61"/>
      <x:c r="M351" s="99"/>
      <x:c r="N351" s="71"/>
      <x:c r="O351" s="95"/>
    </x:row>
    <x:row r="352">
      <x:c r="A352" s="56"/>
      <x:c r="B352" s="61"/>
      <x:c r="C352" s="61"/>
      <x:c r="D352" s="61"/>
      <x:c r="E352" s="66"/>
      <x:c r="F352" s="85"/>
      <x:c r="G352" s="85"/>
      <x:c r="H352" s="72"/>
      <x:c r="I352" s="61"/>
      <x:c r="J352" s="66"/>
      <x:c r="K352" s="61"/>
      <x:c r="L352" s="61"/>
      <x:c r="M352" s="99"/>
      <x:c r="N352" s="72"/>
      <x:c r="O352" s="96"/>
    </x:row>
    <x:row r="353">
      <x:c r="A353" s="56"/>
      <x:c r="B353" s="61"/>
      <x:c r="C353" s="61"/>
      <x:c r="D353" s="61"/>
      <x:c r="E353" s="66"/>
      <x:c r="F353" s="85"/>
      <x:c r="G353" s="85"/>
      <x:c r="H353" s="71"/>
      <x:c r="I353" s="61"/>
      <x:c r="J353" s="66"/>
      <x:c r="K353" s="61"/>
      <x:c r="L353" s="61"/>
      <x:c r="M353" s="99"/>
      <x:c r="N353" s="71"/>
      <x:c r="O353" s="95"/>
    </x:row>
    <x:row r="354">
      <x:c r="A354" s="56"/>
      <x:c r="B354" s="61"/>
      <x:c r="C354" s="61"/>
      <x:c r="D354" s="61"/>
      <x:c r="E354" s="66"/>
      <x:c r="F354" s="85"/>
      <x:c r="G354" s="85"/>
      <x:c r="H354" s="72"/>
      <x:c r="I354" s="61"/>
      <x:c r="J354" s="66"/>
      <x:c r="K354" s="61"/>
      <x:c r="L354" s="61"/>
      <x:c r="M354" s="99"/>
      <x:c r="N354" s="72"/>
      <x:c r="O354" s="96"/>
    </x:row>
    <x:row r="355">
      <x:c r="A355" s="56"/>
      <x:c r="B355" s="61"/>
      <x:c r="C355" s="61"/>
      <x:c r="D355" s="61"/>
      <x:c r="E355" s="66"/>
      <x:c r="F355" s="85"/>
      <x:c r="G355" s="85"/>
      <x:c r="H355" s="71"/>
      <x:c r="I355" s="61"/>
      <x:c r="J355" s="66"/>
      <x:c r="K355" s="61"/>
      <x:c r="L355" s="61"/>
      <x:c r="M355" s="99"/>
      <x:c r="N355" s="71"/>
      <x:c r="O355" s="95"/>
    </x:row>
    <x:row r="356">
      <x:c r="A356" s="56"/>
      <x:c r="B356" s="61"/>
      <x:c r="C356" s="61"/>
      <x:c r="D356" s="61"/>
      <x:c r="E356" s="66"/>
      <x:c r="F356" s="85"/>
      <x:c r="G356" s="85"/>
      <x:c r="H356" s="72"/>
      <x:c r="I356" s="61"/>
      <x:c r="J356" s="66"/>
      <x:c r="K356" s="61"/>
      <x:c r="L356" s="61"/>
      <x:c r="M356" s="99"/>
      <x:c r="N356" s="72"/>
      <x:c r="O356" s="96"/>
    </x:row>
    <x:row r="357">
      <x:c r="A357" s="56"/>
      <x:c r="B357" s="61"/>
      <x:c r="C357" s="61"/>
      <x:c r="D357" s="61"/>
      <x:c r="E357" s="66"/>
      <x:c r="F357" s="85"/>
      <x:c r="G357" s="85"/>
      <x:c r="H357" s="71"/>
      <x:c r="I357" s="61"/>
      <x:c r="J357" s="66"/>
      <x:c r="K357" s="61"/>
      <x:c r="L357" s="61"/>
      <x:c r="M357" s="99"/>
      <x:c r="N357" s="71"/>
      <x:c r="O357" s="95"/>
    </x:row>
    <x:row r="358">
      <x:c r="A358" s="56"/>
      <x:c r="B358" s="61"/>
      <x:c r="C358" s="61"/>
      <x:c r="D358" s="61"/>
      <x:c r="E358" s="66"/>
      <x:c r="F358" s="85"/>
      <x:c r="G358" s="85"/>
      <x:c r="H358" s="72"/>
      <x:c r="I358" s="61"/>
      <x:c r="J358" s="66"/>
      <x:c r="K358" s="61"/>
      <x:c r="L358" s="61"/>
      <x:c r="M358" s="99"/>
      <x:c r="N358" s="72"/>
      <x:c r="O358" s="96"/>
    </x:row>
    <x:row r="359">
      <x:c r="A359" s="56"/>
      <x:c r="B359" s="61"/>
      <x:c r="C359" s="61"/>
      <x:c r="D359" s="61"/>
      <x:c r="E359" s="66"/>
      <x:c r="F359" s="85"/>
      <x:c r="G359" s="85"/>
      <x:c r="H359" s="71"/>
      <x:c r="I359" s="61"/>
      <x:c r="J359" s="66"/>
      <x:c r="K359" s="61"/>
      <x:c r="L359" s="61"/>
      <x:c r="M359" s="99"/>
      <x:c r="N359" s="71"/>
      <x:c r="O359" s="95"/>
    </x:row>
    <x:row r="360">
      <x:c r="A360" s="56"/>
      <x:c r="B360" s="61"/>
      <x:c r="C360" s="61"/>
      <x:c r="D360" s="61"/>
      <x:c r="E360" s="66"/>
      <x:c r="F360" s="85"/>
      <x:c r="G360" s="85"/>
      <x:c r="H360" s="72"/>
      <x:c r="I360" s="61"/>
      <x:c r="J360" s="66"/>
      <x:c r="K360" s="61"/>
      <x:c r="L360" s="61"/>
      <x:c r="M360" s="99"/>
      <x:c r="N360" s="72"/>
      <x:c r="O360" s="96"/>
    </x:row>
    <x:row r="361">
      <x:c r="A361" s="56"/>
      <x:c r="B361" s="61"/>
      <x:c r="C361" s="61"/>
      <x:c r="D361" s="61"/>
      <x:c r="E361" s="66"/>
      <x:c r="F361" s="85"/>
      <x:c r="G361" s="85"/>
      <x:c r="H361" s="71"/>
      <x:c r="I361" s="61"/>
      <x:c r="J361" s="66"/>
      <x:c r="K361" s="61"/>
      <x:c r="L361" s="61"/>
      <x:c r="M361" s="99"/>
      <x:c r="N361" s="71"/>
      <x:c r="O361" s="95"/>
    </x:row>
    <x:row r="362">
      <x:c r="A362" s="56"/>
      <x:c r="B362" s="61"/>
      <x:c r="C362" s="61"/>
      <x:c r="D362" s="61"/>
      <x:c r="E362" s="66"/>
      <x:c r="F362" s="85"/>
      <x:c r="G362" s="85"/>
      <x:c r="H362" s="72"/>
      <x:c r="I362" s="61"/>
      <x:c r="J362" s="66"/>
      <x:c r="K362" s="61"/>
      <x:c r="L362" s="61"/>
      <x:c r="M362" s="99"/>
      <x:c r="N362" s="72"/>
      <x:c r="O362" s="96"/>
    </x:row>
    <x:row r="363">
      <x:c r="A363" s="56"/>
      <x:c r="B363" s="61"/>
      <x:c r="C363" s="61"/>
      <x:c r="D363" s="61"/>
      <x:c r="E363" s="66"/>
      <x:c r="F363" s="85"/>
      <x:c r="G363" s="85"/>
      <x:c r="H363" s="71"/>
      <x:c r="I363" s="61"/>
      <x:c r="J363" s="66"/>
      <x:c r="K363" s="61"/>
      <x:c r="L363" s="61"/>
      <x:c r="M363" s="99"/>
      <x:c r="N363" s="71"/>
      <x:c r="O363" s="95"/>
    </x:row>
    <x:row r="364">
      <x:c r="A364" s="56"/>
      <x:c r="B364" s="61"/>
      <x:c r="C364" s="61"/>
      <x:c r="D364" s="61"/>
      <x:c r="E364" s="66"/>
      <x:c r="F364" s="85"/>
      <x:c r="G364" s="85"/>
      <x:c r="H364" s="72"/>
      <x:c r="I364" s="61"/>
      <x:c r="J364" s="66"/>
      <x:c r="K364" s="61"/>
      <x:c r="L364" s="61"/>
      <x:c r="M364" s="99"/>
      <x:c r="N364" s="72"/>
      <x:c r="O364" s="96"/>
    </x:row>
    <x:row r="365">
      <x:c r="A365" s="56"/>
      <x:c r="B365" s="61"/>
      <x:c r="C365" s="61"/>
      <x:c r="D365" s="61"/>
      <x:c r="E365" s="66"/>
      <x:c r="F365" s="85"/>
      <x:c r="G365" s="85"/>
      <x:c r="H365" s="71"/>
      <x:c r="I365" s="61"/>
      <x:c r="J365" s="66"/>
      <x:c r="K365" s="61"/>
      <x:c r="L365" s="61"/>
      <x:c r="M365" s="99"/>
      <x:c r="N365" s="71"/>
      <x:c r="O365" s="95"/>
    </x:row>
    <x:row r="366">
      <x:c r="A366" s="56"/>
      <x:c r="B366" s="61"/>
      <x:c r="C366" s="61"/>
      <x:c r="D366" s="61"/>
      <x:c r="E366" s="66"/>
      <x:c r="F366" s="85"/>
      <x:c r="G366" s="85"/>
      <x:c r="H366" s="72"/>
      <x:c r="I366" s="61"/>
      <x:c r="J366" s="66"/>
      <x:c r="K366" s="61"/>
      <x:c r="L366" s="61"/>
      <x:c r="M366" s="99"/>
      <x:c r="N366" s="72"/>
      <x:c r="O366" s="96"/>
    </x:row>
    <x:row r="367">
      <x:c r="A367" s="56"/>
      <x:c r="B367" s="61"/>
      <x:c r="C367" s="61"/>
      <x:c r="D367" s="61"/>
      <x:c r="E367" s="66"/>
      <x:c r="F367" s="85"/>
      <x:c r="G367" s="85"/>
      <x:c r="H367" s="71"/>
      <x:c r="I367" s="61"/>
      <x:c r="J367" s="66"/>
      <x:c r="K367" s="61"/>
      <x:c r="L367" s="61"/>
      <x:c r="M367" s="99"/>
      <x:c r="N367" s="71"/>
      <x:c r="O367" s="95"/>
    </x:row>
    <x:row r="368">
      <x:c r="A368" s="56"/>
      <x:c r="B368" s="61"/>
      <x:c r="C368" s="61"/>
      <x:c r="D368" s="61"/>
      <x:c r="E368" s="66"/>
      <x:c r="F368" s="85"/>
      <x:c r="G368" s="85"/>
      <x:c r="H368" s="72"/>
      <x:c r="I368" s="61"/>
      <x:c r="J368" s="66"/>
      <x:c r="K368" s="61"/>
      <x:c r="L368" s="61"/>
      <x:c r="M368" s="99"/>
      <x:c r="N368" s="72"/>
      <x:c r="O368" s="96"/>
    </x:row>
    <x:row r="369">
      <x:c r="A369" s="56"/>
      <x:c r="B369" s="61"/>
      <x:c r="C369" s="61"/>
      <x:c r="D369" s="61"/>
      <x:c r="E369" s="66"/>
      <x:c r="F369" s="85"/>
      <x:c r="G369" s="85"/>
      <x:c r="H369" s="71"/>
      <x:c r="I369" s="61"/>
      <x:c r="J369" s="66"/>
      <x:c r="K369" s="61"/>
      <x:c r="L369" s="61"/>
      <x:c r="M369" s="99"/>
      <x:c r="N369" s="71"/>
      <x:c r="O369" s="95"/>
    </x:row>
    <x:row r="370">
      <x:c r="A370" s="56"/>
      <x:c r="B370" s="61"/>
      <x:c r="C370" s="61"/>
      <x:c r="D370" s="61"/>
      <x:c r="E370" s="66"/>
      <x:c r="F370" s="85"/>
      <x:c r="G370" s="85"/>
      <x:c r="H370" s="72"/>
      <x:c r="I370" s="61"/>
      <x:c r="J370" s="66"/>
      <x:c r="K370" s="61"/>
      <x:c r="L370" s="61"/>
      <x:c r="M370" s="99"/>
      <x:c r="N370" s="72"/>
      <x:c r="O370" s="96"/>
    </x:row>
    <x:row r="371">
      <x:c r="A371" s="56"/>
      <x:c r="B371" s="61"/>
      <x:c r="C371" s="61"/>
      <x:c r="D371" s="61"/>
      <x:c r="E371" s="66"/>
      <x:c r="F371" s="85"/>
      <x:c r="G371" s="85"/>
      <x:c r="H371" s="71"/>
      <x:c r="I371" s="61"/>
      <x:c r="J371" s="66"/>
      <x:c r="K371" s="61"/>
      <x:c r="L371" s="61"/>
      <x:c r="M371" s="99"/>
      <x:c r="N371" s="71"/>
      <x:c r="O371" s="95"/>
    </x:row>
    <x:row r="372">
      <x:c r="A372" s="56"/>
      <x:c r="B372" s="61"/>
      <x:c r="C372" s="61"/>
      <x:c r="D372" s="61"/>
      <x:c r="E372" s="66"/>
      <x:c r="F372" s="85"/>
      <x:c r="G372" s="85"/>
      <x:c r="H372" s="72"/>
      <x:c r="I372" s="61"/>
      <x:c r="J372" s="66"/>
      <x:c r="K372" s="61"/>
      <x:c r="L372" s="61"/>
      <x:c r="M372" s="99"/>
      <x:c r="N372" s="72"/>
      <x:c r="O372" s="96"/>
    </x:row>
    <x:row r="373">
      <x:c r="A373" s="56"/>
      <x:c r="B373" s="61"/>
      <x:c r="C373" s="61"/>
      <x:c r="D373" s="61"/>
      <x:c r="E373" s="66"/>
      <x:c r="F373" s="85"/>
      <x:c r="G373" s="85"/>
      <x:c r="H373" s="71"/>
      <x:c r="I373" s="61"/>
      <x:c r="J373" s="66"/>
      <x:c r="K373" s="61"/>
      <x:c r="L373" s="61"/>
      <x:c r="M373" s="99"/>
      <x:c r="N373" s="71"/>
      <x:c r="O373" s="95"/>
    </x:row>
    <x:row r="374">
      <x:c r="A374" s="56"/>
      <x:c r="B374" s="61"/>
      <x:c r="C374" s="61"/>
      <x:c r="D374" s="61"/>
      <x:c r="E374" s="66"/>
      <x:c r="F374" s="85"/>
      <x:c r="G374" s="85"/>
      <x:c r="H374" s="72"/>
      <x:c r="I374" s="61"/>
      <x:c r="J374" s="66"/>
      <x:c r="K374" s="61"/>
      <x:c r="L374" s="61"/>
      <x:c r="M374" s="99"/>
      <x:c r="N374" s="72"/>
      <x:c r="O374" s="96"/>
    </x:row>
    <x:row r="375">
      <x:c r="A375" s="56"/>
      <x:c r="B375" s="61"/>
      <x:c r="C375" s="61"/>
      <x:c r="D375" s="61"/>
      <x:c r="E375" s="66"/>
      <x:c r="F375" s="85"/>
      <x:c r="G375" s="85"/>
      <x:c r="H375" s="71"/>
      <x:c r="I375" s="61"/>
      <x:c r="J375" s="66"/>
      <x:c r="K375" s="61"/>
      <x:c r="L375" s="61"/>
      <x:c r="M375" s="99"/>
      <x:c r="N375" s="71"/>
      <x:c r="O375" s="95"/>
    </x:row>
    <x:row r="376">
      <x:c r="A376" s="56"/>
      <x:c r="B376" s="61"/>
      <x:c r="C376" s="61"/>
      <x:c r="D376" s="61"/>
      <x:c r="E376" s="66"/>
      <x:c r="F376" s="85"/>
      <x:c r="G376" s="85"/>
      <x:c r="H376" s="72"/>
      <x:c r="I376" s="61"/>
      <x:c r="J376" s="66"/>
      <x:c r="K376" s="61"/>
      <x:c r="L376" s="61"/>
      <x:c r="M376" s="99"/>
      <x:c r="N376" s="72"/>
      <x:c r="O376" s="96"/>
    </x:row>
    <x:row r="377">
      <x:c r="A377" s="56"/>
      <x:c r="B377" s="61"/>
      <x:c r="C377" s="61"/>
      <x:c r="D377" s="61"/>
      <x:c r="E377" s="66"/>
      <x:c r="F377" s="85"/>
      <x:c r="G377" s="85"/>
      <x:c r="H377" s="71"/>
      <x:c r="I377" s="61"/>
      <x:c r="J377" s="66"/>
      <x:c r="K377" s="61"/>
      <x:c r="L377" s="61"/>
      <x:c r="M377" s="99"/>
      <x:c r="N377" s="71"/>
      <x:c r="O377" s="95"/>
    </x:row>
    <x:row r="378">
      <x:c r="A378" s="56"/>
      <x:c r="B378" s="61"/>
      <x:c r="C378" s="61"/>
      <x:c r="D378" s="61"/>
      <x:c r="E378" s="66"/>
      <x:c r="F378" s="85"/>
      <x:c r="G378" s="85"/>
      <x:c r="H378" s="72"/>
      <x:c r="I378" s="61"/>
      <x:c r="J378" s="66"/>
      <x:c r="K378" s="61"/>
      <x:c r="L378" s="61"/>
      <x:c r="M378" s="99"/>
      <x:c r="N378" s="72"/>
      <x:c r="O378" s="96"/>
    </x:row>
    <x:row r="379">
      <x:c r="A379" s="56"/>
      <x:c r="B379" s="61"/>
      <x:c r="C379" s="61"/>
      <x:c r="D379" s="61"/>
      <x:c r="E379" s="66"/>
      <x:c r="F379" s="85"/>
      <x:c r="G379" s="85"/>
      <x:c r="H379" s="71"/>
      <x:c r="I379" s="61"/>
      <x:c r="J379" s="66"/>
      <x:c r="K379" s="61"/>
      <x:c r="L379" s="61"/>
      <x:c r="M379" s="99"/>
      <x:c r="N379" s="71"/>
      <x:c r="O379" s="95"/>
    </x:row>
    <x:row r="380">
      <x:c r="A380" s="56"/>
      <x:c r="B380" s="61"/>
      <x:c r="C380" s="61"/>
      <x:c r="D380" s="61"/>
      <x:c r="E380" s="66"/>
      <x:c r="F380" s="85"/>
      <x:c r="G380" s="85"/>
      <x:c r="H380" s="72"/>
      <x:c r="I380" s="61"/>
      <x:c r="J380" s="66"/>
      <x:c r="K380" s="61"/>
      <x:c r="L380" s="61"/>
      <x:c r="M380" s="99"/>
      <x:c r="N380" s="72"/>
      <x:c r="O380" s="96"/>
    </x:row>
    <x:row r="381">
      <x:c r="A381" s="56"/>
      <x:c r="B381" s="61"/>
      <x:c r="C381" s="61"/>
      <x:c r="D381" s="61"/>
      <x:c r="E381" s="66"/>
      <x:c r="F381" s="85"/>
      <x:c r="G381" s="85"/>
      <x:c r="H381" s="71"/>
      <x:c r="I381" s="61"/>
      <x:c r="J381" s="66"/>
      <x:c r="K381" s="61"/>
      <x:c r="L381" s="61"/>
      <x:c r="M381" s="99"/>
      <x:c r="N381" s="71"/>
      <x:c r="O381" s="95"/>
    </x:row>
    <x:row r="382">
      <x:c r="A382" s="56"/>
      <x:c r="B382" s="61"/>
      <x:c r="C382" s="61"/>
      <x:c r="D382" s="61"/>
      <x:c r="E382" s="66"/>
      <x:c r="F382" s="85"/>
      <x:c r="G382" s="85"/>
      <x:c r="H382" s="72"/>
      <x:c r="I382" s="61"/>
      <x:c r="J382" s="66"/>
      <x:c r="K382" s="61"/>
      <x:c r="L382" s="61"/>
      <x:c r="M382" s="99"/>
      <x:c r="N382" s="72"/>
      <x:c r="O382" s="96"/>
    </x:row>
    <x:row r="383">
      <x:c r="A383" s="56"/>
      <x:c r="B383" s="61"/>
      <x:c r="C383" s="61"/>
      <x:c r="D383" s="61"/>
      <x:c r="E383" s="66"/>
      <x:c r="F383" s="85"/>
      <x:c r="G383" s="85"/>
      <x:c r="H383" s="71"/>
      <x:c r="I383" s="61"/>
      <x:c r="J383" s="66"/>
      <x:c r="K383" s="61"/>
      <x:c r="L383" s="61"/>
      <x:c r="M383" s="99"/>
      <x:c r="N383" s="71"/>
      <x:c r="O383" s="95"/>
    </x:row>
    <x:row r="384">
      <x:c r="A384" s="56"/>
      <x:c r="B384" s="61"/>
      <x:c r="C384" s="61"/>
      <x:c r="D384" s="61"/>
      <x:c r="E384" s="66"/>
      <x:c r="F384" s="85"/>
      <x:c r="G384" s="85"/>
      <x:c r="H384" s="72"/>
      <x:c r="I384" s="61"/>
      <x:c r="J384" s="66"/>
      <x:c r="K384" s="61"/>
      <x:c r="L384" s="61"/>
      <x:c r="M384" s="99"/>
      <x:c r="N384" s="72"/>
      <x:c r="O384" s="96"/>
    </x:row>
    <x:row r="385">
      <x:c r="A385" s="56"/>
      <x:c r="B385" s="61"/>
      <x:c r="C385" s="61"/>
      <x:c r="D385" s="61"/>
      <x:c r="E385" s="66"/>
      <x:c r="F385" s="85"/>
      <x:c r="G385" s="85"/>
      <x:c r="H385" s="71"/>
      <x:c r="I385" s="61"/>
      <x:c r="J385" s="66"/>
      <x:c r="K385" s="61"/>
      <x:c r="L385" s="61"/>
      <x:c r="M385" s="99"/>
      <x:c r="N385" s="71"/>
      <x:c r="O385" s="95"/>
    </x:row>
    <x:row r="386">
      <x:c r="A386" s="56"/>
      <x:c r="B386" s="61"/>
      <x:c r="C386" s="61"/>
      <x:c r="D386" s="61"/>
      <x:c r="E386" s="66"/>
      <x:c r="F386" s="85"/>
      <x:c r="G386" s="85"/>
      <x:c r="H386" s="72"/>
      <x:c r="I386" s="61"/>
      <x:c r="J386" s="66"/>
      <x:c r="K386" s="61"/>
      <x:c r="L386" s="61"/>
      <x:c r="M386" s="99"/>
      <x:c r="N386" s="72"/>
      <x:c r="O386" s="96"/>
    </x:row>
    <x:row r="387">
      <x:c r="A387" s="56"/>
      <x:c r="B387" s="61"/>
      <x:c r="C387" s="61"/>
      <x:c r="D387" s="61"/>
      <x:c r="E387" s="66"/>
      <x:c r="F387" s="85"/>
      <x:c r="G387" s="85"/>
      <x:c r="H387" s="71"/>
      <x:c r="I387" s="61"/>
      <x:c r="J387" s="66"/>
      <x:c r="K387" s="61"/>
      <x:c r="L387" s="61"/>
      <x:c r="M387" s="99"/>
      <x:c r="N387" s="71"/>
      <x:c r="O387" s="95"/>
    </x:row>
    <x:row r="388">
      <x:c r="A388" s="56"/>
      <x:c r="B388" s="61"/>
      <x:c r="C388" s="61"/>
      <x:c r="D388" s="61"/>
      <x:c r="E388" s="66"/>
      <x:c r="F388" s="85"/>
      <x:c r="G388" s="85"/>
      <x:c r="H388" s="72"/>
      <x:c r="I388" s="61"/>
      <x:c r="J388" s="66"/>
      <x:c r="K388" s="61"/>
      <x:c r="L388" s="61"/>
      <x:c r="M388" s="99"/>
      <x:c r="N388" s="72"/>
      <x:c r="O388" s="96"/>
    </x:row>
    <x:row r="389">
      <x:c r="A389" s="56"/>
      <x:c r="B389" s="61"/>
      <x:c r="C389" s="61"/>
      <x:c r="D389" s="61"/>
      <x:c r="E389" s="66"/>
      <x:c r="F389" s="85"/>
      <x:c r="G389" s="85"/>
      <x:c r="H389" s="71"/>
      <x:c r="I389" s="61"/>
      <x:c r="J389" s="66"/>
      <x:c r="K389" s="61"/>
      <x:c r="L389" s="61"/>
      <x:c r="M389" s="99"/>
      <x:c r="N389" s="71"/>
      <x:c r="O389" s="95"/>
    </x:row>
    <x:row r="390">
      <x:c r="A390" s="56"/>
      <x:c r="B390" s="61"/>
      <x:c r="C390" s="61"/>
      <x:c r="D390" s="61"/>
      <x:c r="E390" s="66"/>
      <x:c r="F390" s="85"/>
      <x:c r="G390" s="85"/>
      <x:c r="H390" s="72"/>
      <x:c r="I390" s="61"/>
      <x:c r="J390" s="66"/>
      <x:c r="K390" s="61"/>
      <x:c r="L390" s="61"/>
      <x:c r="M390" s="99"/>
      <x:c r="N390" s="72"/>
      <x:c r="O390" s="96"/>
    </x:row>
    <x:row r="391">
      <x:c r="A391" s="56"/>
      <x:c r="B391" s="61"/>
      <x:c r="C391" s="61"/>
      <x:c r="D391" s="61"/>
      <x:c r="E391" s="66"/>
      <x:c r="F391" s="85"/>
      <x:c r="G391" s="85"/>
      <x:c r="H391" s="71"/>
      <x:c r="I391" s="61"/>
      <x:c r="J391" s="66"/>
      <x:c r="K391" s="61"/>
      <x:c r="L391" s="61"/>
      <x:c r="M391" s="99"/>
      <x:c r="N391" s="71"/>
      <x:c r="O391" s="95"/>
    </x:row>
    <x:row r="392">
      <x:c r="A392" s="56"/>
      <x:c r="B392" s="61"/>
      <x:c r="C392" s="61"/>
      <x:c r="D392" s="61"/>
      <x:c r="E392" s="66"/>
      <x:c r="F392" s="85"/>
      <x:c r="G392" s="85"/>
      <x:c r="H392" s="72"/>
      <x:c r="I392" s="61"/>
      <x:c r="J392" s="66"/>
      <x:c r="K392" s="61"/>
      <x:c r="L392" s="61"/>
      <x:c r="M392" s="99"/>
      <x:c r="N392" s="72"/>
      <x:c r="O392" s="96"/>
    </x:row>
    <x:row r="393">
      <x:c r="A393" s="56"/>
      <x:c r="B393" s="61"/>
      <x:c r="C393" s="61"/>
      <x:c r="D393" s="61"/>
      <x:c r="E393" s="66"/>
      <x:c r="F393" s="85"/>
      <x:c r="G393" s="85"/>
      <x:c r="H393" s="71"/>
      <x:c r="I393" s="61"/>
      <x:c r="J393" s="66"/>
      <x:c r="K393" s="61"/>
      <x:c r="L393" s="61"/>
      <x:c r="M393" s="99"/>
      <x:c r="N393" s="71"/>
      <x:c r="O393" s="95"/>
    </x:row>
    <x:row r="394">
      <x:c r="A394" s="56"/>
      <x:c r="B394" s="61"/>
      <x:c r="C394" s="61"/>
      <x:c r="D394" s="61"/>
      <x:c r="E394" s="66"/>
      <x:c r="F394" s="85"/>
      <x:c r="G394" s="85"/>
      <x:c r="H394" s="72"/>
      <x:c r="I394" s="61"/>
      <x:c r="J394" s="66"/>
      <x:c r="K394" s="61"/>
      <x:c r="L394" s="61"/>
      <x:c r="M394" s="99"/>
      <x:c r="N394" s="72"/>
      <x:c r="O394" s="96"/>
    </x:row>
    <x:row r="395">
      <x:c r="A395" s="56"/>
      <x:c r="B395" s="61"/>
      <x:c r="C395" s="61"/>
      <x:c r="D395" s="61"/>
      <x:c r="E395" s="66"/>
      <x:c r="F395" s="85"/>
      <x:c r="G395" s="85"/>
      <x:c r="H395" s="71"/>
      <x:c r="I395" s="61"/>
      <x:c r="J395" s="66"/>
      <x:c r="K395" s="61"/>
      <x:c r="L395" s="61"/>
      <x:c r="M395" s="99"/>
      <x:c r="N395" s="71"/>
      <x:c r="O395" s="95"/>
    </x:row>
    <x:row r="396">
      <x:c r="A396" s="56"/>
      <x:c r="B396" s="61"/>
      <x:c r="C396" s="61"/>
      <x:c r="D396" s="61"/>
      <x:c r="E396" s="66"/>
      <x:c r="F396" s="85"/>
      <x:c r="G396" s="85"/>
      <x:c r="H396" s="72"/>
      <x:c r="I396" s="61"/>
      <x:c r="J396" s="66"/>
      <x:c r="K396" s="61"/>
      <x:c r="L396" s="61"/>
      <x:c r="M396" s="99"/>
      <x:c r="N396" s="72"/>
      <x:c r="O396" s="96"/>
    </x:row>
    <x:row r="397">
      <x:c r="A397" s="56"/>
      <x:c r="B397" s="61"/>
      <x:c r="C397" s="61"/>
      <x:c r="D397" s="61"/>
      <x:c r="E397" s="66"/>
      <x:c r="F397" s="85"/>
      <x:c r="G397" s="85"/>
      <x:c r="H397" s="71"/>
      <x:c r="I397" s="61"/>
      <x:c r="J397" s="66"/>
      <x:c r="K397" s="61"/>
      <x:c r="L397" s="61"/>
      <x:c r="M397" s="99"/>
      <x:c r="N397" s="71"/>
      <x:c r="O397" s="95"/>
    </x:row>
    <x:row r="398">
      <x:c r="A398" s="56"/>
      <x:c r="B398" s="61"/>
      <x:c r="C398" s="61"/>
      <x:c r="D398" s="61"/>
      <x:c r="E398" s="66"/>
      <x:c r="F398" s="85"/>
      <x:c r="G398" s="85"/>
      <x:c r="H398" s="72"/>
      <x:c r="I398" s="61"/>
      <x:c r="J398" s="66"/>
      <x:c r="K398" s="61"/>
      <x:c r="L398" s="61"/>
      <x:c r="M398" s="99"/>
      <x:c r="N398" s="72"/>
      <x:c r="O398" s="96"/>
    </x:row>
    <x:row r="399">
      <x:c r="A399" s="56"/>
      <x:c r="B399" s="61"/>
      <x:c r="C399" s="61"/>
      <x:c r="D399" s="61"/>
      <x:c r="E399" s="66"/>
      <x:c r="F399" s="85"/>
      <x:c r="G399" s="85"/>
      <x:c r="H399" s="71"/>
      <x:c r="I399" s="61"/>
      <x:c r="J399" s="66"/>
      <x:c r="K399" s="61"/>
      <x:c r="L399" s="61"/>
      <x:c r="M399" s="99"/>
      <x:c r="N399" s="71"/>
      <x:c r="O399" s="95"/>
    </x:row>
    <x:row r="400">
      <x:c r="A400" s="56"/>
      <x:c r="B400" s="61"/>
      <x:c r="C400" s="61"/>
      <x:c r="D400" s="61"/>
      <x:c r="E400" s="66"/>
      <x:c r="F400" s="85"/>
      <x:c r="G400" s="85"/>
      <x:c r="H400" s="72"/>
      <x:c r="I400" s="61"/>
      <x:c r="J400" s="66"/>
      <x:c r="K400" s="61"/>
      <x:c r="L400" s="61"/>
      <x:c r="M400" s="99"/>
      <x:c r="N400" s="72"/>
      <x:c r="O400" s="96"/>
    </x:row>
    <x:row r="401">
      <x:c r="A401" s="56"/>
      <x:c r="B401" s="61"/>
      <x:c r="C401" s="61"/>
      <x:c r="D401" s="61"/>
      <x:c r="E401" s="66"/>
      <x:c r="F401" s="85"/>
      <x:c r="G401" s="85"/>
      <x:c r="H401" s="71"/>
      <x:c r="I401" s="61"/>
      <x:c r="J401" s="66"/>
      <x:c r="K401" s="61"/>
      <x:c r="L401" s="61"/>
      <x:c r="M401" s="99"/>
      <x:c r="N401" s="71"/>
      <x:c r="O401" s="95"/>
    </x:row>
    <x:row r="402">
      <x:c r="A402" s="56"/>
      <x:c r="B402" s="61"/>
      <x:c r="C402" s="61"/>
      <x:c r="D402" s="61"/>
      <x:c r="E402" s="66"/>
      <x:c r="F402" s="85"/>
      <x:c r="G402" s="85"/>
      <x:c r="H402" s="72"/>
      <x:c r="I402" s="61"/>
      <x:c r="J402" s="66"/>
      <x:c r="K402" s="61"/>
      <x:c r="L402" s="61"/>
      <x:c r="M402" s="99"/>
      <x:c r="N402" s="72"/>
      <x:c r="O402" s="96"/>
    </x:row>
    <x:row r="403">
      <x:c r="A403" s="56"/>
      <x:c r="B403" s="61"/>
      <x:c r="C403" s="61"/>
      <x:c r="D403" s="61"/>
      <x:c r="E403" s="66"/>
      <x:c r="F403" s="85"/>
      <x:c r="G403" s="85"/>
      <x:c r="H403" s="71"/>
      <x:c r="I403" s="61"/>
      <x:c r="J403" s="66"/>
      <x:c r="K403" s="61"/>
      <x:c r="L403" s="61"/>
      <x:c r="M403" s="99"/>
      <x:c r="N403" s="71"/>
      <x:c r="O403" s="95"/>
    </x:row>
    <x:row r="404">
      <x:c r="A404" s="56"/>
      <x:c r="B404" s="61"/>
      <x:c r="C404" s="61"/>
      <x:c r="D404" s="61"/>
      <x:c r="E404" s="66"/>
      <x:c r="F404" s="85"/>
      <x:c r="G404" s="85"/>
      <x:c r="H404" s="72"/>
      <x:c r="I404" s="61"/>
      <x:c r="J404" s="66"/>
      <x:c r="K404" s="61"/>
      <x:c r="L404" s="61"/>
      <x:c r="M404" s="99"/>
      <x:c r="N404" s="72"/>
      <x:c r="O404" s="96"/>
    </x:row>
    <x:row r="405">
      <x:c r="A405" s="56"/>
      <x:c r="B405" s="61"/>
      <x:c r="C405" s="61"/>
      <x:c r="D405" s="61"/>
      <x:c r="E405" s="66"/>
      <x:c r="F405" s="85"/>
      <x:c r="G405" s="85"/>
      <x:c r="H405" s="71"/>
      <x:c r="I405" s="61"/>
      <x:c r="J405" s="66"/>
      <x:c r="K405" s="61"/>
      <x:c r="L405" s="61"/>
      <x:c r="M405" s="99"/>
      <x:c r="N405" s="71"/>
      <x:c r="O405" s="95"/>
    </x:row>
    <x:row r="406">
      <x:c r="A406" s="56"/>
      <x:c r="B406" s="61"/>
      <x:c r="C406" s="61"/>
      <x:c r="D406" s="61"/>
      <x:c r="E406" s="66"/>
      <x:c r="F406" s="85"/>
      <x:c r="G406" s="85"/>
      <x:c r="H406" s="72"/>
      <x:c r="I406" s="61"/>
      <x:c r="J406" s="66"/>
      <x:c r="K406" s="61"/>
      <x:c r="L406" s="61"/>
      <x:c r="M406" s="99"/>
      <x:c r="N406" s="72"/>
      <x:c r="O406" s="96"/>
    </x:row>
    <x:row r="407">
      <x:c r="A407" s="56"/>
      <x:c r="B407" s="61"/>
      <x:c r="C407" s="61"/>
      <x:c r="D407" s="61"/>
      <x:c r="E407" s="66"/>
      <x:c r="F407" s="85"/>
      <x:c r="G407" s="85"/>
      <x:c r="H407" s="71"/>
      <x:c r="I407" s="61"/>
      <x:c r="J407" s="66"/>
      <x:c r="K407" s="61"/>
      <x:c r="L407" s="61"/>
      <x:c r="M407" s="99"/>
      <x:c r="N407" s="71"/>
      <x:c r="O407" s="95"/>
    </x:row>
    <x:row r="408">
      <x:c r="A408" s="56"/>
      <x:c r="B408" s="61"/>
      <x:c r="C408" s="61"/>
      <x:c r="D408" s="61"/>
      <x:c r="E408" s="66"/>
      <x:c r="F408" s="85"/>
      <x:c r="G408" s="85"/>
      <x:c r="H408" s="72"/>
      <x:c r="I408" s="61"/>
      <x:c r="J408" s="66"/>
      <x:c r="K408" s="61"/>
      <x:c r="L408" s="61"/>
      <x:c r="M408" s="99"/>
      <x:c r="N408" s="72"/>
      <x:c r="O408" s="96"/>
    </x:row>
    <x:row r="409">
      <x:c r="A409" s="56"/>
      <x:c r="B409" s="61"/>
      <x:c r="C409" s="61"/>
      <x:c r="D409" s="61"/>
      <x:c r="E409" s="66"/>
      <x:c r="F409" s="85"/>
      <x:c r="G409" s="85"/>
      <x:c r="H409" s="71"/>
      <x:c r="I409" s="61"/>
      <x:c r="J409" s="66"/>
      <x:c r="K409" s="61"/>
      <x:c r="L409" s="61"/>
      <x:c r="M409" s="99"/>
      <x:c r="N409" s="71"/>
      <x:c r="O409" s="95"/>
    </x:row>
    <x:row r="410">
      <x:c r="A410" s="56"/>
      <x:c r="B410" s="61"/>
      <x:c r="C410" s="61"/>
      <x:c r="D410" s="61"/>
      <x:c r="E410" s="66"/>
      <x:c r="F410" s="85"/>
      <x:c r="G410" s="85"/>
      <x:c r="H410" s="72"/>
      <x:c r="I410" s="61"/>
      <x:c r="J410" s="66"/>
      <x:c r="K410" s="61"/>
      <x:c r="L410" s="61"/>
      <x:c r="M410" s="99"/>
      <x:c r="N410" s="72"/>
      <x:c r="O410" s="96"/>
    </x:row>
    <x:row r="411">
      <x:c r="A411" s="56"/>
      <x:c r="B411" s="61"/>
      <x:c r="C411" s="61"/>
      <x:c r="D411" s="61"/>
      <x:c r="E411" s="66"/>
      <x:c r="F411" s="85"/>
      <x:c r="G411" s="85"/>
      <x:c r="H411" s="71"/>
      <x:c r="I411" s="61"/>
      <x:c r="J411" s="66"/>
      <x:c r="K411" s="61"/>
      <x:c r="L411" s="61"/>
      <x:c r="M411" s="99"/>
      <x:c r="N411" s="71"/>
      <x:c r="O411" s="95"/>
    </x:row>
    <x:row r="412">
      <x:c r="A412" s="56"/>
      <x:c r="B412" s="61"/>
      <x:c r="C412" s="61"/>
      <x:c r="D412" s="61"/>
      <x:c r="E412" s="66"/>
      <x:c r="F412" s="85"/>
      <x:c r="G412" s="85"/>
      <x:c r="H412" s="72"/>
      <x:c r="I412" s="61"/>
      <x:c r="J412" s="66"/>
      <x:c r="K412" s="61"/>
      <x:c r="L412" s="61"/>
      <x:c r="M412" s="99"/>
      <x:c r="N412" s="72"/>
      <x:c r="O412" s="96"/>
    </x:row>
    <x:row r="413">
      <x:c r="A413" s="56"/>
      <x:c r="B413" s="61"/>
      <x:c r="C413" s="61"/>
      <x:c r="D413" s="61"/>
      <x:c r="E413" s="66"/>
      <x:c r="F413" s="85"/>
      <x:c r="G413" s="85"/>
      <x:c r="H413" s="71"/>
      <x:c r="I413" s="61"/>
      <x:c r="J413" s="66"/>
      <x:c r="K413" s="61"/>
      <x:c r="L413" s="61"/>
      <x:c r="M413" s="99"/>
      <x:c r="N413" s="71"/>
      <x:c r="O413" s="95"/>
    </x:row>
    <x:row r="414">
      <x:c r="A414" s="56"/>
      <x:c r="B414" s="61"/>
      <x:c r="C414" s="61"/>
      <x:c r="D414" s="61"/>
      <x:c r="E414" s="66"/>
      <x:c r="F414" s="85"/>
      <x:c r="G414" s="85"/>
      <x:c r="H414" s="72"/>
      <x:c r="I414" s="61"/>
      <x:c r="J414" s="66"/>
      <x:c r="K414" s="61"/>
      <x:c r="L414" s="61"/>
      <x:c r="M414" s="99"/>
      <x:c r="N414" s="72"/>
      <x:c r="O414" s="96"/>
    </x:row>
    <x:row r="415">
      <x:c r="A415" s="56"/>
      <x:c r="B415" s="61"/>
      <x:c r="C415" s="61"/>
      <x:c r="D415" s="61"/>
      <x:c r="E415" s="66"/>
      <x:c r="F415" s="85"/>
      <x:c r="G415" s="85"/>
      <x:c r="H415" s="71"/>
      <x:c r="I415" s="61"/>
      <x:c r="J415" s="66"/>
      <x:c r="K415" s="61"/>
      <x:c r="L415" s="61"/>
      <x:c r="M415" s="99"/>
      <x:c r="N415" s="71"/>
      <x:c r="O415" s="95"/>
    </x:row>
    <x:row r="416">
      <x:c r="A416" s="56"/>
      <x:c r="B416" s="61"/>
      <x:c r="C416" s="61"/>
      <x:c r="D416" s="61"/>
      <x:c r="E416" s="66"/>
      <x:c r="F416" s="85"/>
      <x:c r="G416" s="85"/>
      <x:c r="H416" s="72"/>
      <x:c r="I416" s="61"/>
      <x:c r="J416" s="66"/>
      <x:c r="K416" s="61"/>
      <x:c r="L416" s="61"/>
      <x:c r="M416" s="99"/>
      <x:c r="N416" s="72"/>
      <x:c r="O416" s="96"/>
    </x:row>
    <x:row r="417">
      <x:c r="A417" s="56"/>
      <x:c r="B417" s="61"/>
      <x:c r="C417" s="61"/>
      <x:c r="D417" s="61"/>
      <x:c r="E417" s="66"/>
      <x:c r="F417" s="85"/>
      <x:c r="G417" s="85"/>
      <x:c r="H417" s="71"/>
      <x:c r="I417" s="61"/>
      <x:c r="J417" s="66"/>
      <x:c r="K417" s="61"/>
      <x:c r="L417" s="61"/>
      <x:c r="M417" s="99"/>
      <x:c r="N417" s="71"/>
      <x:c r="O417" s="95"/>
    </x:row>
    <x:row r="418">
      <x:c r="A418" s="56"/>
      <x:c r="B418" s="61"/>
      <x:c r="C418" s="61"/>
      <x:c r="D418" s="61"/>
      <x:c r="E418" s="66"/>
      <x:c r="F418" s="85"/>
      <x:c r="G418" s="85"/>
      <x:c r="H418" s="72"/>
      <x:c r="I418" s="61"/>
      <x:c r="J418" s="66"/>
      <x:c r="K418" s="61"/>
      <x:c r="L418" s="61"/>
      <x:c r="M418" s="99"/>
      <x:c r="N418" s="72"/>
      <x:c r="O418" s="96"/>
    </x:row>
    <x:row r="419">
      <x:c r="A419" s="56"/>
      <x:c r="B419" s="61"/>
      <x:c r="C419" s="61"/>
      <x:c r="D419" s="61"/>
      <x:c r="E419" s="66"/>
      <x:c r="F419" s="85"/>
      <x:c r="G419" s="85"/>
      <x:c r="H419" s="71"/>
      <x:c r="I419" s="61"/>
      <x:c r="J419" s="66"/>
      <x:c r="K419" s="61"/>
      <x:c r="L419" s="61"/>
      <x:c r="M419" s="99"/>
      <x:c r="N419" s="71"/>
      <x:c r="O419" s="95"/>
    </x:row>
    <x:row r="420">
      <x:c r="A420" s="56"/>
      <x:c r="B420" s="61"/>
      <x:c r="C420" s="61"/>
      <x:c r="D420" s="61"/>
      <x:c r="E420" s="66"/>
      <x:c r="F420" s="85"/>
      <x:c r="G420" s="85"/>
      <x:c r="H420" s="72"/>
      <x:c r="I420" s="61"/>
      <x:c r="J420" s="66"/>
      <x:c r="K420" s="61"/>
      <x:c r="L420" s="61"/>
      <x:c r="M420" s="99"/>
      <x:c r="N420" s="72"/>
      <x:c r="O420" s="96"/>
    </x:row>
    <x:row r="421">
      <x:c r="A421" s="56"/>
      <x:c r="B421" s="61"/>
      <x:c r="C421" s="61"/>
      <x:c r="D421" s="61"/>
      <x:c r="E421" s="66"/>
      <x:c r="F421" s="85"/>
      <x:c r="G421" s="85"/>
      <x:c r="H421" s="71"/>
      <x:c r="I421" s="61"/>
      <x:c r="J421" s="66"/>
      <x:c r="K421" s="61"/>
      <x:c r="L421" s="61"/>
      <x:c r="M421" s="99"/>
      <x:c r="N421" s="71"/>
      <x:c r="O421" s="95"/>
    </x:row>
    <x:row r="422">
      <x:c r="A422" s="56"/>
      <x:c r="B422" s="61"/>
      <x:c r="C422" s="61"/>
      <x:c r="D422" s="61"/>
      <x:c r="E422" s="66"/>
      <x:c r="F422" s="85"/>
      <x:c r="G422" s="85"/>
      <x:c r="H422" s="72"/>
      <x:c r="I422" s="61"/>
      <x:c r="J422" s="66"/>
      <x:c r="K422" s="61"/>
      <x:c r="L422" s="61"/>
      <x:c r="M422" s="99"/>
      <x:c r="N422" s="72"/>
      <x:c r="O422" s="96"/>
    </x:row>
    <x:row r="423">
      <x:c r="A423" s="56"/>
      <x:c r="B423" s="61"/>
      <x:c r="C423" s="61"/>
      <x:c r="D423" s="61"/>
      <x:c r="E423" s="66"/>
      <x:c r="F423" s="85"/>
      <x:c r="G423" s="85"/>
      <x:c r="H423" s="71"/>
      <x:c r="I423" s="61"/>
      <x:c r="J423" s="66"/>
      <x:c r="K423" s="61"/>
      <x:c r="L423" s="61"/>
      <x:c r="M423" s="99"/>
      <x:c r="N423" s="71"/>
      <x:c r="O423" s="95"/>
    </x:row>
    <x:row r="424">
      <x:c r="A424" s="56"/>
      <x:c r="B424" s="61"/>
      <x:c r="C424" s="61"/>
      <x:c r="D424" s="61"/>
      <x:c r="E424" s="66"/>
      <x:c r="F424" s="85"/>
      <x:c r="G424" s="85"/>
      <x:c r="H424" s="72"/>
      <x:c r="I424" s="61"/>
      <x:c r="J424" s="66"/>
      <x:c r="K424" s="61"/>
      <x:c r="L424" s="61"/>
      <x:c r="M424" s="99"/>
      <x:c r="N424" s="72"/>
      <x:c r="O424" s="96"/>
    </x:row>
    <x:row r="425">
      <x:c r="A425" s="56"/>
      <x:c r="B425" s="61"/>
      <x:c r="C425" s="61"/>
      <x:c r="D425" s="61"/>
      <x:c r="E425" s="66"/>
      <x:c r="F425" s="85"/>
      <x:c r="G425" s="85"/>
      <x:c r="H425" s="71"/>
      <x:c r="I425" s="61"/>
      <x:c r="J425" s="66"/>
      <x:c r="K425" s="61"/>
      <x:c r="L425" s="61"/>
      <x:c r="M425" s="99"/>
      <x:c r="N425" s="71"/>
      <x:c r="O425" s="95"/>
    </x:row>
    <x:row r="426">
      <x:c r="A426" s="56"/>
      <x:c r="B426" s="61"/>
      <x:c r="C426" s="61"/>
      <x:c r="D426" s="61"/>
      <x:c r="E426" s="66"/>
      <x:c r="F426" s="85"/>
      <x:c r="G426" s="85"/>
      <x:c r="H426" s="72"/>
      <x:c r="I426" s="61"/>
      <x:c r="J426" s="66"/>
      <x:c r="K426" s="61"/>
      <x:c r="L426" s="61"/>
      <x:c r="M426" s="99"/>
      <x:c r="N426" s="72"/>
      <x:c r="O426" s="96"/>
    </x:row>
    <x:row r="427">
      <x:c r="A427" s="56"/>
      <x:c r="B427" s="61"/>
      <x:c r="C427" s="61"/>
      <x:c r="D427" s="61"/>
      <x:c r="E427" s="66"/>
      <x:c r="F427" s="85"/>
      <x:c r="G427" s="85"/>
      <x:c r="H427" s="71"/>
      <x:c r="I427" s="61"/>
      <x:c r="J427" s="66"/>
      <x:c r="K427" s="61"/>
      <x:c r="L427" s="61"/>
      <x:c r="M427" s="99"/>
      <x:c r="N427" s="71"/>
      <x:c r="O427" s="95"/>
    </x:row>
    <x:row r="428">
      <x:c r="A428" s="56"/>
      <x:c r="B428" s="61"/>
      <x:c r="C428" s="61"/>
      <x:c r="D428" s="61"/>
      <x:c r="E428" s="66"/>
      <x:c r="F428" s="85"/>
      <x:c r="G428" s="85"/>
      <x:c r="H428" s="72"/>
      <x:c r="I428" s="61"/>
      <x:c r="J428" s="66"/>
      <x:c r="K428" s="61"/>
      <x:c r="L428" s="61"/>
      <x:c r="M428" s="99"/>
      <x:c r="N428" s="72"/>
      <x:c r="O428" s="96"/>
    </x:row>
    <x:row r="429">
      <x:c r="A429" s="56"/>
      <x:c r="B429" s="61"/>
      <x:c r="C429" s="61"/>
      <x:c r="D429" s="61"/>
      <x:c r="E429" s="66"/>
      <x:c r="F429" s="85"/>
      <x:c r="G429" s="85"/>
      <x:c r="H429" s="71"/>
      <x:c r="I429" s="61"/>
      <x:c r="J429" s="66"/>
      <x:c r="K429" s="61"/>
      <x:c r="L429" s="61"/>
      <x:c r="M429" s="99"/>
      <x:c r="N429" s="71"/>
      <x:c r="O429" s="95"/>
    </x:row>
    <x:row r="430">
      <x:c r="A430" s="56"/>
      <x:c r="B430" s="61"/>
      <x:c r="C430" s="61"/>
      <x:c r="D430" s="61"/>
      <x:c r="E430" s="66"/>
      <x:c r="F430" s="85"/>
      <x:c r="G430" s="85"/>
      <x:c r="H430" s="72"/>
      <x:c r="I430" s="61"/>
      <x:c r="J430" s="66"/>
      <x:c r="K430" s="61"/>
      <x:c r="L430" s="61"/>
      <x:c r="M430" s="99"/>
      <x:c r="N430" s="72"/>
      <x:c r="O430" s="96"/>
    </x:row>
    <x:row r="431">
      <x:c r="A431" s="56"/>
      <x:c r="B431" s="61"/>
      <x:c r="C431" s="61"/>
      <x:c r="D431" s="61"/>
      <x:c r="E431" s="66"/>
      <x:c r="F431" s="85"/>
      <x:c r="G431" s="85"/>
      <x:c r="H431" s="71"/>
      <x:c r="I431" s="61"/>
      <x:c r="J431" s="66"/>
      <x:c r="K431" s="61"/>
      <x:c r="L431" s="61"/>
      <x:c r="M431" s="99"/>
      <x:c r="N431" s="71"/>
      <x:c r="O431" s="95"/>
    </x:row>
    <x:row r="432">
      <x:c r="A432" s="56"/>
      <x:c r="B432" s="61"/>
      <x:c r="C432" s="61"/>
      <x:c r="D432" s="61"/>
      <x:c r="E432" s="66"/>
      <x:c r="F432" s="85"/>
      <x:c r="G432" s="85"/>
      <x:c r="H432" s="72"/>
      <x:c r="I432" s="61"/>
      <x:c r="J432" s="66"/>
      <x:c r="K432" s="61"/>
      <x:c r="L432" s="61"/>
      <x:c r="M432" s="99"/>
      <x:c r="N432" s="72"/>
      <x:c r="O432" s="96"/>
    </x:row>
    <x:row r="433">
      <x:c r="A433" s="56"/>
      <x:c r="B433" s="61"/>
      <x:c r="C433" s="61"/>
      <x:c r="D433" s="61"/>
      <x:c r="E433" s="66"/>
      <x:c r="F433" s="85"/>
      <x:c r="G433" s="85"/>
      <x:c r="H433" s="71"/>
      <x:c r="I433" s="61"/>
      <x:c r="J433" s="66"/>
      <x:c r="K433" s="61"/>
      <x:c r="L433" s="61"/>
      <x:c r="M433" s="99"/>
      <x:c r="N433" s="71"/>
      <x:c r="O433" s="95"/>
    </x:row>
    <x:row r="434">
      <x:c r="A434" s="56"/>
      <x:c r="B434" s="61"/>
      <x:c r="C434" s="61"/>
      <x:c r="D434" s="61"/>
      <x:c r="E434" s="66"/>
      <x:c r="F434" s="85"/>
      <x:c r="G434" s="85"/>
      <x:c r="H434" s="72"/>
      <x:c r="I434" s="61"/>
      <x:c r="J434" s="66"/>
      <x:c r="K434" s="61"/>
      <x:c r="L434" s="61"/>
      <x:c r="M434" s="99"/>
      <x:c r="N434" s="72"/>
      <x:c r="O434" s="96"/>
    </x:row>
    <x:row r="435">
      <x:c r="A435" s="56"/>
      <x:c r="B435" s="61"/>
      <x:c r="C435" s="61"/>
      <x:c r="D435" s="61"/>
      <x:c r="E435" s="66"/>
      <x:c r="F435" s="85"/>
      <x:c r="G435" s="85"/>
      <x:c r="H435" s="71"/>
      <x:c r="I435" s="61"/>
      <x:c r="J435" s="66"/>
      <x:c r="K435" s="61"/>
      <x:c r="L435" s="61"/>
      <x:c r="M435" s="99"/>
      <x:c r="N435" s="71"/>
      <x:c r="O435" s="95"/>
    </x:row>
    <x:row r="436">
      <x:c r="A436" s="56"/>
      <x:c r="B436" s="61"/>
      <x:c r="C436" s="61"/>
      <x:c r="D436" s="61"/>
      <x:c r="E436" s="66"/>
      <x:c r="F436" s="85"/>
      <x:c r="G436" s="85"/>
      <x:c r="H436" s="72"/>
      <x:c r="I436" s="61"/>
      <x:c r="J436" s="66"/>
      <x:c r="K436" s="61"/>
      <x:c r="L436" s="61"/>
      <x:c r="M436" s="99"/>
      <x:c r="N436" s="72"/>
      <x:c r="O436" s="96"/>
    </x:row>
    <x:row r="437">
      <x:c r="A437" s="56"/>
      <x:c r="B437" s="61"/>
      <x:c r="C437" s="61"/>
      <x:c r="D437" s="61"/>
      <x:c r="E437" s="66"/>
      <x:c r="F437" s="85"/>
      <x:c r="G437" s="85"/>
      <x:c r="H437" s="71"/>
      <x:c r="I437" s="61"/>
      <x:c r="J437" s="66"/>
      <x:c r="K437" s="61"/>
      <x:c r="L437" s="61"/>
      <x:c r="M437" s="99"/>
      <x:c r="N437" s="71"/>
      <x:c r="O437" s="95"/>
    </x:row>
    <x:row r="438">
      <x:c r="A438" s="56"/>
      <x:c r="B438" s="61"/>
      <x:c r="C438" s="61"/>
      <x:c r="D438" s="61"/>
      <x:c r="E438" s="66"/>
      <x:c r="F438" s="85"/>
      <x:c r="G438" s="85"/>
      <x:c r="H438" s="72"/>
      <x:c r="I438" s="61"/>
      <x:c r="J438" s="66"/>
      <x:c r="K438" s="61"/>
      <x:c r="L438" s="61"/>
      <x:c r="M438" s="99"/>
      <x:c r="N438" s="72"/>
      <x:c r="O438" s="96"/>
    </x:row>
    <x:row r="439">
      <x:c r="A439" s="56"/>
      <x:c r="B439" s="61"/>
      <x:c r="C439" s="61"/>
      <x:c r="D439" s="61"/>
      <x:c r="E439" s="66"/>
      <x:c r="F439" s="85"/>
      <x:c r="G439" s="85"/>
      <x:c r="H439" s="71"/>
      <x:c r="I439" s="61"/>
      <x:c r="J439" s="66"/>
      <x:c r="K439" s="61"/>
      <x:c r="L439" s="61"/>
      <x:c r="M439" s="99"/>
      <x:c r="N439" s="71"/>
      <x:c r="O439" s="95"/>
    </x:row>
    <x:row r="440">
      <x:c r="A440" s="56"/>
      <x:c r="B440" s="61"/>
      <x:c r="C440" s="61"/>
      <x:c r="D440" s="61"/>
      <x:c r="E440" s="66"/>
      <x:c r="F440" s="85"/>
      <x:c r="G440" s="85"/>
      <x:c r="H440" s="72"/>
      <x:c r="I440" s="61"/>
      <x:c r="J440" s="66"/>
      <x:c r="K440" s="61"/>
      <x:c r="L440" s="61"/>
      <x:c r="M440" s="99"/>
      <x:c r="N440" s="72"/>
      <x:c r="O440" s="96"/>
    </x:row>
    <x:row r="441">
      <x:c r="A441" s="56"/>
      <x:c r="B441" s="61"/>
      <x:c r="C441" s="61"/>
      <x:c r="D441" s="61"/>
      <x:c r="E441" s="66"/>
      <x:c r="F441" s="85"/>
      <x:c r="G441" s="85"/>
      <x:c r="H441" s="71"/>
      <x:c r="I441" s="61"/>
      <x:c r="J441" s="66"/>
      <x:c r="K441" s="61"/>
      <x:c r="L441" s="61"/>
      <x:c r="M441" s="99"/>
      <x:c r="N441" s="71"/>
      <x:c r="O441" s="95"/>
    </x:row>
    <x:row r="442">
      <x:c r="A442" s="56"/>
      <x:c r="B442" s="61"/>
      <x:c r="C442" s="61"/>
      <x:c r="D442" s="61"/>
      <x:c r="E442" s="66"/>
      <x:c r="F442" s="85"/>
      <x:c r="G442" s="85"/>
      <x:c r="H442" s="72"/>
      <x:c r="I442" s="61"/>
      <x:c r="J442" s="66"/>
      <x:c r="K442" s="61"/>
      <x:c r="L442" s="61"/>
      <x:c r="M442" s="99"/>
      <x:c r="N442" s="72"/>
      <x:c r="O442" s="96"/>
    </x:row>
    <x:row r="443">
      <x:c r="A443" s="56"/>
      <x:c r="B443" s="61"/>
      <x:c r="C443" s="61"/>
      <x:c r="D443" s="61"/>
      <x:c r="E443" s="66"/>
      <x:c r="F443" s="85"/>
      <x:c r="G443" s="85"/>
      <x:c r="H443" s="71"/>
      <x:c r="I443" s="61"/>
      <x:c r="J443" s="66"/>
      <x:c r="K443" s="61"/>
      <x:c r="L443" s="61"/>
      <x:c r="M443" s="99"/>
      <x:c r="N443" s="71"/>
      <x:c r="O443" s="95"/>
    </x:row>
    <x:row r="444">
      <x:c r="A444" s="56"/>
      <x:c r="B444" s="61"/>
      <x:c r="C444" s="61"/>
      <x:c r="D444" s="61"/>
      <x:c r="E444" s="66"/>
      <x:c r="F444" s="85"/>
      <x:c r="G444" s="85"/>
      <x:c r="H444" s="72"/>
      <x:c r="I444" s="61"/>
      <x:c r="J444" s="66"/>
      <x:c r="K444" s="61"/>
      <x:c r="L444" s="61"/>
      <x:c r="M444" s="99"/>
      <x:c r="N444" s="72"/>
      <x:c r="O444" s="96"/>
    </x:row>
    <x:row r="445">
      <x:c r="A445" s="56"/>
      <x:c r="B445" s="61"/>
      <x:c r="C445" s="61"/>
      <x:c r="D445" s="61"/>
      <x:c r="E445" s="66"/>
      <x:c r="F445" s="85"/>
      <x:c r="G445" s="85"/>
      <x:c r="H445" s="71"/>
      <x:c r="I445" s="61"/>
      <x:c r="J445" s="66"/>
      <x:c r="K445" s="61"/>
      <x:c r="L445" s="61"/>
      <x:c r="M445" s="99"/>
      <x:c r="N445" s="71"/>
      <x:c r="O445" s="95"/>
    </x:row>
    <x:row r="446">
      <x:c r="A446" s="56"/>
      <x:c r="B446" s="61"/>
      <x:c r="C446" s="61"/>
      <x:c r="D446" s="61"/>
      <x:c r="E446" s="66"/>
      <x:c r="F446" s="85"/>
      <x:c r="G446" s="85"/>
      <x:c r="H446" s="72"/>
      <x:c r="I446" s="61"/>
      <x:c r="J446" s="66"/>
      <x:c r="K446" s="61"/>
      <x:c r="L446" s="61"/>
      <x:c r="M446" s="99"/>
      <x:c r="N446" s="72"/>
      <x:c r="O446" s="96"/>
    </x:row>
    <x:row r="447">
      <x:c r="A447" s="56"/>
      <x:c r="B447" s="61"/>
      <x:c r="C447" s="61"/>
      <x:c r="D447" s="61"/>
      <x:c r="E447" s="66"/>
      <x:c r="F447" s="85"/>
      <x:c r="G447" s="85"/>
      <x:c r="H447" s="71"/>
      <x:c r="I447" s="61"/>
      <x:c r="J447" s="66"/>
      <x:c r="K447" s="61"/>
      <x:c r="L447" s="61"/>
      <x:c r="M447" s="99"/>
      <x:c r="N447" s="71"/>
      <x:c r="O447" s="95"/>
    </x:row>
    <x:row r="448">
      <x:c r="A448" s="56"/>
      <x:c r="B448" s="61"/>
      <x:c r="C448" s="61"/>
      <x:c r="D448" s="61"/>
      <x:c r="E448" s="66"/>
      <x:c r="F448" s="85"/>
      <x:c r="G448" s="85"/>
      <x:c r="H448" s="72"/>
      <x:c r="I448" s="61"/>
      <x:c r="J448" s="66"/>
      <x:c r="K448" s="61"/>
      <x:c r="L448" s="61"/>
      <x:c r="M448" s="99"/>
      <x:c r="N448" s="72"/>
      <x:c r="O448" s="96"/>
    </x:row>
    <x:row r="449">
      <x:c r="A449" s="56"/>
      <x:c r="B449" s="61"/>
      <x:c r="C449" s="61"/>
      <x:c r="D449" s="61"/>
      <x:c r="E449" s="66"/>
      <x:c r="F449" s="85"/>
      <x:c r="G449" s="85"/>
      <x:c r="H449" s="71"/>
      <x:c r="I449" s="61"/>
      <x:c r="J449" s="66"/>
      <x:c r="K449" s="61"/>
      <x:c r="L449" s="61"/>
      <x:c r="M449" s="99"/>
      <x:c r="N449" s="71"/>
      <x:c r="O449" s="95"/>
    </x:row>
    <x:row r="450">
      <x:c r="A450" s="56"/>
      <x:c r="B450" s="61"/>
      <x:c r="C450" s="61"/>
      <x:c r="D450" s="61"/>
      <x:c r="E450" s="66"/>
      <x:c r="F450" s="85"/>
      <x:c r="G450" s="85"/>
      <x:c r="H450" s="72"/>
      <x:c r="I450" s="61"/>
      <x:c r="J450" s="66"/>
      <x:c r="K450" s="61"/>
      <x:c r="L450" s="61"/>
      <x:c r="M450" s="99"/>
      <x:c r="N450" s="72"/>
      <x:c r="O450" s="96"/>
    </x:row>
    <x:row r="451">
      <x:c r="A451" s="56"/>
      <x:c r="B451" s="61"/>
      <x:c r="C451" s="61"/>
      <x:c r="D451" s="61"/>
      <x:c r="E451" s="66"/>
      <x:c r="F451" s="85"/>
      <x:c r="G451" s="85"/>
      <x:c r="H451" s="71"/>
      <x:c r="I451" s="61"/>
      <x:c r="J451" s="66"/>
      <x:c r="K451" s="61"/>
      <x:c r="L451" s="61"/>
      <x:c r="M451" s="99"/>
      <x:c r="N451" s="71"/>
      <x:c r="O451" s="95"/>
    </x:row>
    <x:row r="452">
      <x:c r="A452" s="56"/>
      <x:c r="B452" s="61"/>
      <x:c r="C452" s="61"/>
      <x:c r="D452" s="61"/>
      <x:c r="E452" s="66"/>
      <x:c r="F452" s="85"/>
      <x:c r="G452" s="85"/>
      <x:c r="H452" s="72"/>
      <x:c r="I452" s="61"/>
      <x:c r="J452" s="66"/>
      <x:c r="K452" s="61"/>
      <x:c r="L452" s="61"/>
      <x:c r="M452" s="99"/>
      <x:c r="N452" s="72"/>
      <x:c r="O452" s="96"/>
    </x:row>
    <x:row r="453">
      <x:c r="A453" s="56"/>
      <x:c r="B453" s="61"/>
      <x:c r="C453" s="61"/>
      <x:c r="D453" s="61"/>
      <x:c r="E453" s="66"/>
      <x:c r="F453" s="85"/>
      <x:c r="G453" s="85"/>
      <x:c r="H453" s="71"/>
      <x:c r="I453" s="61"/>
      <x:c r="J453" s="66"/>
      <x:c r="K453" s="61"/>
      <x:c r="L453" s="61"/>
      <x:c r="M453" s="99"/>
      <x:c r="N453" s="71"/>
      <x:c r="O453" s="95"/>
    </x:row>
    <x:row r="454">
      <x:c r="A454" s="56"/>
      <x:c r="B454" s="61"/>
      <x:c r="C454" s="61"/>
      <x:c r="D454" s="61"/>
      <x:c r="E454" s="66"/>
      <x:c r="F454" s="85"/>
      <x:c r="G454" s="85"/>
      <x:c r="H454" s="72"/>
      <x:c r="I454" s="61"/>
      <x:c r="J454" s="66"/>
      <x:c r="K454" s="61"/>
      <x:c r="L454" s="61"/>
      <x:c r="M454" s="99"/>
      <x:c r="N454" s="72"/>
      <x:c r="O454" s="96"/>
    </x:row>
    <x:row r="455">
      <x:c r="A455" s="56"/>
      <x:c r="B455" s="61"/>
      <x:c r="C455" s="61"/>
      <x:c r="D455" s="61"/>
      <x:c r="E455" s="66"/>
      <x:c r="F455" s="85"/>
      <x:c r="G455" s="85"/>
      <x:c r="H455" s="71"/>
      <x:c r="I455" s="61"/>
      <x:c r="J455" s="66"/>
      <x:c r="K455" s="61"/>
      <x:c r="L455" s="61"/>
      <x:c r="M455" s="99"/>
      <x:c r="N455" s="71"/>
      <x:c r="O455" s="95"/>
    </x:row>
    <x:row r="456">
      <x:c r="A456" s="56"/>
      <x:c r="B456" s="61"/>
      <x:c r="C456" s="61"/>
      <x:c r="D456" s="61"/>
      <x:c r="E456" s="66"/>
      <x:c r="F456" s="85"/>
      <x:c r="G456" s="85"/>
      <x:c r="H456" s="72"/>
      <x:c r="I456" s="61"/>
      <x:c r="J456" s="66"/>
      <x:c r="K456" s="61"/>
      <x:c r="L456" s="61"/>
      <x:c r="M456" s="99"/>
      <x:c r="N456" s="72"/>
      <x:c r="O456" s="96"/>
    </x:row>
    <x:row r="457">
      <x:c r="A457" s="56"/>
      <x:c r="B457" s="61"/>
      <x:c r="C457" s="61"/>
      <x:c r="D457" s="61"/>
      <x:c r="E457" s="66"/>
      <x:c r="F457" s="85"/>
      <x:c r="G457" s="85"/>
      <x:c r="H457" s="71"/>
      <x:c r="I457" s="61"/>
      <x:c r="J457" s="66"/>
      <x:c r="K457" s="61"/>
      <x:c r="L457" s="61"/>
      <x:c r="M457" s="99"/>
      <x:c r="N457" s="71"/>
      <x:c r="O457" s="95"/>
    </x:row>
    <x:row r="458">
      <x:c r="A458" s="56"/>
      <x:c r="B458" s="61"/>
      <x:c r="C458" s="61"/>
      <x:c r="D458" s="61"/>
      <x:c r="E458" s="66"/>
      <x:c r="F458" s="85"/>
      <x:c r="G458" s="85"/>
      <x:c r="H458" s="72"/>
      <x:c r="I458" s="61"/>
      <x:c r="J458" s="66"/>
      <x:c r="K458" s="61"/>
      <x:c r="L458" s="61"/>
      <x:c r="M458" s="99"/>
      <x:c r="N458" s="72"/>
      <x:c r="O458" s="96"/>
    </x:row>
    <x:row r="459">
      <x:c r="A459" s="56"/>
      <x:c r="B459" s="61"/>
      <x:c r="C459" s="61"/>
      <x:c r="D459" s="61"/>
      <x:c r="E459" s="66"/>
      <x:c r="F459" s="85"/>
      <x:c r="G459" s="85"/>
      <x:c r="H459" s="71"/>
      <x:c r="I459" s="61"/>
      <x:c r="J459" s="66"/>
      <x:c r="K459" s="61"/>
      <x:c r="L459" s="61"/>
      <x:c r="M459" s="99"/>
      <x:c r="N459" s="71"/>
      <x:c r="O459" s="95"/>
    </x:row>
    <x:row r="460">
      <x:c r="A460" s="56"/>
      <x:c r="B460" s="61"/>
      <x:c r="C460" s="61"/>
      <x:c r="D460" s="61"/>
      <x:c r="E460" s="66"/>
      <x:c r="F460" s="85"/>
      <x:c r="G460" s="85"/>
      <x:c r="H460" s="72"/>
      <x:c r="I460" s="61"/>
      <x:c r="J460" s="66"/>
      <x:c r="K460" s="61"/>
      <x:c r="L460" s="61"/>
      <x:c r="M460" s="99"/>
      <x:c r="N460" s="72"/>
      <x:c r="O460" s="96"/>
    </x:row>
    <x:row r="461">
      <x:c r="A461" s="56"/>
      <x:c r="B461" s="61"/>
      <x:c r="C461" s="61"/>
      <x:c r="D461" s="61"/>
      <x:c r="E461" s="66"/>
      <x:c r="F461" s="85"/>
      <x:c r="G461" s="85"/>
      <x:c r="H461" s="71"/>
      <x:c r="I461" s="61"/>
      <x:c r="J461" s="66"/>
      <x:c r="K461" s="61"/>
      <x:c r="L461" s="61"/>
      <x:c r="M461" s="99"/>
      <x:c r="N461" s="71"/>
      <x:c r="O461" s="95"/>
    </x:row>
    <x:row r="462">
      <x:c r="A462" s="56"/>
      <x:c r="B462" s="61"/>
      <x:c r="C462" s="61"/>
      <x:c r="D462" s="61"/>
      <x:c r="E462" s="66"/>
      <x:c r="F462" s="85"/>
      <x:c r="G462" s="85"/>
      <x:c r="H462" s="72"/>
      <x:c r="I462" s="61"/>
      <x:c r="J462" s="66"/>
      <x:c r="K462" s="61"/>
      <x:c r="L462" s="61"/>
      <x:c r="M462" s="99"/>
      <x:c r="N462" s="72"/>
      <x:c r="O462" s="96"/>
    </x:row>
    <x:row r="463">
      <x:c r="A463" s="56"/>
      <x:c r="B463" s="61"/>
      <x:c r="C463" s="61"/>
      <x:c r="D463" s="61"/>
      <x:c r="E463" s="66"/>
      <x:c r="F463" s="85"/>
      <x:c r="G463" s="85"/>
      <x:c r="H463" s="71"/>
      <x:c r="I463" s="61"/>
      <x:c r="J463" s="66"/>
      <x:c r="K463" s="61"/>
      <x:c r="L463" s="61"/>
      <x:c r="M463" s="99"/>
      <x:c r="N463" s="71"/>
      <x:c r="O463" s="95"/>
    </x:row>
    <x:row r="464">
      <x:c r="A464" s="56"/>
      <x:c r="B464" s="61"/>
      <x:c r="C464" s="61"/>
      <x:c r="D464" s="61"/>
      <x:c r="E464" s="66"/>
      <x:c r="F464" s="85"/>
      <x:c r="G464" s="85"/>
      <x:c r="H464" s="72"/>
      <x:c r="I464" s="61"/>
      <x:c r="J464" s="66"/>
      <x:c r="K464" s="61"/>
      <x:c r="L464" s="61"/>
      <x:c r="M464" s="99"/>
      <x:c r="N464" s="72"/>
      <x:c r="O464" s="96"/>
    </x:row>
    <x:row r="465">
      <x:c r="A465" s="56"/>
      <x:c r="B465" s="61"/>
      <x:c r="C465" s="61"/>
      <x:c r="D465" s="61"/>
      <x:c r="E465" s="66"/>
      <x:c r="F465" s="85"/>
      <x:c r="G465" s="85"/>
      <x:c r="H465" s="71"/>
      <x:c r="I465" s="61"/>
      <x:c r="J465" s="66"/>
      <x:c r="K465" s="61"/>
      <x:c r="L465" s="61"/>
      <x:c r="M465" s="99"/>
      <x:c r="N465" s="71"/>
      <x:c r="O465" s="95"/>
    </x:row>
    <x:row r="466">
      <x:c r="A466" s="56"/>
      <x:c r="B466" s="61"/>
      <x:c r="C466" s="61"/>
      <x:c r="D466" s="61"/>
      <x:c r="E466" s="66"/>
      <x:c r="F466" s="85"/>
      <x:c r="G466" s="85"/>
      <x:c r="H466" s="72"/>
      <x:c r="I466" s="61"/>
      <x:c r="J466" s="66"/>
      <x:c r="K466" s="61"/>
      <x:c r="L466" s="61"/>
      <x:c r="M466" s="99"/>
      <x:c r="N466" s="72"/>
      <x:c r="O466" s="96"/>
    </x:row>
    <x:row r="467">
      <x:c r="A467" s="56"/>
      <x:c r="B467" s="61"/>
      <x:c r="C467" s="61"/>
      <x:c r="D467" s="61"/>
      <x:c r="E467" s="66"/>
      <x:c r="F467" s="85"/>
      <x:c r="G467" s="85"/>
      <x:c r="H467" s="71"/>
      <x:c r="I467" s="61"/>
      <x:c r="J467" s="66"/>
      <x:c r="K467" s="61"/>
      <x:c r="L467" s="61"/>
      <x:c r="M467" s="99"/>
      <x:c r="N467" s="71"/>
      <x:c r="O467" s="95"/>
    </x:row>
    <x:row r="468">
      <x:c r="A468" s="56"/>
      <x:c r="B468" s="61"/>
      <x:c r="C468" s="61"/>
      <x:c r="D468" s="61"/>
      <x:c r="E468" s="66"/>
      <x:c r="F468" s="85"/>
      <x:c r="G468" s="85"/>
      <x:c r="H468" s="72"/>
      <x:c r="I468" s="61"/>
      <x:c r="J468" s="66"/>
      <x:c r="K468" s="61"/>
      <x:c r="L468" s="61"/>
      <x:c r="M468" s="99"/>
      <x:c r="N468" s="72"/>
      <x:c r="O468" s="96"/>
    </x:row>
    <x:row r="469">
      <x:c r="A469" s="56"/>
      <x:c r="B469" s="61"/>
      <x:c r="C469" s="61"/>
      <x:c r="D469" s="61"/>
      <x:c r="E469" s="66"/>
      <x:c r="F469" s="85"/>
      <x:c r="G469" s="85"/>
      <x:c r="H469" s="71"/>
      <x:c r="I469" s="61"/>
      <x:c r="J469" s="66"/>
      <x:c r="K469" s="61"/>
      <x:c r="L469" s="61"/>
      <x:c r="M469" s="99"/>
      <x:c r="N469" s="71"/>
      <x:c r="O469" s="95"/>
    </x:row>
    <x:row r="470">
      <x:c r="A470" s="56"/>
      <x:c r="B470" s="61"/>
      <x:c r="C470" s="61"/>
      <x:c r="D470" s="61"/>
      <x:c r="E470" s="66"/>
      <x:c r="F470" s="85"/>
      <x:c r="G470" s="85"/>
      <x:c r="H470" s="72"/>
      <x:c r="I470" s="61"/>
      <x:c r="J470" s="66"/>
      <x:c r="K470" s="61"/>
      <x:c r="L470" s="61"/>
      <x:c r="M470" s="99"/>
      <x:c r="N470" s="72"/>
      <x:c r="O470" s="96"/>
    </x:row>
    <x:row r="471">
      <x:c r="A471" s="56"/>
      <x:c r="B471" s="61"/>
      <x:c r="C471" s="61"/>
      <x:c r="D471" s="61"/>
      <x:c r="E471" s="66"/>
      <x:c r="F471" s="85"/>
      <x:c r="G471" s="85"/>
      <x:c r="H471" s="71"/>
      <x:c r="I471" s="61"/>
      <x:c r="J471" s="66"/>
      <x:c r="K471" s="61"/>
      <x:c r="L471" s="61"/>
      <x:c r="M471" s="99"/>
      <x:c r="N471" s="71"/>
      <x:c r="O471" s="95"/>
    </x:row>
    <x:row r="472">
      <x:c r="A472" s="56"/>
      <x:c r="B472" s="61"/>
      <x:c r="C472" s="61"/>
      <x:c r="D472" s="61"/>
      <x:c r="E472" s="66"/>
      <x:c r="F472" s="85"/>
      <x:c r="G472" s="85"/>
      <x:c r="H472" s="72"/>
      <x:c r="I472" s="61"/>
      <x:c r="J472" s="66"/>
      <x:c r="K472" s="61"/>
      <x:c r="L472" s="61"/>
      <x:c r="M472" s="99"/>
      <x:c r="N472" s="72"/>
      <x:c r="O472" s="96"/>
    </x:row>
    <x:row r="473">
      <x:c r="A473" s="56"/>
      <x:c r="B473" s="61"/>
      <x:c r="C473" s="61"/>
      <x:c r="D473" s="61"/>
      <x:c r="E473" s="66"/>
      <x:c r="F473" s="85"/>
      <x:c r="G473" s="85"/>
      <x:c r="H473" s="71"/>
      <x:c r="I473" s="61"/>
      <x:c r="J473" s="66"/>
      <x:c r="K473" s="61"/>
      <x:c r="L473" s="61"/>
      <x:c r="M473" s="99"/>
      <x:c r="N473" s="71"/>
      <x:c r="O473" s="95"/>
    </x:row>
    <x:row r="474">
      <x:c r="A474" s="56"/>
      <x:c r="B474" s="61"/>
      <x:c r="C474" s="61"/>
      <x:c r="D474" s="61"/>
      <x:c r="E474" s="66"/>
      <x:c r="F474" s="85"/>
      <x:c r="G474" s="85"/>
      <x:c r="H474" s="72"/>
      <x:c r="I474" s="61"/>
      <x:c r="J474" s="66"/>
      <x:c r="K474" s="61"/>
      <x:c r="L474" s="61"/>
      <x:c r="M474" s="99"/>
      <x:c r="N474" s="72"/>
      <x:c r="O474" s="96"/>
    </x:row>
    <x:row r="475">
      <x:c r="A475" s="56"/>
      <x:c r="B475" s="61"/>
      <x:c r="C475" s="61"/>
      <x:c r="D475" s="61"/>
      <x:c r="E475" s="66"/>
      <x:c r="F475" s="85"/>
      <x:c r="G475" s="85"/>
      <x:c r="H475" s="71"/>
      <x:c r="I475" s="61"/>
      <x:c r="J475" s="66"/>
      <x:c r="K475" s="61"/>
      <x:c r="L475" s="61"/>
      <x:c r="M475" s="99"/>
      <x:c r="N475" s="71"/>
      <x:c r="O475" s="95"/>
    </x:row>
    <x:row r="476">
      <x:c r="A476" s="56"/>
      <x:c r="B476" s="61"/>
      <x:c r="C476" s="61"/>
      <x:c r="D476" s="61"/>
      <x:c r="E476" s="66"/>
      <x:c r="F476" s="85"/>
      <x:c r="G476" s="85"/>
      <x:c r="H476" s="72"/>
      <x:c r="I476" s="61"/>
      <x:c r="J476" s="66"/>
      <x:c r="K476" s="61"/>
      <x:c r="L476" s="61"/>
      <x:c r="M476" s="99"/>
      <x:c r="N476" s="72"/>
      <x:c r="O476" s="96"/>
    </x:row>
    <x:row r="477">
      <x:c r="A477" s="56"/>
      <x:c r="B477" s="61"/>
      <x:c r="C477" s="61"/>
      <x:c r="D477" s="61"/>
      <x:c r="E477" s="66"/>
      <x:c r="F477" s="85"/>
      <x:c r="G477" s="85"/>
      <x:c r="H477" s="71"/>
      <x:c r="I477" s="61"/>
      <x:c r="J477" s="66"/>
      <x:c r="K477" s="61"/>
      <x:c r="L477" s="61"/>
      <x:c r="M477" s="99"/>
      <x:c r="N477" s="71"/>
      <x:c r="O477" s="95"/>
    </x:row>
    <x:row r="478">
      <x:c r="A478" s="56"/>
      <x:c r="B478" s="61"/>
      <x:c r="C478" s="61"/>
      <x:c r="D478" s="61"/>
      <x:c r="E478" s="66"/>
      <x:c r="F478" s="85"/>
      <x:c r="G478" s="85"/>
      <x:c r="H478" s="72"/>
      <x:c r="I478" s="61"/>
      <x:c r="J478" s="66"/>
      <x:c r="K478" s="61"/>
      <x:c r="L478" s="61"/>
      <x:c r="M478" s="99"/>
      <x:c r="N478" s="72"/>
      <x:c r="O478" s="96"/>
    </x:row>
    <x:row r="479">
      <x:c r="A479" s="56"/>
      <x:c r="B479" s="61"/>
      <x:c r="C479" s="61"/>
      <x:c r="D479" s="61"/>
      <x:c r="E479" s="66"/>
      <x:c r="F479" s="85"/>
      <x:c r="G479" s="85"/>
      <x:c r="H479" s="71"/>
      <x:c r="I479" s="61"/>
      <x:c r="J479" s="66"/>
      <x:c r="K479" s="61"/>
      <x:c r="L479" s="61"/>
      <x:c r="M479" s="99"/>
      <x:c r="N479" s="71"/>
      <x:c r="O479" s="95"/>
    </x:row>
    <x:row r="480">
      <x:c r="A480" s="56"/>
      <x:c r="B480" s="61"/>
      <x:c r="C480" s="61"/>
      <x:c r="D480" s="61"/>
      <x:c r="E480" s="66"/>
      <x:c r="F480" s="85"/>
      <x:c r="G480" s="85"/>
      <x:c r="H480" s="72"/>
      <x:c r="I480" s="61"/>
      <x:c r="J480" s="66"/>
      <x:c r="K480" s="61"/>
      <x:c r="L480" s="61"/>
      <x:c r="M480" s="99"/>
      <x:c r="N480" s="72"/>
      <x:c r="O480" s="96"/>
    </x:row>
    <x:row r="481">
      <x:c r="A481" s="56"/>
      <x:c r="B481" s="61"/>
      <x:c r="C481" s="61"/>
      <x:c r="D481" s="61"/>
      <x:c r="E481" s="66"/>
      <x:c r="F481" s="85"/>
      <x:c r="G481" s="85"/>
      <x:c r="H481" s="71"/>
      <x:c r="I481" s="61"/>
      <x:c r="J481" s="66"/>
      <x:c r="K481" s="61"/>
      <x:c r="L481" s="61"/>
      <x:c r="M481" s="99"/>
      <x:c r="N481" s="71"/>
      <x:c r="O481" s="95"/>
    </x:row>
    <x:row r="482">
      <x:c r="A482" s="56"/>
      <x:c r="B482" s="61"/>
      <x:c r="C482" s="61"/>
      <x:c r="D482" s="61"/>
      <x:c r="E482" s="66"/>
      <x:c r="F482" s="85"/>
      <x:c r="G482" s="85"/>
      <x:c r="H482" s="72"/>
      <x:c r="I482" s="61"/>
      <x:c r="J482" s="66"/>
      <x:c r="K482" s="61"/>
      <x:c r="L482" s="61"/>
      <x:c r="M482" s="99"/>
      <x:c r="N482" s="72"/>
      <x:c r="O482" s="96"/>
    </x:row>
    <x:row r="483">
      <x:c r="A483" s="56"/>
      <x:c r="B483" s="61"/>
      <x:c r="C483" s="61"/>
      <x:c r="D483" s="61"/>
      <x:c r="E483" s="66"/>
      <x:c r="F483" s="85"/>
      <x:c r="G483" s="85"/>
      <x:c r="H483" s="71"/>
      <x:c r="I483" s="61"/>
      <x:c r="J483" s="66"/>
      <x:c r="K483" s="61"/>
      <x:c r="L483" s="61"/>
      <x:c r="M483" s="99"/>
      <x:c r="N483" s="71"/>
      <x:c r="O483" s="95"/>
    </x:row>
    <x:row r="484">
      <x:c r="A484" s="56"/>
      <x:c r="B484" s="61"/>
      <x:c r="C484" s="61"/>
      <x:c r="D484" s="61"/>
      <x:c r="E484" s="66"/>
      <x:c r="F484" s="85"/>
      <x:c r="G484" s="85"/>
      <x:c r="H484" s="72"/>
      <x:c r="I484" s="61"/>
      <x:c r="J484" s="66"/>
      <x:c r="K484" s="61"/>
      <x:c r="L484" s="61"/>
      <x:c r="M484" s="99"/>
      <x:c r="N484" s="72"/>
      <x:c r="O484" s="96"/>
    </x:row>
    <x:row r="485">
      <x:c r="A485" s="56"/>
      <x:c r="B485" s="61"/>
      <x:c r="C485" s="61"/>
      <x:c r="D485" s="61"/>
      <x:c r="E485" s="66"/>
      <x:c r="F485" s="85"/>
      <x:c r="G485" s="85"/>
      <x:c r="H485" s="71"/>
      <x:c r="I485" s="61"/>
      <x:c r="J485" s="66"/>
      <x:c r="K485" s="61"/>
      <x:c r="L485" s="61"/>
      <x:c r="M485" s="99"/>
      <x:c r="N485" s="71"/>
      <x:c r="O485" s="95"/>
    </x:row>
    <x:row r="486">
      <x:c r="A486" s="56"/>
      <x:c r="B486" s="61"/>
      <x:c r="C486" s="61"/>
      <x:c r="D486" s="61"/>
      <x:c r="E486" s="66"/>
      <x:c r="F486" s="85"/>
      <x:c r="G486" s="85"/>
      <x:c r="H486" s="72"/>
      <x:c r="I486" s="61"/>
      <x:c r="J486" s="66"/>
      <x:c r="K486" s="61"/>
      <x:c r="L486" s="61"/>
      <x:c r="M486" s="99"/>
      <x:c r="N486" s="72"/>
      <x:c r="O486" s="96"/>
    </x:row>
    <x:row r="487">
      <x:c r="A487" s="56"/>
      <x:c r="B487" s="61"/>
      <x:c r="C487" s="61"/>
      <x:c r="D487" s="61"/>
      <x:c r="E487" s="66"/>
      <x:c r="F487" s="85"/>
      <x:c r="G487" s="85"/>
      <x:c r="H487" s="71"/>
      <x:c r="I487" s="61"/>
      <x:c r="J487" s="66"/>
      <x:c r="K487" s="61"/>
      <x:c r="L487" s="61"/>
      <x:c r="M487" s="99"/>
      <x:c r="N487" s="71"/>
      <x:c r="O487" s="95"/>
    </x:row>
    <x:row r="488">
      <x:c r="A488" s="56"/>
      <x:c r="B488" s="61"/>
      <x:c r="C488" s="61"/>
      <x:c r="D488" s="61"/>
      <x:c r="E488" s="66"/>
      <x:c r="F488" s="85"/>
      <x:c r="G488" s="85"/>
      <x:c r="H488" s="72"/>
      <x:c r="I488" s="61"/>
      <x:c r="J488" s="66"/>
      <x:c r="K488" s="61"/>
      <x:c r="L488" s="61"/>
      <x:c r="M488" s="99"/>
      <x:c r="N488" s="72"/>
      <x:c r="O488" s="96"/>
    </x:row>
    <x:row r="489">
      <x:c r="A489" s="56"/>
      <x:c r="B489" s="61"/>
      <x:c r="C489" s="61"/>
      <x:c r="D489" s="61"/>
      <x:c r="E489" s="66"/>
      <x:c r="F489" s="85"/>
      <x:c r="G489" s="85"/>
      <x:c r="H489" s="71"/>
      <x:c r="I489" s="61"/>
      <x:c r="J489" s="66"/>
      <x:c r="K489" s="61"/>
      <x:c r="L489" s="61"/>
      <x:c r="M489" s="99"/>
      <x:c r="N489" s="71"/>
      <x:c r="O489" s="95"/>
    </x:row>
    <x:row r="490">
      <x:c r="A490" s="56"/>
      <x:c r="B490" s="61"/>
      <x:c r="C490" s="61"/>
      <x:c r="D490" s="61"/>
      <x:c r="E490" s="66"/>
      <x:c r="F490" s="85"/>
      <x:c r="G490" s="85"/>
      <x:c r="H490" s="72"/>
      <x:c r="I490" s="61"/>
      <x:c r="J490" s="66"/>
      <x:c r="K490" s="61"/>
      <x:c r="L490" s="61"/>
      <x:c r="M490" s="99"/>
      <x:c r="N490" s="72"/>
      <x:c r="O490" s="96"/>
    </x:row>
    <x:row r="491">
      <x:c r="A491" s="56"/>
      <x:c r="B491" s="61"/>
      <x:c r="C491" s="61"/>
      <x:c r="D491" s="61"/>
      <x:c r="E491" s="66"/>
      <x:c r="F491" s="85"/>
      <x:c r="G491" s="85"/>
      <x:c r="H491" s="71"/>
      <x:c r="I491" s="61"/>
      <x:c r="J491" s="66"/>
      <x:c r="K491" s="61"/>
      <x:c r="L491" s="61"/>
      <x:c r="M491" s="99"/>
      <x:c r="N491" s="71"/>
      <x:c r="O491" s="95"/>
    </x:row>
    <x:row r="492">
      <x:c r="A492" s="56"/>
      <x:c r="B492" s="61"/>
      <x:c r="C492" s="61"/>
      <x:c r="D492" s="61"/>
      <x:c r="E492" s="66"/>
      <x:c r="F492" s="85"/>
      <x:c r="G492" s="85"/>
      <x:c r="H492" s="72"/>
      <x:c r="I492" s="61"/>
      <x:c r="J492" s="66"/>
      <x:c r="K492" s="61"/>
      <x:c r="L492" s="61"/>
      <x:c r="M492" s="99"/>
      <x:c r="N492" s="72"/>
      <x:c r="O492" s="96"/>
    </x:row>
    <x:row r="493">
      <x:c r="A493" s="56"/>
      <x:c r="B493" s="61"/>
      <x:c r="C493" s="61"/>
      <x:c r="D493" s="61"/>
      <x:c r="E493" s="66"/>
      <x:c r="F493" s="85"/>
      <x:c r="G493" s="85"/>
      <x:c r="H493" s="71"/>
      <x:c r="I493" s="61"/>
      <x:c r="J493" s="66"/>
      <x:c r="K493" s="61"/>
      <x:c r="L493" s="61"/>
      <x:c r="M493" s="99"/>
      <x:c r="N493" s="71"/>
      <x:c r="O493" s="95"/>
    </x:row>
    <x:row r="494">
      <x:c r="A494" s="56"/>
      <x:c r="B494" s="61"/>
      <x:c r="C494" s="61"/>
      <x:c r="D494" s="61"/>
      <x:c r="E494" s="66"/>
      <x:c r="F494" s="85"/>
      <x:c r="G494" s="85"/>
      <x:c r="H494" s="72"/>
      <x:c r="I494" s="61"/>
      <x:c r="J494" s="66"/>
      <x:c r="K494" s="61"/>
      <x:c r="L494" s="61"/>
      <x:c r="M494" s="99"/>
      <x:c r="N494" s="72"/>
      <x:c r="O494" s="96"/>
    </x:row>
    <x:row r="495">
      <x:c r="A495" s="56"/>
      <x:c r="B495" s="61"/>
      <x:c r="C495" s="61"/>
      <x:c r="D495" s="61"/>
      <x:c r="E495" s="66"/>
      <x:c r="F495" s="85"/>
      <x:c r="G495" s="85"/>
      <x:c r="H495" s="71"/>
      <x:c r="I495" s="61"/>
      <x:c r="J495" s="66"/>
      <x:c r="K495" s="61"/>
      <x:c r="L495" s="61"/>
      <x:c r="M495" s="99"/>
      <x:c r="N495" s="71"/>
      <x:c r="O495" s="95"/>
    </x:row>
    <x:row r="496">
      <x:c r="A496" s="56"/>
      <x:c r="B496" s="61"/>
      <x:c r="C496" s="61"/>
      <x:c r="D496" s="61"/>
      <x:c r="E496" s="66"/>
      <x:c r="F496" s="85"/>
      <x:c r="G496" s="85"/>
      <x:c r="H496" s="72"/>
      <x:c r="I496" s="61"/>
      <x:c r="J496" s="66"/>
      <x:c r="K496" s="61"/>
      <x:c r="L496" s="61"/>
      <x:c r="M496" s="99"/>
      <x:c r="N496" s="72"/>
      <x:c r="O496" s="96"/>
    </x:row>
    <x:row r="497">
      <x:c r="A497" s="56"/>
      <x:c r="B497" s="61"/>
      <x:c r="C497" s="61"/>
      <x:c r="D497" s="61"/>
      <x:c r="E497" s="66"/>
      <x:c r="F497" s="85"/>
      <x:c r="G497" s="85"/>
      <x:c r="H497" s="71"/>
      <x:c r="I497" s="61"/>
      <x:c r="J497" s="66"/>
      <x:c r="K497" s="61"/>
      <x:c r="L497" s="61"/>
      <x:c r="M497" s="99"/>
      <x:c r="N497" s="71"/>
      <x:c r="O497" s="95"/>
    </x:row>
    <x:row r="498">
      <x:c r="A498" s="56"/>
      <x:c r="B498" s="61"/>
      <x:c r="C498" s="61"/>
      <x:c r="D498" s="61"/>
      <x:c r="E498" s="66"/>
      <x:c r="F498" s="85"/>
      <x:c r="G498" s="85"/>
      <x:c r="H498" s="72"/>
      <x:c r="I498" s="61"/>
      <x:c r="J498" s="66"/>
      <x:c r="K498" s="61"/>
      <x:c r="L498" s="61"/>
      <x:c r="M498" s="99"/>
      <x:c r="N498" s="72"/>
      <x:c r="O498" s="96"/>
    </x:row>
    <x:row r="499">
      <x:c r="A499" s="56"/>
      <x:c r="B499" s="61"/>
      <x:c r="C499" s="61"/>
      <x:c r="D499" s="61"/>
      <x:c r="E499" s="66"/>
      <x:c r="F499" s="85"/>
      <x:c r="G499" s="85"/>
      <x:c r="H499" s="71"/>
      <x:c r="I499" s="61"/>
      <x:c r="J499" s="66"/>
      <x:c r="K499" s="61"/>
      <x:c r="L499" s="61"/>
      <x:c r="M499" s="99"/>
      <x:c r="N499" s="71"/>
      <x:c r="O499" s="95"/>
    </x:row>
    <x:row r="500">
      <x:c r="A500" s="57"/>
      <x:c r="B500" s="62"/>
      <x:c r="C500" s="62"/>
      <x:c r="D500" s="62"/>
      <x:c r="E500" s="67"/>
      <x:c r="F500" s="86"/>
      <x:c r="G500" s="86"/>
      <x:c r="H500" s="73"/>
      <x:c r="I500" s="62"/>
      <x:c r="J500" s="67"/>
      <x:c r="K500" s="62"/>
      <x:c r="L500" s="62"/>
      <x:c r="M500" s="100"/>
      <x:c r="N500" s="73"/>
      <x:c r="O500" s="97"/>
    </x:row>
  </x:sheetData>
  <x:conditionalFormatting sqref="I2:I301">
    <x:cfRule type="expression" dxfId="37" priority="1">
      <x:formula>I2="Bezahlt"</x:formula>
    </x:cfRule>
    <x:cfRule type="expression" dxfId="36" priority="2">
      <x:formula>AND(I2="Offen",E2&lt;TODAY())</x:formula>
    </x:cfRule>
    <x:cfRule type="expression" dxfId="35" priority="3">
      <x:formula>AND(I2="Teilbezahlt",E2&lt;TODAY())</x:formula>
    </x:cfRule>
  </x:conditionalFormatting>
  <x:conditionalFormatting sqref="I2:I500">
    <x:cfRule type="expression" dxfId="34" priority="5">
      <x:formula>I2="Bezahlt"</x:formula>
    </x:cfRule>
    <x:cfRule type="expression" dxfId="33" priority="6">
      <x:formula>I2="Offen"</x:formula>
    </x:cfRule>
    <x:cfRule type="expression" dxfId="32" priority="7">
      <x:formula>I2="Teilbezahlt"</x:formula>
    </x:cfRule>
  </x:conditionalFormatting>
  <x:conditionalFormatting sqref="M2:M301">
    <x:cfRule type="expression" dxfId="31" priority="4">
      <x:formula>AND($F2&lt;&gt;"",$M2=0)</x:formula>
    </x:cfRule>
  </x:conditionalFormatting>
  <x:dataValidations count="2">
    <x:dataValidation type="list" sqref="M2:M301">
      <x:formula1>"0,0.07,0.19"</x:formula1>
    </x:dataValidation>
    <x:dataValidation type="list" sqref="I2:I500">
      <x:formula1>"Offen,Teilbezahlt,Bezahlt,Storniert"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a839af15274f1e"/>
  </x:tableParts>
</x:worksheet>
</file>

<file path=xl/worksheets/sheet5.xml><?xml version="1.0" encoding="utf-8"?>
<x:worksheet xmlns:x="http://schemas.openxmlformats.org/spreadsheetml/2006/main">
  <x:sheetFormatPr baseColWidth="10" defaultColWidth="8.796875" defaultRowHeight="13.800000190734863"/>
  <x:cols>
    <x:col min="1" max="1" width="14" customWidth="1"/>
    <x:col min="2" max="2" width="23" customWidth="1"/>
    <x:col min="3" max="3" width="18" customWidth="1"/>
    <x:col min="4" max="5" width="20" customWidth="1"/>
    <x:col min="6" max="6" width="16" customWidth="1"/>
    <x:col min="7" max="7" width="17" customWidth="1"/>
    <x:col min="8" max="8" width="19" customWidth="1"/>
    <x:col min="9" max="9" width="15" customWidth="1"/>
    <x:col min="10" max="10" width="17" customWidth="1"/>
    <x:col min="11" max="11" width="16" customWidth="1"/>
    <x:col min="12" max="12" width="28" customWidth="1"/>
    <x:col min="13" max="13" width="12" customWidth="1"/>
    <x:col min="14" max="14" width="16" customWidth="1"/>
    <x:col min="15" max="15" width="17" customWidth="1"/>
    <x:col min="16" max="17" width="18" customWidth="1"/>
    <x:col min="18" max="18" width="17" customWidth="1"/>
    <x:col min="19" max="19" width="16" customWidth="1"/>
    <x:col min="20" max="20" width="12" customWidth="1"/>
    <x:col min="21" max="21" width="16" customWidth="1"/>
    <x:col min="22" max="22" width="24" customWidth="1"/>
  </x:cols>
  <x:sheetData>
    <x:row r="1" ht="28.799999237060547" customHeight="1">
      <x:c r="A1" s="166" t="s">
        <x:v>144</x:v>
      </x:c>
      <x:c r="B1" s="166" t="s">
        <x:v>121</x:v>
      </x:c>
      <x:c r="C1" s="166" t="s">
        <x:v>145</x:v>
      </x:c>
      <x:c r="D1" s="166" t="s">
        <x:v>146</x:v>
      </x:c>
      <x:c r="E1" s="166" t="s">
        <x:v>42</x:v>
      </x:c>
      <x:c r="F1" s="166" t="s">
        <x:v>147</x:v>
      </x:c>
      <x:c r="G1" s="166" t="s">
        <x:v>148</x:v>
      </x:c>
      <x:c r="H1" s="166" t="s">
        <x:v>149</x:v>
      </x:c>
      <x:c r="I1" s="166" t="s">
        <x:v>150</x:v>
      </x:c>
      <x:c r="J1" s="166" t="s">
        <x:v>151</x:v>
      </x:c>
      <x:c r="K1" s="166" t="s">
        <x:v>152</x:v>
      </x:c>
      <x:c r="L1" s="166" t="s">
        <x:v>96</x:v>
      </x:c>
      <x:c r="M1" s="167" t="s">
        <x:v>153</x:v>
      </x:c>
      <x:c r="N1" s="167" t="s">
        <x:v>154</x:v>
      </x:c>
      <x:c r="O1" s="167" t="s">
        <x:v>155</x:v>
      </x:c>
      <x:c r="P1" s="167" t="s">
        <x:v>156</x:v>
      </x:c>
      <x:c r="Q1" s="167" t="s">
        <x:v>157</x:v>
      </x:c>
      <x:c r="R1" s="167" t="s">
        <x:v>158</x:v>
      </x:c>
      <x:c r="S1" s="167" t="s">
        <x:v>159</x:v>
      </x:c>
      <x:c r="T1" s="167" t="s">
        <x:v>160</x:v>
      </x:c>
      <x:c r="U1" s="167" t="s">
        <x:v>161</x:v>
      </x:c>
      <x:c r="V1" s="167" t="s">
        <x:v>162</x:v>
      </x:c>
    </x:row>
    <x:row r="2">
      <x:c r="A2" s="168"/>
      <x:c r="B2" s="168"/>
      <x:c r="C2" s="168"/>
      <x:c r="D2" s="168"/>
      <x:c r="E2" s="168"/>
      <x:c r="F2" s="169"/>
      <x:c r="G2" s="169"/>
      <x:c r="H2" s="170"/>
      <x:c r="I2" s="168"/>
      <x:c r="J2" s="168"/>
      <x:c r="K2" s="168"/>
      <x:c r="L2" s="168"/>
      <x:c r="M2" s="173" t="str">
        <x:f>IF(E2="","",IFERROR(VLOOKUP(E2,Einstellungen!$I$2:$J$9,2,FALSE),0))</x:f>
      </x:c>
      <x:c r="N2" s="174" t="n">
        <x:f>IF(B2="",0,SUMIF(Eingangsrechnungen!$C:$C,B2,Eingangsrechnungen!$F:$F)+SUMIF(Eingangsrechnungen!$C:$C,A2,Eingangsrechnungen!$F:$F))</x:f>
        <x:v>0</x:v>
      </x:c>
      <x:c r="O2" s="174" t="n">
        <x:f>IF(B2="",0,SUMIF(Ausgangsrechnungen!$C:$C,B2,Ausgangsrechnungen!$N:$N)+SUMIF(Ausgangsrechnungen!$C:$C,A2,Ausgangsrechnungen!$N:$N))</x:f>
        <x:v>0</x:v>
      </x:c>
      <x:c r="P2" s="175" t="n">
        <x:f>IF(B2="",0,SUMIF(Ausgangsrechnungen!$C:$C,B2,Ausgangsrechnungen!$G:$G)+SUMIF(Ausgangsrechnungen!$C:$C,A2,Ausgangsrechnungen!$G:$G))</x:f>
        <x:v>0</x:v>
      </x:c>
      <x:c r="Q2" s="175" t="n">
        <x:f>IF(B2="",0,SUMIF(Ausgangsrechnungen!$C:$C,B2,Ausgangsrechnungen!$H:$H)+SUMIF(Ausgangsrechnungen!$C:$C,A2,Ausgangsrechnungen!$H:$H))</x:f>
        <x:v>0</x:v>
      </x:c>
      <x:c r="R2" s="175" t="n">
        <x:f t="shared" ref="R2:R33" si="0">IF(F2="",0,F2/1.19-G2)</x:f>
        <x:v>0</x:v>
      </x:c>
      <x:c r="S2" s="175" t="n">
        <x:f t="shared" ref="S2:S33" si="1">IF(O2=0,0,O2-N2)</x:f>
        <x:v>0</x:v>
      </x:c>
      <x:c r="T2" s="176" t="n">
        <x:f t="shared" ref="T2:T33" si="2">IF(O2=0,0,S2/O2)</x:f>
        <x:v>0</x:v>
      </x:c>
      <x:c r="U2" s="172" t="str">
        <x:f t="shared" ref="U2:U33" si="3">IF(H2="","Kein Termin",IF(E2="Abgeschlossen","Abgeschlossen",IF(H2&lt;TODAY(),"ÜBERFÄLLIG",IF(H2&lt;=TODAY()+14,"BALD FÄLLIG","Im Plan"))))</x:f>
        <x:v>Kein Termin</x:v>
      </x:c>
      <x:c r="V2" s="171" t="str">
        <x:f t="shared" ref="V2:V33" si="4">IF(E2="","",IF(E2="Lead","Erstkontakt / Termin",IF(E2="Angebot","Angebot nachfassen",IF(E2="Auftrag","Material bestellen",IF(E2="Material bestellt","Montage terminieren",IF(E2="Montage geplant","Montage durchführen",IF(E2="Montage erledigt","Rechnung stellen",IF(E2="Rechnung offen","Zahlung überwachen","Archivieren"))))))))</x:f>
      </x:c>
    </x:row>
    <x:row r="3">
      <x:c r="A3" s="168"/>
      <x:c r="B3" s="168"/>
      <x:c r="C3" s="168"/>
      <x:c r="D3" s="168"/>
      <x:c r="E3" s="168"/>
      <x:c r="F3" s="169"/>
      <x:c r="G3" s="169"/>
      <x:c r="H3" s="170"/>
      <x:c r="I3" s="168"/>
      <x:c r="J3" s="168"/>
      <x:c r="K3" s="168"/>
      <x:c r="L3" s="168"/>
      <x:c r="M3" s="173" t="str">
        <x:f>IF(E3="","",IFERROR(VLOOKUP(E3,Einstellungen!$I$2:$J$9,2,FALSE),0))</x:f>
      </x:c>
      <x:c r="N3" s="174" t="n">
        <x:f>IF(B3="",0,SUMIF(Eingangsrechnungen!$C:$C,B3,Eingangsrechnungen!$F:$F)+SUMIF(Eingangsrechnungen!$C:$C,A3,Eingangsrechnungen!$F:$F))</x:f>
        <x:v>0</x:v>
      </x:c>
      <x:c r="O3" s="174" t="n">
        <x:f>IF(B3="",0,SUMIF(Ausgangsrechnungen!$C:$C,B3,Ausgangsrechnungen!$N:$N)+SUMIF(Ausgangsrechnungen!$C:$C,A3,Ausgangsrechnungen!$N:$N))</x:f>
        <x:v>0</x:v>
      </x:c>
      <x:c r="P3" s="175" t="n">
        <x:f>IF(B3="",0,SUMIF(Ausgangsrechnungen!$C:$C,B3,Ausgangsrechnungen!$G:$G)+SUMIF(Ausgangsrechnungen!$C:$C,A3,Ausgangsrechnungen!$G:$G))</x:f>
        <x:v>0</x:v>
      </x:c>
      <x:c r="Q3" s="175" t="n">
        <x:f>IF(B3="",0,SUMIF(Ausgangsrechnungen!$C:$C,B3,Ausgangsrechnungen!$H:$H)+SUMIF(Ausgangsrechnungen!$C:$C,A3,Ausgangsrechnungen!$H:$H))</x:f>
        <x:v>0</x:v>
      </x:c>
      <x:c r="R3" s="175">
        <x:f t="shared" si="0"/>
        <x:v>0</x:v>
      </x:c>
      <x:c r="S3" s="175">
        <x:f t="shared" si="1"/>
        <x:v>0</x:v>
      </x:c>
      <x:c r="T3" s="176">
        <x:f t="shared" si="2"/>
        <x:v>0</x:v>
      </x:c>
      <x:c r="U3" s="172" t="str">
        <x:f t="shared" si="3"/>
        <x:v>Kein Termin</x:v>
      </x:c>
      <x:c r="V3" s="171" t="str">
        <x:f t="shared" si="4"/>
      </x:c>
    </x:row>
    <x:row r="4">
      <x:c r="A4" s="168"/>
      <x:c r="B4" s="168"/>
      <x:c r="C4" s="168"/>
      <x:c r="D4" s="168"/>
      <x:c r="E4" s="168"/>
      <x:c r="F4" s="169"/>
      <x:c r="G4" s="169"/>
      <x:c r="H4" s="170"/>
      <x:c r="I4" s="168"/>
      <x:c r="J4" s="168"/>
      <x:c r="K4" s="168"/>
      <x:c r="L4" s="168"/>
      <x:c r="M4" s="173" t="str">
        <x:f>IF(E4="","",IFERROR(VLOOKUP(E4,Einstellungen!$I$2:$J$9,2,FALSE),0))</x:f>
      </x:c>
      <x:c r="N4" s="174" t="n">
        <x:f>IF(B4="",0,SUMIF(Eingangsrechnungen!$C:$C,B4,Eingangsrechnungen!$F:$F)+SUMIF(Eingangsrechnungen!$C:$C,A4,Eingangsrechnungen!$F:$F))</x:f>
        <x:v>0</x:v>
      </x:c>
      <x:c r="O4" s="174" t="n">
        <x:f>IF(B4="",0,SUMIF(Ausgangsrechnungen!$C:$C,B4,Ausgangsrechnungen!$N:$N)+SUMIF(Ausgangsrechnungen!$C:$C,A4,Ausgangsrechnungen!$N:$N))</x:f>
        <x:v>0</x:v>
      </x:c>
      <x:c r="P4" s="175" t="n">
        <x:f>IF(B4="",0,SUMIF(Ausgangsrechnungen!$C:$C,B4,Ausgangsrechnungen!$G:$G)+SUMIF(Ausgangsrechnungen!$C:$C,A4,Ausgangsrechnungen!$G:$G))</x:f>
        <x:v>0</x:v>
      </x:c>
      <x:c r="Q4" s="175" t="n">
        <x:f>IF(B4="",0,SUMIF(Ausgangsrechnungen!$C:$C,B4,Ausgangsrechnungen!$H:$H)+SUMIF(Ausgangsrechnungen!$C:$C,A4,Ausgangsrechnungen!$H:$H))</x:f>
        <x:v>0</x:v>
      </x:c>
      <x:c r="R4" s="175">
        <x:f t="shared" si="0"/>
        <x:v>0</x:v>
      </x:c>
      <x:c r="S4" s="175">
        <x:f t="shared" si="1"/>
        <x:v>0</x:v>
      </x:c>
      <x:c r="T4" s="176">
        <x:f t="shared" si="2"/>
        <x:v>0</x:v>
      </x:c>
      <x:c r="U4" s="172" t="str">
        <x:f t="shared" si="3"/>
        <x:v>Kein Termin</x:v>
      </x:c>
      <x:c r="V4" s="171" t="str">
        <x:f t="shared" si="4"/>
      </x:c>
    </x:row>
    <x:row r="5">
      <x:c r="A5" s="168"/>
      <x:c r="B5" s="168"/>
      <x:c r="C5" s="168"/>
      <x:c r="D5" s="168"/>
      <x:c r="E5" s="168"/>
      <x:c r="F5" s="169"/>
      <x:c r="G5" s="169"/>
      <x:c r="H5" s="170"/>
      <x:c r="I5" s="168"/>
      <x:c r="J5" s="168"/>
      <x:c r="K5" s="168"/>
      <x:c r="L5" s="168"/>
      <x:c r="M5" s="173" t="str">
        <x:f>IF(E5="","",IFERROR(VLOOKUP(E5,Einstellungen!$I$2:$J$9,2,FALSE),0))</x:f>
      </x:c>
      <x:c r="N5" s="174" t="n">
        <x:f>IF(B5="",0,SUMIF(Eingangsrechnungen!$C:$C,B5,Eingangsrechnungen!$F:$F)+SUMIF(Eingangsrechnungen!$C:$C,A5,Eingangsrechnungen!$F:$F))</x:f>
        <x:v>0</x:v>
      </x:c>
      <x:c r="O5" s="174" t="n">
        <x:f>IF(B5="",0,SUMIF(Ausgangsrechnungen!$C:$C,B5,Ausgangsrechnungen!$N:$N)+SUMIF(Ausgangsrechnungen!$C:$C,A5,Ausgangsrechnungen!$N:$N))</x:f>
        <x:v>0</x:v>
      </x:c>
      <x:c r="P5" s="175" t="n">
        <x:f>IF(B5="",0,SUMIF(Ausgangsrechnungen!$C:$C,B5,Ausgangsrechnungen!$G:$G)+SUMIF(Ausgangsrechnungen!$C:$C,A5,Ausgangsrechnungen!$G:$G))</x:f>
        <x:v>0</x:v>
      </x:c>
      <x:c r="Q5" s="175" t="n">
        <x:f>IF(B5="",0,SUMIF(Ausgangsrechnungen!$C:$C,B5,Ausgangsrechnungen!$H:$H)+SUMIF(Ausgangsrechnungen!$C:$C,A5,Ausgangsrechnungen!$H:$H))</x:f>
        <x:v>0</x:v>
      </x:c>
      <x:c r="R5" s="175">
        <x:f t="shared" si="0"/>
        <x:v>0</x:v>
      </x:c>
      <x:c r="S5" s="175">
        <x:f t="shared" si="1"/>
        <x:v>0</x:v>
      </x:c>
      <x:c r="T5" s="176">
        <x:f t="shared" si="2"/>
        <x:v>0</x:v>
      </x:c>
      <x:c r="U5" s="172" t="str">
        <x:f t="shared" si="3"/>
        <x:v>Kein Termin</x:v>
      </x:c>
      <x:c r="V5" s="171" t="str">
        <x:f t="shared" si="4"/>
      </x:c>
    </x:row>
    <x:row r="6">
      <x:c r="A6" s="168"/>
      <x:c r="B6" s="168"/>
      <x:c r="C6" s="168"/>
      <x:c r="D6" s="168"/>
      <x:c r="E6" s="168"/>
      <x:c r="F6" s="169"/>
      <x:c r="G6" s="169"/>
      <x:c r="H6" s="170"/>
      <x:c r="I6" s="168"/>
      <x:c r="J6" s="168"/>
      <x:c r="K6" s="168"/>
      <x:c r="L6" s="168"/>
      <x:c r="M6" s="173" t="str">
        <x:f>IF(E6="","",IFERROR(VLOOKUP(E6,Einstellungen!$I$2:$J$9,2,FALSE),0))</x:f>
      </x:c>
      <x:c r="N6" s="174" t="n">
        <x:f>IF(B6="",0,SUMIF(Eingangsrechnungen!$C:$C,B6,Eingangsrechnungen!$F:$F)+SUMIF(Eingangsrechnungen!$C:$C,A6,Eingangsrechnungen!$F:$F))</x:f>
        <x:v>0</x:v>
      </x:c>
      <x:c r="O6" s="174" t="n">
        <x:f>IF(B6="",0,SUMIF(Ausgangsrechnungen!$C:$C,B6,Ausgangsrechnungen!$N:$N)+SUMIF(Ausgangsrechnungen!$C:$C,A6,Ausgangsrechnungen!$N:$N))</x:f>
        <x:v>0</x:v>
      </x:c>
      <x:c r="P6" s="175" t="n">
        <x:f>IF(B6="",0,SUMIF(Ausgangsrechnungen!$C:$C,B6,Ausgangsrechnungen!$G:$G)+SUMIF(Ausgangsrechnungen!$C:$C,A6,Ausgangsrechnungen!$G:$G))</x:f>
        <x:v>0</x:v>
      </x:c>
      <x:c r="Q6" s="175" t="n">
        <x:f>IF(B6="",0,SUMIF(Ausgangsrechnungen!$C:$C,B6,Ausgangsrechnungen!$H:$H)+SUMIF(Ausgangsrechnungen!$C:$C,A6,Ausgangsrechnungen!$H:$H))</x:f>
        <x:v>0</x:v>
      </x:c>
      <x:c r="R6" s="175">
        <x:f t="shared" si="0"/>
        <x:v>0</x:v>
      </x:c>
      <x:c r="S6" s="175">
        <x:f t="shared" si="1"/>
        <x:v>0</x:v>
      </x:c>
      <x:c r="T6" s="176">
        <x:f t="shared" si="2"/>
        <x:v>0</x:v>
      </x:c>
      <x:c r="U6" s="172" t="str">
        <x:f t="shared" si="3"/>
        <x:v>Kein Termin</x:v>
      </x:c>
      <x:c r="V6" s="171" t="str">
        <x:f t="shared" si="4"/>
      </x:c>
    </x:row>
    <x:row r="7">
      <x:c r="A7" s="168"/>
      <x:c r="B7" s="168"/>
      <x:c r="C7" s="168"/>
      <x:c r="D7" s="168"/>
      <x:c r="E7" s="168"/>
      <x:c r="F7" s="169"/>
      <x:c r="G7" s="169"/>
      <x:c r="H7" s="170"/>
      <x:c r="I7" s="168"/>
      <x:c r="J7" s="168"/>
      <x:c r="K7" s="168"/>
      <x:c r="L7" s="168"/>
      <x:c r="M7" s="173" t="str">
        <x:f>IF(E7="","",IFERROR(VLOOKUP(E7,Einstellungen!$I$2:$J$9,2,FALSE),0))</x:f>
      </x:c>
      <x:c r="N7" s="174" t="n">
        <x:f>IF(B7="",0,SUMIF(Eingangsrechnungen!$C:$C,B7,Eingangsrechnungen!$F:$F)+SUMIF(Eingangsrechnungen!$C:$C,A7,Eingangsrechnungen!$F:$F))</x:f>
        <x:v>0</x:v>
      </x:c>
      <x:c r="O7" s="174" t="n">
        <x:f>IF(B7="",0,SUMIF(Ausgangsrechnungen!$C:$C,B7,Ausgangsrechnungen!$N:$N)+SUMIF(Ausgangsrechnungen!$C:$C,A7,Ausgangsrechnungen!$N:$N))</x:f>
        <x:v>0</x:v>
      </x:c>
      <x:c r="P7" s="175" t="n">
        <x:f>IF(B7="",0,SUMIF(Ausgangsrechnungen!$C:$C,B7,Ausgangsrechnungen!$G:$G)+SUMIF(Ausgangsrechnungen!$C:$C,A7,Ausgangsrechnungen!$G:$G))</x:f>
        <x:v>0</x:v>
      </x:c>
      <x:c r="Q7" s="175" t="n">
        <x:f>IF(B7="",0,SUMIF(Ausgangsrechnungen!$C:$C,B7,Ausgangsrechnungen!$H:$H)+SUMIF(Ausgangsrechnungen!$C:$C,A7,Ausgangsrechnungen!$H:$H))</x:f>
        <x:v>0</x:v>
      </x:c>
      <x:c r="R7" s="175">
        <x:f t="shared" si="0"/>
        <x:v>0</x:v>
      </x:c>
      <x:c r="S7" s="175">
        <x:f t="shared" si="1"/>
        <x:v>0</x:v>
      </x:c>
      <x:c r="T7" s="176">
        <x:f t="shared" si="2"/>
        <x:v>0</x:v>
      </x:c>
      <x:c r="U7" s="172" t="str">
        <x:f t="shared" si="3"/>
        <x:v>Kein Termin</x:v>
      </x:c>
      <x:c r="V7" s="171" t="str">
        <x:f t="shared" si="4"/>
      </x:c>
    </x:row>
    <x:row r="8">
      <x:c r="A8" s="168"/>
      <x:c r="B8" s="168"/>
      <x:c r="C8" s="168"/>
      <x:c r="D8" s="168"/>
      <x:c r="E8" s="168"/>
      <x:c r="F8" s="169"/>
      <x:c r="G8" s="169"/>
      <x:c r="H8" s="170"/>
      <x:c r="I8" s="168"/>
      <x:c r="J8" s="168"/>
      <x:c r="K8" s="168"/>
      <x:c r="L8" s="168"/>
      <x:c r="M8" s="173" t="str">
        <x:f>IF(E8="","",IFERROR(VLOOKUP(E8,Einstellungen!$I$2:$J$9,2,FALSE),0))</x:f>
      </x:c>
      <x:c r="N8" s="174" t="n">
        <x:f>IF(B8="",0,SUMIF(Eingangsrechnungen!$C:$C,B8,Eingangsrechnungen!$F:$F)+SUMIF(Eingangsrechnungen!$C:$C,A8,Eingangsrechnungen!$F:$F))</x:f>
        <x:v>0</x:v>
      </x:c>
      <x:c r="O8" s="174" t="n">
        <x:f>IF(B8="",0,SUMIF(Ausgangsrechnungen!$C:$C,B8,Ausgangsrechnungen!$N:$N)+SUMIF(Ausgangsrechnungen!$C:$C,A8,Ausgangsrechnungen!$N:$N))</x:f>
        <x:v>0</x:v>
      </x:c>
      <x:c r="P8" s="175" t="n">
        <x:f>IF(B8="",0,SUMIF(Ausgangsrechnungen!$C:$C,B8,Ausgangsrechnungen!$G:$G)+SUMIF(Ausgangsrechnungen!$C:$C,A8,Ausgangsrechnungen!$G:$G))</x:f>
        <x:v>0</x:v>
      </x:c>
      <x:c r="Q8" s="175" t="n">
        <x:f>IF(B8="",0,SUMIF(Ausgangsrechnungen!$C:$C,B8,Ausgangsrechnungen!$H:$H)+SUMIF(Ausgangsrechnungen!$C:$C,A8,Ausgangsrechnungen!$H:$H))</x:f>
        <x:v>0</x:v>
      </x:c>
      <x:c r="R8" s="175">
        <x:f t="shared" si="0"/>
        <x:v>0</x:v>
      </x:c>
      <x:c r="S8" s="175">
        <x:f t="shared" si="1"/>
        <x:v>0</x:v>
      </x:c>
      <x:c r="T8" s="176">
        <x:f t="shared" si="2"/>
        <x:v>0</x:v>
      </x:c>
      <x:c r="U8" s="172" t="str">
        <x:f t="shared" si="3"/>
        <x:v>Kein Termin</x:v>
      </x:c>
      <x:c r="V8" s="171" t="str">
        <x:f t="shared" si="4"/>
      </x:c>
    </x:row>
    <x:row r="9">
      <x:c r="A9" s="168"/>
      <x:c r="B9" s="168"/>
      <x:c r="C9" s="168"/>
      <x:c r="D9" s="168"/>
      <x:c r="E9" s="168"/>
      <x:c r="F9" s="169"/>
      <x:c r="G9" s="169"/>
      <x:c r="H9" s="170"/>
      <x:c r="I9" s="168"/>
      <x:c r="J9" s="168"/>
      <x:c r="K9" s="168"/>
      <x:c r="L9" s="168"/>
      <x:c r="M9" s="173" t="str">
        <x:f>IF(E9="","",IFERROR(VLOOKUP(E9,Einstellungen!$I$2:$J$9,2,FALSE),0))</x:f>
      </x:c>
      <x:c r="N9" s="174" t="n">
        <x:f>IF(B9="",0,SUMIF(Eingangsrechnungen!$C:$C,B9,Eingangsrechnungen!$F:$F)+SUMIF(Eingangsrechnungen!$C:$C,A9,Eingangsrechnungen!$F:$F))</x:f>
        <x:v>0</x:v>
      </x:c>
      <x:c r="O9" s="174" t="n">
        <x:f>IF(B9="",0,SUMIF(Ausgangsrechnungen!$C:$C,B9,Ausgangsrechnungen!$N:$N)+SUMIF(Ausgangsrechnungen!$C:$C,A9,Ausgangsrechnungen!$N:$N))</x:f>
        <x:v>0</x:v>
      </x:c>
      <x:c r="P9" s="175" t="n">
        <x:f>IF(B9="",0,SUMIF(Ausgangsrechnungen!$C:$C,B9,Ausgangsrechnungen!$G:$G)+SUMIF(Ausgangsrechnungen!$C:$C,A9,Ausgangsrechnungen!$G:$G))</x:f>
        <x:v>0</x:v>
      </x:c>
      <x:c r="Q9" s="175" t="n">
        <x:f>IF(B9="",0,SUMIF(Ausgangsrechnungen!$C:$C,B9,Ausgangsrechnungen!$H:$H)+SUMIF(Ausgangsrechnungen!$C:$C,A9,Ausgangsrechnungen!$H:$H))</x:f>
        <x:v>0</x:v>
      </x:c>
      <x:c r="R9" s="175">
        <x:f t="shared" si="0"/>
        <x:v>0</x:v>
      </x:c>
      <x:c r="S9" s="175">
        <x:f t="shared" si="1"/>
        <x:v>0</x:v>
      </x:c>
      <x:c r="T9" s="176">
        <x:f t="shared" si="2"/>
        <x:v>0</x:v>
      </x:c>
      <x:c r="U9" s="172" t="str">
        <x:f t="shared" si="3"/>
        <x:v>Kein Termin</x:v>
      </x:c>
      <x:c r="V9" s="171" t="str">
        <x:f t="shared" si="4"/>
      </x:c>
    </x:row>
    <x:row r="10">
      <x:c r="A10" s="168"/>
      <x:c r="B10" s="168"/>
      <x:c r="C10" s="168"/>
      <x:c r="D10" s="168"/>
      <x:c r="E10" s="168"/>
      <x:c r="F10" s="169"/>
      <x:c r="G10" s="169"/>
      <x:c r="H10" s="170"/>
      <x:c r="I10" s="168"/>
      <x:c r="J10" s="168"/>
      <x:c r="K10" s="168"/>
      <x:c r="L10" s="168"/>
      <x:c r="M10" s="173" t="str">
        <x:f>IF(E10="","",IFERROR(VLOOKUP(E10,Einstellungen!$I$2:$J$9,2,FALSE),0))</x:f>
      </x:c>
      <x:c r="N10" s="174" t="n">
        <x:f>IF(B10="",0,SUMIF(Eingangsrechnungen!$C:$C,B10,Eingangsrechnungen!$F:$F)+SUMIF(Eingangsrechnungen!$C:$C,A10,Eingangsrechnungen!$F:$F))</x:f>
        <x:v>0</x:v>
      </x:c>
      <x:c r="O10" s="174" t="n">
        <x:f>IF(B10="",0,SUMIF(Ausgangsrechnungen!$C:$C,B10,Ausgangsrechnungen!$N:$N)+SUMIF(Ausgangsrechnungen!$C:$C,A10,Ausgangsrechnungen!$N:$N))</x:f>
        <x:v>0</x:v>
      </x:c>
      <x:c r="P10" s="175" t="n">
        <x:f>IF(B10="",0,SUMIF(Ausgangsrechnungen!$C:$C,B10,Ausgangsrechnungen!$G:$G)+SUMIF(Ausgangsrechnungen!$C:$C,A10,Ausgangsrechnungen!$G:$G))</x:f>
        <x:v>0</x:v>
      </x:c>
      <x:c r="Q10" s="175" t="n">
        <x:f>IF(B10="",0,SUMIF(Ausgangsrechnungen!$C:$C,B10,Ausgangsrechnungen!$H:$H)+SUMIF(Ausgangsrechnungen!$C:$C,A10,Ausgangsrechnungen!$H:$H))</x:f>
        <x:v>0</x:v>
      </x:c>
      <x:c r="R10" s="175">
        <x:f t="shared" si="0"/>
        <x:v>0</x:v>
      </x:c>
      <x:c r="S10" s="175">
        <x:f t="shared" si="1"/>
        <x:v>0</x:v>
      </x:c>
      <x:c r="T10" s="176">
        <x:f t="shared" si="2"/>
        <x:v>0</x:v>
      </x:c>
      <x:c r="U10" s="172" t="str">
        <x:f t="shared" si="3"/>
        <x:v>Kein Termin</x:v>
      </x:c>
      <x:c r="V10" s="171" t="str">
        <x:f t="shared" si="4"/>
      </x:c>
    </x:row>
    <x:row r="11">
      <x:c r="A11" s="168"/>
      <x:c r="B11" s="168"/>
      <x:c r="C11" s="168"/>
      <x:c r="D11" s="168"/>
      <x:c r="E11" s="168"/>
      <x:c r="F11" s="169"/>
      <x:c r="G11" s="169"/>
      <x:c r="H11" s="170"/>
      <x:c r="I11" s="168"/>
      <x:c r="J11" s="168"/>
      <x:c r="K11" s="168"/>
      <x:c r="L11" s="168"/>
      <x:c r="M11" s="173" t="str">
        <x:f>IF(E11="","",IFERROR(VLOOKUP(E11,Einstellungen!$I$2:$J$9,2,FALSE),0))</x:f>
      </x:c>
      <x:c r="N11" s="174" t="n">
        <x:f>IF(B11="",0,SUMIF(Eingangsrechnungen!$C:$C,B11,Eingangsrechnungen!$F:$F)+SUMIF(Eingangsrechnungen!$C:$C,A11,Eingangsrechnungen!$F:$F))</x:f>
        <x:v>0</x:v>
      </x:c>
      <x:c r="O11" s="174" t="n">
        <x:f>IF(B11="",0,SUMIF(Ausgangsrechnungen!$C:$C,B11,Ausgangsrechnungen!$N:$N)+SUMIF(Ausgangsrechnungen!$C:$C,A11,Ausgangsrechnungen!$N:$N))</x:f>
        <x:v>0</x:v>
      </x:c>
      <x:c r="P11" s="175" t="n">
        <x:f>IF(B11="",0,SUMIF(Ausgangsrechnungen!$C:$C,B11,Ausgangsrechnungen!$G:$G)+SUMIF(Ausgangsrechnungen!$C:$C,A11,Ausgangsrechnungen!$G:$G))</x:f>
        <x:v>0</x:v>
      </x:c>
      <x:c r="Q11" s="175" t="n">
        <x:f>IF(B11="",0,SUMIF(Ausgangsrechnungen!$C:$C,B11,Ausgangsrechnungen!$H:$H)+SUMIF(Ausgangsrechnungen!$C:$C,A11,Ausgangsrechnungen!$H:$H))</x:f>
        <x:v>0</x:v>
      </x:c>
      <x:c r="R11" s="175">
        <x:f t="shared" si="0"/>
        <x:v>0</x:v>
      </x:c>
      <x:c r="S11" s="175">
        <x:f t="shared" si="1"/>
        <x:v>0</x:v>
      </x:c>
      <x:c r="T11" s="176">
        <x:f t="shared" si="2"/>
        <x:v>0</x:v>
      </x:c>
      <x:c r="U11" s="172" t="str">
        <x:f t="shared" si="3"/>
        <x:v>Kein Termin</x:v>
      </x:c>
      <x:c r="V11" s="171" t="str">
        <x:f t="shared" si="4"/>
      </x:c>
    </x:row>
    <x:row r="12">
      <x:c r="A12" s="168"/>
      <x:c r="B12" s="168"/>
      <x:c r="C12" s="168"/>
      <x:c r="D12" s="168"/>
      <x:c r="E12" s="168"/>
      <x:c r="F12" s="169"/>
      <x:c r="G12" s="169"/>
      <x:c r="H12" s="170"/>
      <x:c r="I12" s="168"/>
      <x:c r="J12" s="168"/>
      <x:c r="K12" s="168"/>
      <x:c r="L12" s="168"/>
      <x:c r="M12" s="173" t="str">
        <x:f>IF(E12="","",IFERROR(VLOOKUP(E12,Einstellungen!$I$2:$J$9,2,FALSE),0))</x:f>
      </x:c>
      <x:c r="N12" s="174" t="n">
        <x:f>IF(B12="",0,SUMIF(Eingangsrechnungen!$C:$C,B12,Eingangsrechnungen!$F:$F)+SUMIF(Eingangsrechnungen!$C:$C,A12,Eingangsrechnungen!$F:$F))</x:f>
        <x:v>0</x:v>
      </x:c>
      <x:c r="O12" s="174" t="n">
        <x:f>IF(B12="",0,SUMIF(Ausgangsrechnungen!$C:$C,B12,Ausgangsrechnungen!$N:$N)+SUMIF(Ausgangsrechnungen!$C:$C,A12,Ausgangsrechnungen!$N:$N))</x:f>
        <x:v>0</x:v>
      </x:c>
      <x:c r="P12" s="175" t="n">
        <x:f>IF(B12="",0,SUMIF(Ausgangsrechnungen!$C:$C,B12,Ausgangsrechnungen!$G:$G)+SUMIF(Ausgangsrechnungen!$C:$C,A12,Ausgangsrechnungen!$G:$G))</x:f>
        <x:v>0</x:v>
      </x:c>
      <x:c r="Q12" s="175" t="n">
        <x:f>IF(B12="",0,SUMIF(Ausgangsrechnungen!$C:$C,B12,Ausgangsrechnungen!$H:$H)+SUMIF(Ausgangsrechnungen!$C:$C,A12,Ausgangsrechnungen!$H:$H))</x:f>
        <x:v>0</x:v>
      </x:c>
      <x:c r="R12" s="175">
        <x:f t="shared" si="0"/>
        <x:v>0</x:v>
      </x:c>
      <x:c r="S12" s="175">
        <x:f t="shared" si="1"/>
        <x:v>0</x:v>
      </x:c>
      <x:c r="T12" s="176">
        <x:f t="shared" si="2"/>
        <x:v>0</x:v>
      </x:c>
      <x:c r="U12" s="172" t="str">
        <x:f t="shared" si="3"/>
        <x:v>Kein Termin</x:v>
      </x:c>
      <x:c r="V12" s="171" t="str">
        <x:f t="shared" si="4"/>
      </x:c>
    </x:row>
    <x:row r="13">
      <x:c r="A13" s="168"/>
      <x:c r="B13" s="168"/>
      <x:c r="C13" s="168"/>
      <x:c r="D13" s="168"/>
      <x:c r="E13" s="168"/>
      <x:c r="F13" s="169"/>
      <x:c r="G13" s="169"/>
      <x:c r="H13" s="170"/>
      <x:c r="I13" s="168"/>
      <x:c r="J13" s="168"/>
      <x:c r="K13" s="168"/>
      <x:c r="L13" s="168"/>
      <x:c r="M13" s="173" t="str">
        <x:f>IF(E13="","",IFERROR(VLOOKUP(E13,Einstellungen!$I$2:$J$9,2,FALSE),0))</x:f>
      </x:c>
      <x:c r="N13" s="174" t="n">
        <x:f>IF(B13="",0,SUMIF(Eingangsrechnungen!$C:$C,B13,Eingangsrechnungen!$F:$F)+SUMIF(Eingangsrechnungen!$C:$C,A13,Eingangsrechnungen!$F:$F))</x:f>
        <x:v>0</x:v>
      </x:c>
      <x:c r="O13" s="174" t="n">
        <x:f>IF(B13="",0,SUMIF(Ausgangsrechnungen!$C:$C,B13,Ausgangsrechnungen!$N:$N)+SUMIF(Ausgangsrechnungen!$C:$C,A13,Ausgangsrechnungen!$N:$N))</x:f>
        <x:v>0</x:v>
      </x:c>
      <x:c r="P13" s="175" t="n">
        <x:f>IF(B13="",0,SUMIF(Ausgangsrechnungen!$C:$C,B13,Ausgangsrechnungen!$G:$G)+SUMIF(Ausgangsrechnungen!$C:$C,A13,Ausgangsrechnungen!$G:$G))</x:f>
        <x:v>0</x:v>
      </x:c>
      <x:c r="Q13" s="175" t="n">
        <x:f>IF(B13="",0,SUMIF(Ausgangsrechnungen!$C:$C,B13,Ausgangsrechnungen!$H:$H)+SUMIF(Ausgangsrechnungen!$C:$C,A13,Ausgangsrechnungen!$H:$H))</x:f>
        <x:v>0</x:v>
      </x:c>
      <x:c r="R13" s="175">
        <x:f t="shared" si="0"/>
        <x:v>0</x:v>
      </x:c>
      <x:c r="S13" s="175">
        <x:f t="shared" si="1"/>
        <x:v>0</x:v>
      </x:c>
      <x:c r="T13" s="176">
        <x:f t="shared" si="2"/>
        <x:v>0</x:v>
      </x:c>
      <x:c r="U13" s="172" t="str">
        <x:f t="shared" si="3"/>
        <x:v>Kein Termin</x:v>
      </x:c>
      <x:c r="V13" s="171" t="str">
        <x:f t="shared" si="4"/>
      </x:c>
    </x:row>
    <x:row r="14">
      <x:c r="A14" s="168"/>
      <x:c r="B14" s="168"/>
      <x:c r="C14" s="168"/>
      <x:c r="D14" s="168"/>
      <x:c r="E14" s="168"/>
      <x:c r="F14" s="169"/>
      <x:c r="G14" s="169"/>
      <x:c r="H14" s="170"/>
      <x:c r="I14" s="168"/>
      <x:c r="J14" s="168"/>
      <x:c r="K14" s="168"/>
      <x:c r="L14" s="168"/>
      <x:c r="M14" s="173" t="str">
        <x:f>IF(E14="","",IFERROR(VLOOKUP(E14,Einstellungen!$I$2:$J$9,2,FALSE),0))</x:f>
      </x:c>
      <x:c r="N14" s="174" t="n">
        <x:f>IF(B14="",0,SUMIF(Eingangsrechnungen!$C:$C,B14,Eingangsrechnungen!$F:$F)+SUMIF(Eingangsrechnungen!$C:$C,A14,Eingangsrechnungen!$F:$F))</x:f>
        <x:v>0</x:v>
      </x:c>
      <x:c r="O14" s="174" t="n">
        <x:f>IF(B14="",0,SUMIF(Ausgangsrechnungen!$C:$C,B14,Ausgangsrechnungen!$N:$N)+SUMIF(Ausgangsrechnungen!$C:$C,A14,Ausgangsrechnungen!$N:$N))</x:f>
        <x:v>0</x:v>
      </x:c>
      <x:c r="P14" s="175" t="n">
        <x:f>IF(B14="",0,SUMIF(Ausgangsrechnungen!$C:$C,B14,Ausgangsrechnungen!$G:$G)+SUMIF(Ausgangsrechnungen!$C:$C,A14,Ausgangsrechnungen!$G:$G))</x:f>
        <x:v>0</x:v>
      </x:c>
      <x:c r="Q14" s="175" t="n">
        <x:f>IF(B14="",0,SUMIF(Ausgangsrechnungen!$C:$C,B14,Ausgangsrechnungen!$H:$H)+SUMIF(Ausgangsrechnungen!$C:$C,A14,Ausgangsrechnungen!$H:$H))</x:f>
        <x:v>0</x:v>
      </x:c>
      <x:c r="R14" s="175">
        <x:f t="shared" si="0"/>
        <x:v>0</x:v>
      </x:c>
      <x:c r="S14" s="175">
        <x:f t="shared" si="1"/>
        <x:v>0</x:v>
      </x:c>
      <x:c r="T14" s="176">
        <x:f t="shared" si="2"/>
        <x:v>0</x:v>
      </x:c>
      <x:c r="U14" s="172" t="str">
        <x:f t="shared" si="3"/>
        <x:v>Kein Termin</x:v>
      </x:c>
      <x:c r="V14" s="171" t="str">
        <x:f t="shared" si="4"/>
      </x:c>
    </x:row>
    <x:row r="15">
      <x:c r="A15" s="168"/>
      <x:c r="B15" s="168"/>
      <x:c r="C15" s="168"/>
      <x:c r="D15" s="168"/>
      <x:c r="E15" s="168"/>
      <x:c r="F15" s="169"/>
      <x:c r="G15" s="169"/>
      <x:c r="H15" s="170"/>
      <x:c r="I15" s="168"/>
      <x:c r="J15" s="168"/>
      <x:c r="K15" s="168"/>
      <x:c r="L15" s="168"/>
      <x:c r="M15" s="173" t="str">
        <x:f>IF(E15="","",IFERROR(VLOOKUP(E15,Einstellungen!$I$2:$J$9,2,FALSE),0))</x:f>
      </x:c>
      <x:c r="N15" s="174" t="n">
        <x:f>IF(B15="",0,SUMIF(Eingangsrechnungen!$C:$C,B15,Eingangsrechnungen!$F:$F)+SUMIF(Eingangsrechnungen!$C:$C,A15,Eingangsrechnungen!$F:$F))</x:f>
        <x:v>0</x:v>
      </x:c>
      <x:c r="O15" s="174" t="n">
        <x:f>IF(B15="",0,SUMIF(Ausgangsrechnungen!$C:$C,B15,Ausgangsrechnungen!$N:$N)+SUMIF(Ausgangsrechnungen!$C:$C,A15,Ausgangsrechnungen!$N:$N))</x:f>
        <x:v>0</x:v>
      </x:c>
      <x:c r="P15" s="175" t="n">
        <x:f>IF(B15="",0,SUMIF(Ausgangsrechnungen!$C:$C,B15,Ausgangsrechnungen!$G:$G)+SUMIF(Ausgangsrechnungen!$C:$C,A15,Ausgangsrechnungen!$G:$G))</x:f>
        <x:v>0</x:v>
      </x:c>
      <x:c r="Q15" s="175" t="n">
        <x:f>IF(B15="",0,SUMIF(Ausgangsrechnungen!$C:$C,B15,Ausgangsrechnungen!$H:$H)+SUMIF(Ausgangsrechnungen!$C:$C,A15,Ausgangsrechnungen!$H:$H))</x:f>
        <x:v>0</x:v>
      </x:c>
      <x:c r="R15" s="175">
        <x:f t="shared" si="0"/>
        <x:v>0</x:v>
      </x:c>
      <x:c r="S15" s="175">
        <x:f t="shared" si="1"/>
        <x:v>0</x:v>
      </x:c>
      <x:c r="T15" s="176">
        <x:f t="shared" si="2"/>
        <x:v>0</x:v>
      </x:c>
      <x:c r="U15" s="172" t="str">
        <x:f t="shared" si="3"/>
        <x:v>Kein Termin</x:v>
      </x:c>
      <x:c r="V15" s="171" t="str">
        <x:f t="shared" si="4"/>
      </x:c>
    </x:row>
    <x:row r="16">
      <x:c r="A16" s="168"/>
      <x:c r="B16" s="168"/>
      <x:c r="C16" s="168"/>
      <x:c r="D16" s="168"/>
      <x:c r="E16" s="168"/>
      <x:c r="F16" s="169"/>
      <x:c r="G16" s="169"/>
      <x:c r="H16" s="170"/>
      <x:c r="I16" s="168"/>
      <x:c r="J16" s="168"/>
      <x:c r="K16" s="168"/>
      <x:c r="L16" s="168"/>
      <x:c r="M16" s="173" t="str">
        <x:f>IF(E16="","",IFERROR(VLOOKUP(E16,Einstellungen!$I$2:$J$9,2,FALSE),0))</x:f>
      </x:c>
      <x:c r="N16" s="174" t="n">
        <x:f>IF(B16="",0,SUMIF(Eingangsrechnungen!$C:$C,B16,Eingangsrechnungen!$F:$F)+SUMIF(Eingangsrechnungen!$C:$C,A16,Eingangsrechnungen!$F:$F))</x:f>
        <x:v>0</x:v>
      </x:c>
      <x:c r="O16" s="174" t="n">
        <x:f>IF(B16="",0,SUMIF(Ausgangsrechnungen!$C:$C,B16,Ausgangsrechnungen!$N:$N)+SUMIF(Ausgangsrechnungen!$C:$C,A16,Ausgangsrechnungen!$N:$N))</x:f>
        <x:v>0</x:v>
      </x:c>
      <x:c r="P16" s="175" t="n">
        <x:f>IF(B16="",0,SUMIF(Ausgangsrechnungen!$C:$C,B16,Ausgangsrechnungen!$G:$G)+SUMIF(Ausgangsrechnungen!$C:$C,A16,Ausgangsrechnungen!$G:$G))</x:f>
        <x:v>0</x:v>
      </x:c>
      <x:c r="Q16" s="175" t="n">
        <x:f>IF(B16="",0,SUMIF(Ausgangsrechnungen!$C:$C,B16,Ausgangsrechnungen!$H:$H)+SUMIF(Ausgangsrechnungen!$C:$C,A16,Ausgangsrechnungen!$H:$H))</x:f>
        <x:v>0</x:v>
      </x:c>
      <x:c r="R16" s="175">
        <x:f t="shared" si="0"/>
        <x:v>0</x:v>
      </x:c>
      <x:c r="S16" s="175">
        <x:f t="shared" si="1"/>
        <x:v>0</x:v>
      </x:c>
      <x:c r="T16" s="176">
        <x:f t="shared" si="2"/>
        <x:v>0</x:v>
      </x:c>
      <x:c r="U16" s="172" t="str">
        <x:f t="shared" si="3"/>
        <x:v>Kein Termin</x:v>
      </x:c>
      <x:c r="V16" s="171" t="str">
        <x:f t="shared" si="4"/>
      </x:c>
    </x:row>
    <x:row r="17">
      <x:c r="A17" s="168"/>
      <x:c r="B17" s="168"/>
      <x:c r="C17" s="168"/>
      <x:c r="D17" s="168"/>
      <x:c r="E17" s="168"/>
      <x:c r="F17" s="169"/>
      <x:c r="G17" s="169"/>
      <x:c r="H17" s="170"/>
      <x:c r="I17" s="168"/>
      <x:c r="J17" s="168"/>
      <x:c r="K17" s="168"/>
      <x:c r="L17" s="168"/>
      <x:c r="M17" s="173" t="str">
        <x:f>IF(E17="","",IFERROR(VLOOKUP(E17,Einstellungen!$I$2:$J$9,2,FALSE),0))</x:f>
      </x:c>
      <x:c r="N17" s="174" t="n">
        <x:f>IF(B17="",0,SUMIF(Eingangsrechnungen!$C:$C,B17,Eingangsrechnungen!$F:$F)+SUMIF(Eingangsrechnungen!$C:$C,A17,Eingangsrechnungen!$F:$F))</x:f>
        <x:v>0</x:v>
      </x:c>
      <x:c r="O17" s="174" t="n">
        <x:f>IF(B17="",0,SUMIF(Ausgangsrechnungen!$C:$C,B17,Ausgangsrechnungen!$N:$N)+SUMIF(Ausgangsrechnungen!$C:$C,A17,Ausgangsrechnungen!$N:$N))</x:f>
        <x:v>0</x:v>
      </x:c>
      <x:c r="P17" s="175" t="n">
        <x:f>IF(B17="",0,SUMIF(Ausgangsrechnungen!$C:$C,B17,Ausgangsrechnungen!$G:$G)+SUMIF(Ausgangsrechnungen!$C:$C,A17,Ausgangsrechnungen!$G:$G))</x:f>
        <x:v>0</x:v>
      </x:c>
      <x:c r="Q17" s="175" t="n">
        <x:f>IF(B17="",0,SUMIF(Ausgangsrechnungen!$C:$C,B17,Ausgangsrechnungen!$H:$H)+SUMIF(Ausgangsrechnungen!$C:$C,A17,Ausgangsrechnungen!$H:$H))</x:f>
        <x:v>0</x:v>
      </x:c>
      <x:c r="R17" s="175">
        <x:f t="shared" si="0"/>
        <x:v>0</x:v>
      </x:c>
      <x:c r="S17" s="175">
        <x:f t="shared" si="1"/>
        <x:v>0</x:v>
      </x:c>
      <x:c r="T17" s="176">
        <x:f t="shared" si="2"/>
        <x:v>0</x:v>
      </x:c>
      <x:c r="U17" s="172" t="str">
        <x:f t="shared" si="3"/>
        <x:v>Kein Termin</x:v>
      </x:c>
      <x:c r="V17" s="171" t="str">
        <x:f t="shared" si="4"/>
      </x:c>
    </x:row>
    <x:row r="18">
      <x:c r="A18" s="168"/>
      <x:c r="B18" s="168"/>
      <x:c r="C18" s="168"/>
      <x:c r="D18" s="168"/>
      <x:c r="E18" s="168"/>
      <x:c r="F18" s="169"/>
      <x:c r="G18" s="169"/>
      <x:c r="H18" s="170"/>
      <x:c r="I18" s="168"/>
      <x:c r="J18" s="168"/>
      <x:c r="K18" s="168"/>
      <x:c r="L18" s="168"/>
      <x:c r="M18" s="173" t="str">
        <x:f>IF(E18="","",IFERROR(VLOOKUP(E18,Einstellungen!$I$2:$J$9,2,FALSE),0))</x:f>
      </x:c>
      <x:c r="N18" s="174" t="n">
        <x:f>IF(B18="",0,SUMIF(Eingangsrechnungen!$C:$C,B18,Eingangsrechnungen!$F:$F)+SUMIF(Eingangsrechnungen!$C:$C,A18,Eingangsrechnungen!$F:$F))</x:f>
        <x:v>0</x:v>
      </x:c>
      <x:c r="O18" s="174" t="n">
        <x:f>IF(B18="",0,SUMIF(Ausgangsrechnungen!$C:$C,B18,Ausgangsrechnungen!$N:$N)+SUMIF(Ausgangsrechnungen!$C:$C,A18,Ausgangsrechnungen!$N:$N))</x:f>
        <x:v>0</x:v>
      </x:c>
      <x:c r="P18" s="175" t="n">
        <x:f>IF(B18="",0,SUMIF(Ausgangsrechnungen!$C:$C,B18,Ausgangsrechnungen!$G:$G)+SUMIF(Ausgangsrechnungen!$C:$C,A18,Ausgangsrechnungen!$G:$G))</x:f>
        <x:v>0</x:v>
      </x:c>
      <x:c r="Q18" s="175" t="n">
        <x:f>IF(B18="",0,SUMIF(Ausgangsrechnungen!$C:$C,B18,Ausgangsrechnungen!$H:$H)+SUMIF(Ausgangsrechnungen!$C:$C,A18,Ausgangsrechnungen!$H:$H))</x:f>
        <x:v>0</x:v>
      </x:c>
      <x:c r="R18" s="175">
        <x:f t="shared" si="0"/>
        <x:v>0</x:v>
      </x:c>
      <x:c r="S18" s="175">
        <x:f t="shared" si="1"/>
        <x:v>0</x:v>
      </x:c>
      <x:c r="T18" s="176">
        <x:f t="shared" si="2"/>
        <x:v>0</x:v>
      </x:c>
      <x:c r="U18" s="172" t="str">
        <x:f t="shared" si="3"/>
        <x:v>Kein Termin</x:v>
      </x:c>
      <x:c r="V18" s="171" t="str">
        <x:f t="shared" si="4"/>
      </x:c>
    </x:row>
    <x:row r="19">
      <x:c r="A19" s="168"/>
      <x:c r="B19" s="168"/>
      <x:c r="C19" s="168"/>
      <x:c r="D19" s="168"/>
      <x:c r="E19" s="168"/>
      <x:c r="F19" s="169"/>
      <x:c r="G19" s="169"/>
      <x:c r="H19" s="170"/>
      <x:c r="I19" s="168"/>
      <x:c r="J19" s="168"/>
      <x:c r="K19" s="168"/>
      <x:c r="L19" s="168"/>
      <x:c r="M19" s="173" t="str">
        <x:f>IF(E19="","",IFERROR(VLOOKUP(E19,Einstellungen!$I$2:$J$9,2,FALSE),0))</x:f>
      </x:c>
      <x:c r="N19" s="174" t="n">
        <x:f>IF(B19="",0,SUMIF(Eingangsrechnungen!$C:$C,B19,Eingangsrechnungen!$F:$F)+SUMIF(Eingangsrechnungen!$C:$C,A19,Eingangsrechnungen!$F:$F))</x:f>
        <x:v>0</x:v>
      </x:c>
      <x:c r="O19" s="174" t="n">
        <x:f>IF(B19="",0,SUMIF(Ausgangsrechnungen!$C:$C,B19,Ausgangsrechnungen!$N:$N)+SUMIF(Ausgangsrechnungen!$C:$C,A19,Ausgangsrechnungen!$N:$N))</x:f>
        <x:v>0</x:v>
      </x:c>
      <x:c r="P19" s="175" t="n">
        <x:f>IF(B19="",0,SUMIF(Ausgangsrechnungen!$C:$C,B19,Ausgangsrechnungen!$G:$G)+SUMIF(Ausgangsrechnungen!$C:$C,A19,Ausgangsrechnungen!$G:$G))</x:f>
        <x:v>0</x:v>
      </x:c>
      <x:c r="Q19" s="175" t="n">
        <x:f>IF(B19="",0,SUMIF(Ausgangsrechnungen!$C:$C,B19,Ausgangsrechnungen!$H:$H)+SUMIF(Ausgangsrechnungen!$C:$C,A19,Ausgangsrechnungen!$H:$H))</x:f>
        <x:v>0</x:v>
      </x:c>
      <x:c r="R19" s="175">
        <x:f t="shared" si="0"/>
        <x:v>0</x:v>
      </x:c>
      <x:c r="S19" s="175">
        <x:f t="shared" si="1"/>
        <x:v>0</x:v>
      </x:c>
      <x:c r="T19" s="176">
        <x:f t="shared" si="2"/>
        <x:v>0</x:v>
      </x:c>
      <x:c r="U19" s="172" t="str">
        <x:f t="shared" si="3"/>
        <x:v>Kein Termin</x:v>
      </x:c>
      <x:c r="V19" s="171" t="str">
        <x:f t="shared" si="4"/>
      </x:c>
    </x:row>
    <x:row r="20">
      <x:c r="A20" s="168"/>
      <x:c r="B20" s="168"/>
      <x:c r="C20" s="168"/>
      <x:c r="D20" s="168"/>
      <x:c r="E20" s="168"/>
      <x:c r="F20" s="169"/>
      <x:c r="G20" s="169"/>
      <x:c r="H20" s="170"/>
      <x:c r="I20" s="168"/>
      <x:c r="J20" s="168"/>
      <x:c r="K20" s="168"/>
      <x:c r="L20" s="168"/>
      <x:c r="M20" s="173" t="str">
        <x:f>IF(E20="","",IFERROR(VLOOKUP(E20,Einstellungen!$I$2:$J$9,2,FALSE),0))</x:f>
      </x:c>
      <x:c r="N20" s="174" t="n">
        <x:f>IF(B20="",0,SUMIF(Eingangsrechnungen!$C:$C,B20,Eingangsrechnungen!$F:$F)+SUMIF(Eingangsrechnungen!$C:$C,A20,Eingangsrechnungen!$F:$F))</x:f>
        <x:v>0</x:v>
      </x:c>
      <x:c r="O20" s="174" t="n">
        <x:f>IF(B20="",0,SUMIF(Ausgangsrechnungen!$C:$C,B20,Ausgangsrechnungen!$N:$N)+SUMIF(Ausgangsrechnungen!$C:$C,A20,Ausgangsrechnungen!$N:$N))</x:f>
        <x:v>0</x:v>
      </x:c>
      <x:c r="P20" s="175" t="n">
        <x:f>IF(B20="",0,SUMIF(Ausgangsrechnungen!$C:$C,B20,Ausgangsrechnungen!$G:$G)+SUMIF(Ausgangsrechnungen!$C:$C,A20,Ausgangsrechnungen!$G:$G))</x:f>
        <x:v>0</x:v>
      </x:c>
      <x:c r="Q20" s="175" t="n">
        <x:f>IF(B20="",0,SUMIF(Ausgangsrechnungen!$C:$C,B20,Ausgangsrechnungen!$H:$H)+SUMIF(Ausgangsrechnungen!$C:$C,A20,Ausgangsrechnungen!$H:$H))</x:f>
        <x:v>0</x:v>
      </x:c>
      <x:c r="R20" s="175">
        <x:f t="shared" si="0"/>
        <x:v>0</x:v>
      </x:c>
      <x:c r="S20" s="175">
        <x:f t="shared" si="1"/>
        <x:v>0</x:v>
      </x:c>
      <x:c r="T20" s="176">
        <x:f t="shared" si="2"/>
        <x:v>0</x:v>
      </x:c>
      <x:c r="U20" s="172" t="str">
        <x:f t="shared" si="3"/>
        <x:v>Kein Termin</x:v>
      </x:c>
      <x:c r="V20" s="171" t="str">
        <x:f t="shared" si="4"/>
      </x:c>
    </x:row>
    <x:row r="21">
      <x:c r="A21" s="168"/>
      <x:c r="B21" s="168"/>
      <x:c r="C21" s="168"/>
      <x:c r="D21" s="168"/>
      <x:c r="E21" s="168"/>
      <x:c r="F21" s="169"/>
      <x:c r="G21" s="169"/>
      <x:c r="H21" s="170"/>
      <x:c r="I21" s="168"/>
      <x:c r="J21" s="168"/>
      <x:c r="K21" s="168"/>
      <x:c r="L21" s="168"/>
      <x:c r="M21" s="173" t="str">
        <x:f>IF(E21="","",IFERROR(VLOOKUP(E21,Einstellungen!$I$2:$J$9,2,FALSE),0))</x:f>
      </x:c>
      <x:c r="N21" s="174" t="n">
        <x:f>IF(B21="",0,SUMIF(Eingangsrechnungen!$C:$C,B21,Eingangsrechnungen!$F:$F)+SUMIF(Eingangsrechnungen!$C:$C,A21,Eingangsrechnungen!$F:$F))</x:f>
        <x:v>0</x:v>
      </x:c>
      <x:c r="O21" s="174" t="n">
        <x:f>IF(B21="",0,SUMIF(Ausgangsrechnungen!$C:$C,B21,Ausgangsrechnungen!$N:$N)+SUMIF(Ausgangsrechnungen!$C:$C,A21,Ausgangsrechnungen!$N:$N))</x:f>
        <x:v>0</x:v>
      </x:c>
      <x:c r="P21" s="175" t="n">
        <x:f>IF(B21="",0,SUMIF(Ausgangsrechnungen!$C:$C,B21,Ausgangsrechnungen!$G:$G)+SUMIF(Ausgangsrechnungen!$C:$C,A21,Ausgangsrechnungen!$G:$G))</x:f>
        <x:v>0</x:v>
      </x:c>
      <x:c r="Q21" s="175" t="n">
        <x:f>IF(B21="",0,SUMIF(Ausgangsrechnungen!$C:$C,B21,Ausgangsrechnungen!$H:$H)+SUMIF(Ausgangsrechnungen!$C:$C,A21,Ausgangsrechnungen!$H:$H))</x:f>
        <x:v>0</x:v>
      </x:c>
      <x:c r="R21" s="175">
        <x:f t="shared" si="0"/>
        <x:v>0</x:v>
      </x:c>
      <x:c r="S21" s="175">
        <x:f t="shared" si="1"/>
        <x:v>0</x:v>
      </x:c>
      <x:c r="T21" s="176">
        <x:f t="shared" si="2"/>
        <x:v>0</x:v>
      </x:c>
      <x:c r="U21" s="172" t="str">
        <x:f t="shared" si="3"/>
        <x:v>Kein Termin</x:v>
      </x:c>
      <x:c r="V21" s="171" t="str">
        <x:f t="shared" si="4"/>
      </x:c>
    </x:row>
    <x:row r="22">
      <x:c r="A22" s="168"/>
      <x:c r="B22" s="168"/>
      <x:c r="C22" s="168"/>
      <x:c r="D22" s="168"/>
      <x:c r="E22" s="168"/>
      <x:c r="F22" s="169"/>
      <x:c r="G22" s="169"/>
      <x:c r="H22" s="170"/>
      <x:c r="I22" s="168"/>
      <x:c r="J22" s="168"/>
      <x:c r="K22" s="168"/>
      <x:c r="L22" s="168"/>
      <x:c r="M22" s="173" t="str">
        <x:f>IF(E22="","",IFERROR(VLOOKUP(E22,Einstellungen!$I$2:$J$9,2,FALSE),0))</x:f>
      </x:c>
      <x:c r="N22" s="174" t="n">
        <x:f>IF(B22="",0,SUMIF(Eingangsrechnungen!$C:$C,B22,Eingangsrechnungen!$F:$F)+SUMIF(Eingangsrechnungen!$C:$C,A22,Eingangsrechnungen!$F:$F))</x:f>
        <x:v>0</x:v>
      </x:c>
      <x:c r="O22" s="174" t="n">
        <x:f>IF(B22="",0,SUMIF(Ausgangsrechnungen!$C:$C,B22,Ausgangsrechnungen!$N:$N)+SUMIF(Ausgangsrechnungen!$C:$C,A22,Ausgangsrechnungen!$N:$N))</x:f>
        <x:v>0</x:v>
      </x:c>
      <x:c r="P22" s="175" t="n">
        <x:f>IF(B22="",0,SUMIF(Ausgangsrechnungen!$C:$C,B22,Ausgangsrechnungen!$G:$G)+SUMIF(Ausgangsrechnungen!$C:$C,A22,Ausgangsrechnungen!$G:$G))</x:f>
        <x:v>0</x:v>
      </x:c>
      <x:c r="Q22" s="175" t="n">
        <x:f>IF(B22="",0,SUMIF(Ausgangsrechnungen!$C:$C,B22,Ausgangsrechnungen!$H:$H)+SUMIF(Ausgangsrechnungen!$C:$C,A22,Ausgangsrechnungen!$H:$H))</x:f>
        <x:v>0</x:v>
      </x:c>
      <x:c r="R22" s="175">
        <x:f t="shared" si="0"/>
        <x:v>0</x:v>
      </x:c>
      <x:c r="S22" s="175">
        <x:f t="shared" si="1"/>
        <x:v>0</x:v>
      </x:c>
      <x:c r="T22" s="176">
        <x:f t="shared" si="2"/>
        <x:v>0</x:v>
      </x:c>
      <x:c r="U22" s="172" t="str">
        <x:f t="shared" si="3"/>
        <x:v>Kein Termin</x:v>
      </x:c>
      <x:c r="V22" s="171" t="str">
        <x:f t="shared" si="4"/>
      </x:c>
    </x:row>
    <x:row r="23">
      <x:c r="A23" s="168"/>
      <x:c r="B23" s="168"/>
      <x:c r="C23" s="168"/>
      <x:c r="D23" s="168"/>
      <x:c r="E23" s="168"/>
      <x:c r="F23" s="169"/>
      <x:c r="G23" s="169"/>
      <x:c r="H23" s="170"/>
      <x:c r="I23" s="168"/>
      <x:c r="J23" s="168"/>
      <x:c r="K23" s="168"/>
      <x:c r="L23" s="168"/>
      <x:c r="M23" s="173" t="str">
        <x:f>IF(E23="","",IFERROR(VLOOKUP(E23,Einstellungen!$I$2:$J$9,2,FALSE),0))</x:f>
      </x:c>
      <x:c r="N23" s="174" t="n">
        <x:f>IF(B23="",0,SUMIF(Eingangsrechnungen!$C:$C,B23,Eingangsrechnungen!$F:$F)+SUMIF(Eingangsrechnungen!$C:$C,A23,Eingangsrechnungen!$F:$F))</x:f>
        <x:v>0</x:v>
      </x:c>
      <x:c r="O23" s="174" t="n">
        <x:f>IF(B23="",0,SUMIF(Ausgangsrechnungen!$C:$C,B23,Ausgangsrechnungen!$N:$N)+SUMIF(Ausgangsrechnungen!$C:$C,A23,Ausgangsrechnungen!$N:$N))</x:f>
        <x:v>0</x:v>
      </x:c>
      <x:c r="P23" s="175" t="n">
        <x:f>IF(B23="",0,SUMIF(Ausgangsrechnungen!$C:$C,B23,Ausgangsrechnungen!$G:$G)+SUMIF(Ausgangsrechnungen!$C:$C,A23,Ausgangsrechnungen!$G:$G))</x:f>
        <x:v>0</x:v>
      </x:c>
      <x:c r="Q23" s="175" t="n">
        <x:f>IF(B23="",0,SUMIF(Ausgangsrechnungen!$C:$C,B23,Ausgangsrechnungen!$H:$H)+SUMIF(Ausgangsrechnungen!$C:$C,A23,Ausgangsrechnungen!$H:$H))</x:f>
        <x:v>0</x:v>
      </x:c>
      <x:c r="R23" s="175">
        <x:f t="shared" si="0"/>
        <x:v>0</x:v>
      </x:c>
      <x:c r="S23" s="175">
        <x:f t="shared" si="1"/>
        <x:v>0</x:v>
      </x:c>
      <x:c r="T23" s="176">
        <x:f t="shared" si="2"/>
        <x:v>0</x:v>
      </x:c>
      <x:c r="U23" s="172" t="str">
        <x:f t="shared" si="3"/>
        <x:v>Kein Termin</x:v>
      </x:c>
      <x:c r="V23" s="171" t="str">
        <x:f t="shared" si="4"/>
      </x:c>
    </x:row>
    <x:row r="24">
      <x:c r="A24" s="168"/>
      <x:c r="B24" s="168"/>
      <x:c r="C24" s="168"/>
      <x:c r="D24" s="168"/>
      <x:c r="E24" s="168"/>
      <x:c r="F24" s="169"/>
      <x:c r="G24" s="169"/>
      <x:c r="H24" s="170"/>
      <x:c r="I24" s="168"/>
      <x:c r="J24" s="168"/>
      <x:c r="K24" s="168"/>
      <x:c r="L24" s="168"/>
      <x:c r="M24" s="173" t="str">
        <x:f>IF(E24="","",IFERROR(VLOOKUP(E24,Einstellungen!$I$2:$J$9,2,FALSE),0))</x:f>
      </x:c>
      <x:c r="N24" s="174" t="n">
        <x:f>IF(B24="",0,SUMIF(Eingangsrechnungen!$C:$C,B24,Eingangsrechnungen!$F:$F)+SUMIF(Eingangsrechnungen!$C:$C,A24,Eingangsrechnungen!$F:$F))</x:f>
        <x:v>0</x:v>
      </x:c>
      <x:c r="O24" s="174" t="n">
        <x:f>IF(B24="",0,SUMIF(Ausgangsrechnungen!$C:$C,B24,Ausgangsrechnungen!$N:$N)+SUMIF(Ausgangsrechnungen!$C:$C,A24,Ausgangsrechnungen!$N:$N))</x:f>
        <x:v>0</x:v>
      </x:c>
      <x:c r="P24" s="175" t="n">
        <x:f>IF(B24="",0,SUMIF(Ausgangsrechnungen!$C:$C,B24,Ausgangsrechnungen!$G:$G)+SUMIF(Ausgangsrechnungen!$C:$C,A24,Ausgangsrechnungen!$G:$G))</x:f>
        <x:v>0</x:v>
      </x:c>
      <x:c r="Q24" s="175" t="n">
        <x:f>IF(B24="",0,SUMIF(Ausgangsrechnungen!$C:$C,B24,Ausgangsrechnungen!$H:$H)+SUMIF(Ausgangsrechnungen!$C:$C,A24,Ausgangsrechnungen!$H:$H))</x:f>
        <x:v>0</x:v>
      </x:c>
      <x:c r="R24" s="175">
        <x:f t="shared" si="0"/>
        <x:v>0</x:v>
      </x:c>
      <x:c r="S24" s="175">
        <x:f t="shared" si="1"/>
        <x:v>0</x:v>
      </x:c>
      <x:c r="T24" s="176">
        <x:f t="shared" si="2"/>
        <x:v>0</x:v>
      </x:c>
      <x:c r="U24" s="172" t="str">
        <x:f t="shared" si="3"/>
        <x:v>Kein Termin</x:v>
      </x:c>
      <x:c r="V24" s="171" t="str">
        <x:f t="shared" si="4"/>
      </x:c>
    </x:row>
    <x:row r="25">
      <x:c r="A25" s="168"/>
      <x:c r="B25" s="168"/>
      <x:c r="C25" s="168"/>
      <x:c r="D25" s="168"/>
      <x:c r="E25" s="168"/>
      <x:c r="F25" s="169"/>
      <x:c r="G25" s="169"/>
      <x:c r="H25" s="170"/>
      <x:c r="I25" s="168"/>
      <x:c r="J25" s="168"/>
      <x:c r="K25" s="168"/>
      <x:c r="L25" s="168"/>
      <x:c r="M25" s="173" t="str">
        <x:f>IF(E25="","",IFERROR(VLOOKUP(E25,Einstellungen!$I$2:$J$9,2,FALSE),0))</x:f>
      </x:c>
      <x:c r="N25" s="174" t="n">
        <x:f>IF(B25="",0,SUMIF(Eingangsrechnungen!$C:$C,B25,Eingangsrechnungen!$F:$F)+SUMIF(Eingangsrechnungen!$C:$C,A25,Eingangsrechnungen!$F:$F))</x:f>
        <x:v>0</x:v>
      </x:c>
      <x:c r="O25" s="174" t="n">
        <x:f>IF(B25="",0,SUMIF(Ausgangsrechnungen!$C:$C,B25,Ausgangsrechnungen!$N:$N)+SUMIF(Ausgangsrechnungen!$C:$C,A25,Ausgangsrechnungen!$N:$N))</x:f>
        <x:v>0</x:v>
      </x:c>
      <x:c r="P25" s="175" t="n">
        <x:f>IF(B25="",0,SUMIF(Ausgangsrechnungen!$C:$C,B25,Ausgangsrechnungen!$G:$G)+SUMIF(Ausgangsrechnungen!$C:$C,A25,Ausgangsrechnungen!$G:$G))</x:f>
        <x:v>0</x:v>
      </x:c>
      <x:c r="Q25" s="175" t="n">
        <x:f>IF(B25="",0,SUMIF(Ausgangsrechnungen!$C:$C,B25,Ausgangsrechnungen!$H:$H)+SUMIF(Ausgangsrechnungen!$C:$C,A25,Ausgangsrechnungen!$H:$H))</x:f>
        <x:v>0</x:v>
      </x:c>
      <x:c r="R25" s="175">
        <x:f t="shared" si="0"/>
        <x:v>0</x:v>
      </x:c>
      <x:c r="S25" s="175">
        <x:f t="shared" si="1"/>
        <x:v>0</x:v>
      </x:c>
      <x:c r="T25" s="176">
        <x:f t="shared" si="2"/>
        <x:v>0</x:v>
      </x:c>
      <x:c r="U25" s="172" t="str">
        <x:f t="shared" si="3"/>
        <x:v>Kein Termin</x:v>
      </x:c>
      <x:c r="V25" s="171" t="str">
        <x:f t="shared" si="4"/>
      </x:c>
    </x:row>
    <x:row r="26">
      <x:c r="A26" s="168"/>
      <x:c r="B26" s="168"/>
      <x:c r="C26" s="168"/>
      <x:c r="D26" s="168"/>
      <x:c r="E26" s="168"/>
      <x:c r="F26" s="169"/>
      <x:c r="G26" s="169"/>
      <x:c r="H26" s="170"/>
      <x:c r="I26" s="168"/>
      <x:c r="J26" s="168"/>
      <x:c r="K26" s="168"/>
      <x:c r="L26" s="168"/>
      <x:c r="M26" s="173" t="str">
        <x:f>IF(E26="","",IFERROR(VLOOKUP(E26,Einstellungen!$I$2:$J$9,2,FALSE),0))</x:f>
      </x:c>
      <x:c r="N26" s="174" t="n">
        <x:f>IF(B26="",0,SUMIF(Eingangsrechnungen!$C:$C,B26,Eingangsrechnungen!$F:$F)+SUMIF(Eingangsrechnungen!$C:$C,A26,Eingangsrechnungen!$F:$F))</x:f>
        <x:v>0</x:v>
      </x:c>
      <x:c r="O26" s="174" t="n">
        <x:f>IF(B26="",0,SUMIF(Ausgangsrechnungen!$C:$C,B26,Ausgangsrechnungen!$N:$N)+SUMIF(Ausgangsrechnungen!$C:$C,A26,Ausgangsrechnungen!$N:$N))</x:f>
        <x:v>0</x:v>
      </x:c>
      <x:c r="P26" s="175" t="n">
        <x:f>IF(B26="",0,SUMIF(Ausgangsrechnungen!$C:$C,B26,Ausgangsrechnungen!$G:$G)+SUMIF(Ausgangsrechnungen!$C:$C,A26,Ausgangsrechnungen!$G:$G))</x:f>
        <x:v>0</x:v>
      </x:c>
      <x:c r="Q26" s="175" t="n">
        <x:f>IF(B26="",0,SUMIF(Ausgangsrechnungen!$C:$C,B26,Ausgangsrechnungen!$H:$H)+SUMIF(Ausgangsrechnungen!$C:$C,A26,Ausgangsrechnungen!$H:$H))</x:f>
        <x:v>0</x:v>
      </x:c>
      <x:c r="R26" s="175">
        <x:f t="shared" si="0"/>
        <x:v>0</x:v>
      </x:c>
      <x:c r="S26" s="175">
        <x:f t="shared" si="1"/>
        <x:v>0</x:v>
      </x:c>
      <x:c r="T26" s="176">
        <x:f t="shared" si="2"/>
        <x:v>0</x:v>
      </x:c>
      <x:c r="U26" s="172" t="str">
        <x:f t="shared" si="3"/>
        <x:v>Kein Termin</x:v>
      </x:c>
      <x:c r="V26" s="171" t="str">
        <x:f t="shared" si="4"/>
      </x:c>
    </x:row>
    <x:row r="27">
      <x:c r="A27" s="168"/>
      <x:c r="B27" s="168"/>
      <x:c r="C27" s="168"/>
      <x:c r="D27" s="168"/>
      <x:c r="E27" s="168"/>
      <x:c r="F27" s="169"/>
      <x:c r="G27" s="169"/>
      <x:c r="H27" s="170"/>
      <x:c r="I27" s="168"/>
      <x:c r="J27" s="168"/>
      <x:c r="K27" s="168"/>
      <x:c r="L27" s="168"/>
      <x:c r="M27" s="173" t="str">
        <x:f>IF(E27="","",IFERROR(VLOOKUP(E27,Einstellungen!$I$2:$J$9,2,FALSE),0))</x:f>
      </x:c>
      <x:c r="N27" s="174" t="n">
        <x:f>IF(B27="",0,SUMIF(Eingangsrechnungen!$C:$C,B27,Eingangsrechnungen!$F:$F)+SUMIF(Eingangsrechnungen!$C:$C,A27,Eingangsrechnungen!$F:$F))</x:f>
        <x:v>0</x:v>
      </x:c>
      <x:c r="O27" s="174" t="n">
        <x:f>IF(B27="",0,SUMIF(Ausgangsrechnungen!$C:$C,B27,Ausgangsrechnungen!$N:$N)+SUMIF(Ausgangsrechnungen!$C:$C,A27,Ausgangsrechnungen!$N:$N))</x:f>
        <x:v>0</x:v>
      </x:c>
      <x:c r="P27" s="175" t="n">
        <x:f>IF(B27="",0,SUMIF(Ausgangsrechnungen!$C:$C,B27,Ausgangsrechnungen!$G:$G)+SUMIF(Ausgangsrechnungen!$C:$C,A27,Ausgangsrechnungen!$G:$G))</x:f>
        <x:v>0</x:v>
      </x:c>
      <x:c r="Q27" s="175" t="n">
        <x:f>IF(B27="",0,SUMIF(Ausgangsrechnungen!$C:$C,B27,Ausgangsrechnungen!$H:$H)+SUMIF(Ausgangsrechnungen!$C:$C,A27,Ausgangsrechnungen!$H:$H))</x:f>
        <x:v>0</x:v>
      </x:c>
      <x:c r="R27" s="175">
        <x:f t="shared" si="0"/>
        <x:v>0</x:v>
      </x:c>
      <x:c r="S27" s="175">
        <x:f t="shared" si="1"/>
        <x:v>0</x:v>
      </x:c>
      <x:c r="T27" s="176">
        <x:f t="shared" si="2"/>
        <x:v>0</x:v>
      </x:c>
      <x:c r="U27" s="172" t="str">
        <x:f t="shared" si="3"/>
        <x:v>Kein Termin</x:v>
      </x:c>
      <x:c r="V27" s="171" t="str">
        <x:f t="shared" si="4"/>
      </x:c>
    </x:row>
    <x:row r="28">
      <x:c r="A28" s="168"/>
      <x:c r="B28" s="168"/>
      <x:c r="C28" s="168"/>
      <x:c r="D28" s="168"/>
      <x:c r="E28" s="168"/>
      <x:c r="F28" s="169"/>
      <x:c r="G28" s="169"/>
      <x:c r="H28" s="170"/>
      <x:c r="I28" s="168"/>
      <x:c r="J28" s="168"/>
      <x:c r="K28" s="168"/>
      <x:c r="L28" s="168"/>
      <x:c r="M28" s="173" t="str">
        <x:f>IF(E28="","",IFERROR(VLOOKUP(E28,Einstellungen!$I$2:$J$9,2,FALSE),0))</x:f>
      </x:c>
      <x:c r="N28" s="174" t="n">
        <x:f>IF(B28="",0,SUMIF(Eingangsrechnungen!$C:$C,B28,Eingangsrechnungen!$F:$F)+SUMIF(Eingangsrechnungen!$C:$C,A28,Eingangsrechnungen!$F:$F))</x:f>
        <x:v>0</x:v>
      </x:c>
      <x:c r="O28" s="174" t="n">
        <x:f>IF(B28="",0,SUMIF(Ausgangsrechnungen!$C:$C,B28,Ausgangsrechnungen!$N:$N)+SUMIF(Ausgangsrechnungen!$C:$C,A28,Ausgangsrechnungen!$N:$N))</x:f>
        <x:v>0</x:v>
      </x:c>
      <x:c r="P28" s="175" t="n">
        <x:f>IF(B28="",0,SUMIF(Ausgangsrechnungen!$C:$C,B28,Ausgangsrechnungen!$G:$G)+SUMIF(Ausgangsrechnungen!$C:$C,A28,Ausgangsrechnungen!$G:$G))</x:f>
        <x:v>0</x:v>
      </x:c>
      <x:c r="Q28" s="175" t="n">
        <x:f>IF(B28="",0,SUMIF(Ausgangsrechnungen!$C:$C,B28,Ausgangsrechnungen!$H:$H)+SUMIF(Ausgangsrechnungen!$C:$C,A28,Ausgangsrechnungen!$H:$H))</x:f>
        <x:v>0</x:v>
      </x:c>
      <x:c r="R28" s="175">
        <x:f t="shared" si="0"/>
        <x:v>0</x:v>
      </x:c>
      <x:c r="S28" s="175">
        <x:f t="shared" si="1"/>
        <x:v>0</x:v>
      </x:c>
      <x:c r="T28" s="176">
        <x:f t="shared" si="2"/>
        <x:v>0</x:v>
      </x:c>
      <x:c r="U28" s="172" t="str">
        <x:f t="shared" si="3"/>
        <x:v>Kein Termin</x:v>
      </x:c>
      <x:c r="V28" s="171" t="str">
        <x:f t="shared" si="4"/>
      </x:c>
    </x:row>
    <x:row r="29">
      <x:c r="A29" s="168"/>
      <x:c r="B29" s="168"/>
      <x:c r="C29" s="168"/>
      <x:c r="D29" s="168"/>
      <x:c r="E29" s="168"/>
      <x:c r="F29" s="169"/>
      <x:c r="G29" s="169"/>
      <x:c r="H29" s="170"/>
      <x:c r="I29" s="168"/>
      <x:c r="J29" s="168"/>
      <x:c r="K29" s="168"/>
      <x:c r="L29" s="168"/>
      <x:c r="M29" s="173" t="str">
        <x:f>IF(E29="","",IFERROR(VLOOKUP(E29,Einstellungen!$I$2:$J$9,2,FALSE),0))</x:f>
      </x:c>
      <x:c r="N29" s="174" t="n">
        <x:f>IF(B29="",0,SUMIF(Eingangsrechnungen!$C:$C,B29,Eingangsrechnungen!$F:$F)+SUMIF(Eingangsrechnungen!$C:$C,A29,Eingangsrechnungen!$F:$F))</x:f>
        <x:v>0</x:v>
      </x:c>
      <x:c r="O29" s="174" t="n">
        <x:f>IF(B29="",0,SUMIF(Ausgangsrechnungen!$C:$C,B29,Ausgangsrechnungen!$N:$N)+SUMIF(Ausgangsrechnungen!$C:$C,A29,Ausgangsrechnungen!$N:$N))</x:f>
        <x:v>0</x:v>
      </x:c>
      <x:c r="P29" s="175" t="n">
        <x:f>IF(B29="",0,SUMIF(Ausgangsrechnungen!$C:$C,B29,Ausgangsrechnungen!$G:$G)+SUMIF(Ausgangsrechnungen!$C:$C,A29,Ausgangsrechnungen!$G:$G))</x:f>
        <x:v>0</x:v>
      </x:c>
      <x:c r="Q29" s="175" t="n">
        <x:f>IF(B29="",0,SUMIF(Ausgangsrechnungen!$C:$C,B29,Ausgangsrechnungen!$H:$H)+SUMIF(Ausgangsrechnungen!$C:$C,A29,Ausgangsrechnungen!$H:$H))</x:f>
        <x:v>0</x:v>
      </x:c>
      <x:c r="R29" s="175">
        <x:f t="shared" si="0"/>
        <x:v>0</x:v>
      </x:c>
      <x:c r="S29" s="175">
        <x:f t="shared" si="1"/>
        <x:v>0</x:v>
      </x:c>
      <x:c r="T29" s="176">
        <x:f t="shared" si="2"/>
        <x:v>0</x:v>
      </x:c>
      <x:c r="U29" s="172" t="str">
        <x:f t="shared" si="3"/>
        <x:v>Kein Termin</x:v>
      </x:c>
      <x:c r="V29" s="171" t="str">
        <x:f t="shared" si="4"/>
      </x:c>
    </x:row>
    <x:row r="30">
      <x:c r="A30" s="168"/>
      <x:c r="B30" s="168"/>
      <x:c r="C30" s="168"/>
      <x:c r="D30" s="168"/>
      <x:c r="E30" s="168"/>
      <x:c r="F30" s="169"/>
      <x:c r="G30" s="169"/>
      <x:c r="H30" s="170"/>
      <x:c r="I30" s="168"/>
      <x:c r="J30" s="168"/>
      <x:c r="K30" s="168"/>
      <x:c r="L30" s="168"/>
      <x:c r="M30" s="173" t="str">
        <x:f>IF(E30="","",IFERROR(VLOOKUP(E30,Einstellungen!$I$2:$J$9,2,FALSE),0))</x:f>
      </x:c>
      <x:c r="N30" s="174" t="n">
        <x:f>IF(B30="",0,SUMIF(Eingangsrechnungen!$C:$C,B30,Eingangsrechnungen!$F:$F)+SUMIF(Eingangsrechnungen!$C:$C,A30,Eingangsrechnungen!$F:$F))</x:f>
        <x:v>0</x:v>
      </x:c>
      <x:c r="O30" s="174" t="n">
        <x:f>IF(B30="",0,SUMIF(Ausgangsrechnungen!$C:$C,B30,Ausgangsrechnungen!$N:$N)+SUMIF(Ausgangsrechnungen!$C:$C,A30,Ausgangsrechnungen!$N:$N))</x:f>
        <x:v>0</x:v>
      </x:c>
      <x:c r="P30" s="175" t="n">
        <x:f>IF(B30="",0,SUMIF(Ausgangsrechnungen!$C:$C,B30,Ausgangsrechnungen!$G:$G)+SUMIF(Ausgangsrechnungen!$C:$C,A30,Ausgangsrechnungen!$G:$G))</x:f>
        <x:v>0</x:v>
      </x:c>
      <x:c r="Q30" s="175" t="n">
        <x:f>IF(B30="",0,SUMIF(Ausgangsrechnungen!$C:$C,B30,Ausgangsrechnungen!$H:$H)+SUMIF(Ausgangsrechnungen!$C:$C,A30,Ausgangsrechnungen!$H:$H))</x:f>
        <x:v>0</x:v>
      </x:c>
      <x:c r="R30" s="175">
        <x:f t="shared" si="0"/>
        <x:v>0</x:v>
      </x:c>
      <x:c r="S30" s="175">
        <x:f t="shared" si="1"/>
        <x:v>0</x:v>
      </x:c>
      <x:c r="T30" s="176">
        <x:f t="shared" si="2"/>
        <x:v>0</x:v>
      </x:c>
      <x:c r="U30" s="172" t="str">
        <x:f t="shared" si="3"/>
        <x:v>Kein Termin</x:v>
      </x:c>
      <x:c r="V30" s="171" t="str">
        <x:f t="shared" si="4"/>
      </x:c>
    </x:row>
    <x:row r="31">
      <x:c r="A31" s="168"/>
      <x:c r="B31" s="168"/>
      <x:c r="C31" s="168"/>
      <x:c r="D31" s="168"/>
      <x:c r="E31" s="168"/>
      <x:c r="F31" s="169"/>
      <x:c r="G31" s="169"/>
      <x:c r="H31" s="170"/>
      <x:c r="I31" s="168"/>
      <x:c r="J31" s="168"/>
      <x:c r="K31" s="168"/>
      <x:c r="L31" s="168"/>
      <x:c r="M31" s="173" t="str">
        <x:f>IF(E31="","",IFERROR(VLOOKUP(E31,Einstellungen!$I$2:$J$9,2,FALSE),0))</x:f>
      </x:c>
      <x:c r="N31" s="174" t="n">
        <x:f>IF(B31="",0,SUMIF(Eingangsrechnungen!$C:$C,B31,Eingangsrechnungen!$F:$F)+SUMIF(Eingangsrechnungen!$C:$C,A31,Eingangsrechnungen!$F:$F))</x:f>
        <x:v>0</x:v>
      </x:c>
      <x:c r="O31" s="174" t="n">
        <x:f>IF(B31="",0,SUMIF(Ausgangsrechnungen!$C:$C,B31,Ausgangsrechnungen!$N:$N)+SUMIF(Ausgangsrechnungen!$C:$C,A31,Ausgangsrechnungen!$N:$N))</x:f>
        <x:v>0</x:v>
      </x:c>
      <x:c r="P31" s="175" t="n">
        <x:f>IF(B31="",0,SUMIF(Ausgangsrechnungen!$C:$C,B31,Ausgangsrechnungen!$G:$G)+SUMIF(Ausgangsrechnungen!$C:$C,A31,Ausgangsrechnungen!$G:$G))</x:f>
        <x:v>0</x:v>
      </x:c>
      <x:c r="Q31" s="175" t="n">
        <x:f>IF(B31="",0,SUMIF(Ausgangsrechnungen!$C:$C,B31,Ausgangsrechnungen!$H:$H)+SUMIF(Ausgangsrechnungen!$C:$C,A31,Ausgangsrechnungen!$H:$H))</x:f>
        <x:v>0</x:v>
      </x:c>
      <x:c r="R31" s="175">
        <x:f t="shared" si="0"/>
        <x:v>0</x:v>
      </x:c>
      <x:c r="S31" s="175">
        <x:f t="shared" si="1"/>
        <x:v>0</x:v>
      </x:c>
      <x:c r="T31" s="176">
        <x:f t="shared" si="2"/>
        <x:v>0</x:v>
      </x:c>
      <x:c r="U31" s="172" t="str">
        <x:f t="shared" si="3"/>
        <x:v>Kein Termin</x:v>
      </x:c>
      <x:c r="V31" s="171" t="str">
        <x:f t="shared" si="4"/>
      </x:c>
    </x:row>
    <x:row r="32">
      <x:c r="A32" s="168"/>
      <x:c r="B32" s="168"/>
      <x:c r="C32" s="168"/>
      <x:c r="D32" s="168"/>
      <x:c r="E32" s="168"/>
      <x:c r="F32" s="169"/>
      <x:c r="G32" s="169"/>
      <x:c r="H32" s="170"/>
      <x:c r="I32" s="168"/>
      <x:c r="J32" s="168"/>
      <x:c r="K32" s="168"/>
      <x:c r="L32" s="168"/>
      <x:c r="M32" s="173" t="str">
        <x:f>IF(E32="","",IFERROR(VLOOKUP(E32,Einstellungen!$I$2:$J$9,2,FALSE),0))</x:f>
      </x:c>
      <x:c r="N32" s="174" t="n">
        <x:f>IF(B32="",0,SUMIF(Eingangsrechnungen!$C:$C,B32,Eingangsrechnungen!$F:$F)+SUMIF(Eingangsrechnungen!$C:$C,A32,Eingangsrechnungen!$F:$F))</x:f>
        <x:v>0</x:v>
      </x:c>
      <x:c r="O32" s="174" t="n">
        <x:f>IF(B32="",0,SUMIF(Ausgangsrechnungen!$C:$C,B32,Ausgangsrechnungen!$N:$N)+SUMIF(Ausgangsrechnungen!$C:$C,A32,Ausgangsrechnungen!$N:$N))</x:f>
        <x:v>0</x:v>
      </x:c>
      <x:c r="P32" s="175" t="n">
        <x:f>IF(B32="",0,SUMIF(Ausgangsrechnungen!$C:$C,B32,Ausgangsrechnungen!$G:$G)+SUMIF(Ausgangsrechnungen!$C:$C,A32,Ausgangsrechnungen!$G:$G))</x:f>
        <x:v>0</x:v>
      </x:c>
      <x:c r="Q32" s="175" t="n">
        <x:f>IF(B32="",0,SUMIF(Ausgangsrechnungen!$C:$C,B32,Ausgangsrechnungen!$H:$H)+SUMIF(Ausgangsrechnungen!$C:$C,A32,Ausgangsrechnungen!$H:$H))</x:f>
        <x:v>0</x:v>
      </x:c>
      <x:c r="R32" s="175">
        <x:f t="shared" si="0"/>
        <x:v>0</x:v>
      </x:c>
      <x:c r="S32" s="175">
        <x:f t="shared" si="1"/>
        <x:v>0</x:v>
      </x:c>
      <x:c r="T32" s="176">
        <x:f t="shared" si="2"/>
        <x:v>0</x:v>
      </x:c>
      <x:c r="U32" s="172" t="str">
        <x:f t="shared" si="3"/>
        <x:v>Kein Termin</x:v>
      </x:c>
      <x:c r="V32" s="171" t="str">
        <x:f t="shared" si="4"/>
      </x:c>
    </x:row>
    <x:row r="33">
      <x:c r="A33" s="168"/>
      <x:c r="B33" s="168"/>
      <x:c r="C33" s="168"/>
      <x:c r="D33" s="168"/>
      <x:c r="E33" s="168"/>
      <x:c r="F33" s="169"/>
      <x:c r="G33" s="169"/>
      <x:c r="H33" s="170"/>
      <x:c r="I33" s="168"/>
      <x:c r="J33" s="168"/>
      <x:c r="K33" s="168"/>
      <x:c r="L33" s="168"/>
      <x:c r="M33" s="173" t="str">
        <x:f>IF(E33="","",IFERROR(VLOOKUP(E33,Einstellungen!$I$2:$J$9,2,FALSE),0))</x:f>
      </x:c>
      <x:c r="N33" s="174" t="n">
        <x:f>IF(B33="",0,SUMIF(Eingangsrechnungen!$C:$C,B33,Eingangsrechnungen!$F:$F)+SUMIF(Eingangsrechnungen!$C:$C,A33,Eingangsrechnungen!$F:$F))</x:f>
        <x:v>0</x:v>
      </x:c>
      <x:c r="O33" s="174" t="n">
        <x:f>IF(B33="",0,SUMIF(Ausgangsrechnungen!$C:$C,B33,Ausgangsrechnungen!$N:$N)+SUMIF(Ausgangsrechnungen!$C:$C,A33,Ausgangsrechnungen!$N:$N))</x:f>
        <x:v>0</x:v>
      </x:c>
      <x:c r="P33" s="175" t="n">
        <x:f>IF(B33="",0,SUMIF(Ausgangsrechnungen!$C:$C,B33,Ausgangsrechnungen!$G:$G)+SUMIF(Ausgangsrechnungen!$C:$C,A33,Ausgangsrechnungen!$G:$G))</x:f>
        <x:v>0</x:v>
      </x:c>
      <x:c r="Q33" s="175" t="n">
        <x:f>IF(B33="",0,SUMIF(Ausgangsrechnungen!$C:$C,B33,Ausgangsrechnungen!$H:$H)+SUMIF(Ausgangsrechnungen!$C:$C,A33,Ausgangsrechnungen!$H:$H))</x:f>
        <x:v>0</x:v>
      </x:c>
      <x:c r="R33" s="175">
        <x:f t="shared" si="0"/>
        <x:v>0</x:v>
      </x:c>
      <x:c r="S33" s="175">
        <x:f t="shared" si="1"/>
        <x:v>0</x:v>
      </x:c>
      <x:c r="T33" s="176">
        <x:f t="shared" si="2"/>
        <x:v>0</x:v>
      </x:c>
      <x:c r="U33" s="172" t="str">
        <x:f t="shared" si="3"/>
        <x:v>Kein Termin</x:v>
      </x:c>
      <x:c r="V33" s="171" t="str">
        <x:f t="shared" si="4"/>
      </x:c>
    </x:row>
    <x:row r="34">
      <x:c r="A34" s="168"/>
      <x:c r="B34" s="168"/>
      <x:c r="C34" s="168"/>
      <x:c r="D34" s="168"/>
      <x:c r="E34" s="168"/>
      <x:c r="F34" s="169"/>
      <x:c r="G34" s="169"/>
      <x:c r="H34" s="170"/>
      <x:c r="I34" s="168"/>
      <x:c r="J34" s="168"/>
      <x:c r="K34" s="168"/>
      <x:c r="L34" s="168"/>
      <x:c r="M34" s="173" t="str">
        <x:f>IF(E34="","",IFERROR(VLOOKUP(E34,Einstellungen!$I$2:$J$9,2,FALSE),0))</x:f>
      </x:c>
      <x:c r="N34" s="174" t="n">
        <x:f>IF(B34="",0,SUMIF(Eingangsrechnungen!$C:$C,B34,Eingangsrechnungen!$F:$F)+SUMIF(Eingangsrechnungen!$C:$C,A34,Eingangsrechnungen!$F:$F))</x:f>
        <x:v>0</x:v>
      </x:c>
      <x:c r="O34" s="174" t="n">
        <x:f>IF(B34="",0,SUMIF(Ausgangsrechnungen!$C:$C,B34,Ausgangsrechnungen!$N:$N)+SUMIF(Ausgangsrechnungen!$C:$C,A34,Ausgangsrechnungen!$N:$N))</x:f>
        <x:v>0</x:v>
      </x:c>
      <x:c r="P34" s="175" t="n">
        <x:f>IF(B34="",0,SUMIF(Ausgangsrechnungen!$C:$C,B34,Ausgangsrechnungen!$G:$G)+SUMIF(Ausgangsrechnungen!$C:$C,A34,Ausgangsrechnungen!$G:$G))</x:f>
        <x:v>0</x:v>
      </x:c>
      <x:c r="Q34" s="175" t="n">
        <x:f>IF(B34="",0,SUMIF(Ausgangsrechnungen!$C:$C,B34,Ausgangsrechnungen!$H:$H)+SUMIF(Ausgangsrechnungen!$C:$C,A34,Ausgangsrechnungen!$H:$H))</x:f>
        <x:v>0</x:v>
      </x:c>
      <x:c r="R34" s="175" t="n">
        <x:f t="shared" ref="R34:R65" si="5">IF(F34="",0,F34/1.19-G34)</x:f>
        <x:v>0</x:v>
      </x:c>
      <x:c r="S34" s="175" t="n">
        <x:f t="shared" ref="S34:S65" si="6">IF(O34=0,0,O34-N34)</x:f>
        <x:v>0</x:v>
      </x:c>
      <x:c r="T34" s="176" t="n">
        <x:f t="shared" ref="T34:T65" si="7">IF(O34=0,0,S34/O34)</x:f>
        <x:v>0</x:v>
      </x:c>
      <x:c r="U34" s="172" t="str">
        <x:f t="shared" ref="U34:U65" si="8">IF(H34="","Kein Termin",IF(E34="Abgeschlossen","Abgeschlossen",IF(H34&lt;TODAY(),"ÜBERFÄLLIG",IF(H34&lt;=TODAY()+14,"BALD FÄLLIG","Im Plan"))))</x:f>
        <x:v>Kein Termin</x:v>
      </x:c>
      <x:c r="V34" s="171" t="str">
        <x:f t="shared" ref="V34:V65" si="9">IF(E34="","",IF(E34="Lead","Erstkontakt / Termin",IF(E34="Angebot","Angebot nachfassen",IF(E34="Auftrag","Material bestellen",IF(E34="Material bestellt","Montage terminieren",IF(E34="Montage geplant","Montage durchführen",IF(E34="Montage erledigt","Rechnung stellen",IF(E34="Rechnung offen","Zahlung überwachen","Archivieren"))))))))</x:f>
      </x:c>
    </x:row>
    <x:row r="35">
      <x:c r="A35" s="168"/>
      <x:c r="B35" s="168"/>
      <x:c r="C35" s="168"/>
      <x:c r="D35" s="168"/>
      <x:c r="E35" s="168"/>
      <x:c r="F35" s="169"/>
      <x:c r="G35" s="169"/>
      <x:c r="H35" s="170"/>
      <x:c r="I35" s="168"/>
      <x:c r="J35" s="168"/>
      <x:c r="K35" s="168"/>
      <x:c r="L35" s="168"/>
      <x:c r="M35" s="173" t="str">
        <x:f>IF(E35="","",IFERROR(VLOOKUP(E35,Einstellungen!$I$2:$J$9,2,FALSE),0))</x:f>
      </x:c>
      <x:c r="N35" s="174" t="n">
        <x:f>IF(B35="",0,SUMIF(Eingangsrechnungen!$C:$C,B35,Eingangsrechnungen!$F:$F)+SUMIF(Eingangsrechnungen!$C:$C,A35,Eingangsrechnungen!$F:$F))</x:f>
        <x:v>0</x:v>
      </x:c>
      <x:c r="O35" s="174" t="n">
        <x:f>IF(B35="",0,SUMIF(Ausgangsrechnungen!$C:$C,B35,Ausgangsrechnungen!$N:$N)+SUMIF(Ausgangsrechnungen!$C:$C,A35,Ausgangsrechnungen!$N:$N))</x:f>
        <x:v>0</x:v>
      </x:c>
      <x:c r="P35" s="175" t="n">
        <x:f>IF(B35="",0,SUMIF(Ausgangsrechnungen!$C:$C,B35,Ausgangsrechnungen!$G:$G)+SUMIF(Ausgangsrechnungen!$C:$C,A35,Ausgangsrechnungen!$G:$G))</x:f>
        <x:v>0</x:v>
      </x:c>
      <x:c r="Q35" s="175" t="n">
        <x:f>IF(B35="",0,SUMIF(Ausgangsrechnungen!$C:$C,B35,Ausgangsrechnungen!$H:$H)+SUMIF(Ausgangsrechnungen!$C:$C,A35,Ausgangsrechnungen!$H:$H))</x:f>
        <x:v>0</x:v>
      </x:c>
      <x:c r="R35" s="175">
        <x:f t="shared" si="5"/>
        <x:v>0</x:v>
      </x:c>
      <x:c r="S35" s="175">
        <x:f t="shared" si="6"/>
        <x:v>0</x:v>
      </x:c>
      <x:c r="T35" s="176">
        <x:f t="shared" si="7"/>
        <x:v>0</x:v>
      </x:c>
      <x:c r="U35" s="172" t="str">
        <x:f t="shared" si="8"/>
        <x:v>Kein Termin</x:v>
      </x:c>
      <x:c r="V35" s="171" t="str">
        <x:f t="shared" si="9"/>
      </x:c>
    </x:row>
    <x:row r="36">
      <x:c r="A36" s="168"/>
      <x:c r="B36" s="168"/>
      <x:c r="C36" s="168"/>
      <x:c r="D36" s="168"/>
      <x:c r="E36" s="168"/>
      <x:c r="F36" s="169"/>
      <x:c r="G36" s="169"/>
      <x:c r="H36" s="170"/>
      <x:c r="I36" s="168"/>
      <x:c r="J36" s="168"/>
      <x:c r="K36" s="168"/>
      <x:c r="L36" s="168"/>
      <x:c r="M36" s="173" t="str">
        <x:f>IF(E36="","",IFERROR(VLOOKUP(E36,Einstellungen!$I$2:$J$9,2,FALSE),0))</x:f>
      </x:c>
      <x:c r="N36" s="174" t="n">
        <x:f>IF(B36="",0,SUMIF(Eingangsrechnungen!$C:$C,B36,Eingangsrechnungen!$F:$F)+SUMIF(Eingangsrechnungen!$C:$C,A36,Eingangsrechnungen!$F:$F))</x:f>
        <x:v>0</x:v>
      </x:c>
      <x:c r="O36" s="174" t="n">
        <x:f>IF(B36="",0,SUMIF(Ausgangsrechnungen!$C:$C,B36,Ausgangsrechnungen!$N:$N)+SUMIF(Ausgangsrechnungen!$C:$C,A36,Ausgangsrechnungen!$N:$N))</x:f>
        <x:v>0</x:v>
      </x:c>
      <x:c r="P36" s="175" t="n">
        <x:f>IF(B36="",0,SUMIF(Ausgangsrechnungen!$C:$C,B36,Ausgangsrechnungen!$G:$G)+SUMIF(Ausgangsrechnungen!$C:$C,A36,Ausgangsrechnungen!$G:$G))</x:f>
        <x:v>0</x:v>
      </x:c>
      <x:c r="Q36" s="175" t="n">
        <x:f>IF(B36="",0,SUMIF(Ausgangsrechnungen!$C:$C,B36,Ausgangsrechnungen!$H:$H)+SUMIF(Ausgangsrechnungen!$C:$C,A36,Ausgangsrechnungen!$H:$H))</x:f>
        <x:v>0</x:v>
      </x:c>
      <x:c r="R36" s="175">
        <x:f t="shared" si="5"/>
        <x:v>0</x:v>
      </x:c>
      <x:c r="S36" s="175">
        <x:f t="shared" si="6"/>
        <x:v>0</x:v>
      </x:c>
      <x:c r="T36" s="176">
        <x:f t="shared" si="7"/>
        <x:v>0</x:v>
      </x:c>
      <x:c r="U36" s="172" t="str">
        <x:f t="shared" si="8"/>
        <x:v>Kein Termin</x:v>
      </x:c>
      <x:c r="V36" s="171" t="str">
        <x:f t="shared" si="9"/>
      </x:c>
    </x:row>
    <x:row r="37">
      <x:c r="A37" s="168"/>
      <x:c r="B37" s="168"/>
      <x:c r="C37" s="168"/>
      <x:c r="D37" s="168"/>
      <x:c r="E37" s="168"/>
      <x:c r="F37" s="169"/>
      <x:c r="G37" s="169"/>
      <x:c r="H37" s="170"/>
      <x:c r="I37" s="168"/>
      <x:c r="J37" s="168"/>
      <x:c r="K37" s="168"/>
      <x:c r="L37" s="168"/>
      <x:c r="M37" s="173" t="str">
        <x:f>IF(E37="","",IFERROR(VLOOKUP(E37,Einstellungen!$I$2:$J$9,2,FALSE),0))</x:f>
      </x:c>
      <x:c r="N37" s="174" t="n">
        <x:f>IF(B37="",0,SUMIF(Eingangsrechnungen!$C:$C,B37,Eingangsrechnungen!$F:$F)+SUMIF(Eingangsrechnungen!$C:$C,A37,Eingangsrechnungen!$F:$F))</x:f>
        <x:v>0</x:v>
      </x:c>
      <x:c r="O37" s="174" t="n">
        <x:f>IF(B37="",0,SUMIF(Ausgangsrechnungen!$C:$C,B37,Ausgangsrechnungen!$N:$N)+SUMIF(Ausgangsrechnungen!$C:$C,A37,Ausgangsrechnungen!$N:$N))</x:f>
        <x:v>0</x:v>
      </x:c>
      <x:c r="P37" s="175" t="n">
        <x:f>IF(B37="",0,SUMIF(Ausgangsrechnungen!$C:$C,B37,Ausgangsrechnungen!$G:$G)+SUMIF(Ausgangsrechnungen!$C:$C,A37,Ausgangsrechnungen!$G:$G))</x:f>
        <x:v>0</x:v>
      </x:c>
      <x:c r="Q37" s="175" t="n">
        <x:f>IF(B37="",0,SUMIF(Ausgangsrechnungen!$C:$C,B37,Ausgangsrechnungen!$H:$H)+SUMIF(Ausgangsrechnungen!$C:$C,A37,Ausgangsrechnungen!$H:$H))</x:f>
        <x:v>0</x:v>
      </x:c>
      <x:c r="R37" s="175">
        <x:f t="shared" si="5"/>
        <x:v>0</x:v>
      </x:c>
      <x:c r="S37" s="175">
        <x:f t="shared" si="6"/>
        <x:v>0</x:v>
      </x:c>
      <x:c r="T37" s="176">
        <x:f t="shared" si="7"/>
        <x:v>0</x:v>
      </x:c>
      <x:c r="U37" s="172" t="str">
        <x:f t="shared" si="8"/>
        <x:v>Kein Termin</x:v>
      </x:c>
      <x:c r="V37" s="171" t="str">
        <x:f t="shared" si="9"/>
      </x:c>
    </x:row>
    <x:row r="38">
      <x:c r="A38" s="168"/>
      <x:c r="B38" s="168"/>
      <x:c r="C38" s="168"/>
      <x:c r="D38" s="168"/>
      <x:c r="E38" s="168"/>
      <x:c r="F38" s="169"/>
      <x:c r="G38" s="169"/>
      <x:c r="H38" s="170"/>
      <x:c r="I38" s="168"/>
      <x:c r="J38" s="168"/>
      <x:c r="K38" s="168"/>
      <x:c r="L38" s="168"/>
      <x:c r="M38" s="173" t="str">
        <x:f>IF(E38="","",IFERROR(VLOOKUP(E38,Einstellungen!$I$2:$J$9,2,FALSE),0))</x:f>
      </x:c>
      <x:c r="N38" s="174" t="n">
        <x:f>IF(B38="",0,SUMIF(Eingangsrechnungen!$C:$C,B38,Eingangsrechnungen!$F:$F)+SUMIF(Eingangsrechnungen!$C:$C,A38,Eingangsrechnungen!$F:$F))</x:f>
        <x:v>0</x:v>
      </x:c>
      <x:c r="O38" s="174" t="n">
        <x:f>IF(B38="",0,SUMIF(Ausgangsrechnungen!$C:$C,B38,Ausgangsrechnungen!$N:$N)+SUMIF(Ausgangsrechnungen!$C:$C,A38,Ausgangsrechnungen!$N:$N))</x:f>
        <x:v>0</x:v>
      </x:c>
      <x:c r="P38" s="175" t="n">
        <x:f>IF(B38="",0,SUMIF(Ausgangsrechnungen!$C:$C,B38,Ausgangsrechnungen!$G:$G)+SUMIF(Ausgangsrechnungen!$C:$C,A38,Ausgangsrechnungen!$G:$G))</x:f>
        <x:v>0</x:v>
      </x:c>
      <x:c r="Q38" s="175" t="n">
        <x:f>IF(B38="",0,SUMIF(Ausgangsrechnungen!$C:$C,B38,Ausgangsrechnungen!$H:$H)+SUMIF(Ausgangsrechnungen!$C:$C,A38,Ausgangsrechnungen!$H:$H))</x:f>
        <x:v>0</x:v>
      </x:c>
      <x:c r="R38" s="175">
        <x:f t="shared" si="5"/>
        <x:v>0</x:v>
      </x:c>
      <x:c r="S38" s="175">
        <x:f t="shared" si="6"/>
        <x:v>0</x:v>
      </x:c>
      <x:c r="T38" s="176">
        <x:f t="shared" si="7"/>
        <x:v>0</x:v>
      </x:c>
      <x:c r="U38" s="172" t="str">
        <x:f t="shared" si="8"/>
        <x:v>Kein Termin</x:v>
      </x:c>
      <x:c r="V38" s="171" t="str">
        <x:f t="shared" si="9"/>
      </x:c>
    </x:row>
    <x:row r="39">
      <x:c r="A39" s="168"/>
      <x:c r="B39" s="168"/>
      <x:c r="C39" s="168"/>
      <x:c r="D39" s="168"/>
      <x:c r="E39" s="168"/>
      <x:c r="F39" s="169"/>
      <x:c r="G39" s="169"/>
      <x:c r="H39" s="170"/>
      <x:c r="I39" s="168"/>
      <x:c r="J39" s="168"/>
      <x:c r="K39" s="168"/>
      <x:c r="L39" s="168"/>
      <x:c r="M39" s="173" t="str">
        <x:f>IF(E39="","",IFERROR(VLOOKUP(E39,Einstellungen!$I$2:$J$9,2,FALSE),0))</x:f>
      </x:c>
      <x:c r="N39" s="174" t="n">
        <x:f>IF(B39="",0,SUMIF(Eingangsrechnungen!$C:$C,B39,Eingangsrechnungen!$F:$F)+SUMIF(Eingangsrechnungen!$C:$C,A39,Eingangsrechnungen!$F:$F))</x:f>
        <x:v>0</x:v>
      </x:c>
      <x:c r="O39" s="174" t="n">
        <x:f>IF(B39="",0,SUMIF(Ausgangsrechnungen!$C:$C,B39,Ausgangsrechnungen!$N:$N)+SUMIF(Ausgangsrechnungen!$C:$C,A39,Ausgangsrechnungen!$N:$N))</x:f>
        <x:v>0</x:v>
      </x:c>
      <x:c r="P39" s="175" t="n">
        <x:f>IF(B39="",0,SUMIF(Ausgangsrechnungen!$C:$C,B39,Ausgangsrechnungen!$G:$G)+SUMIF(Ausgangsrechnungen!$C:$C,A39,Ausgangsrechnungen!$G:$G))</x:f>
        <x:v>0</x:v>
      </x:c>
      <x:c r="Q39" s="175" t="n">
        <x:f>IF(B39="",0,SUMIF(Ausgangsrechnungen!$C:$C,B39,Ausgangsrechnungen!$H:$H)+SUMIF(Ausgangsrechnungen!$C:$C,A39,Ausgangsrechnungen!$H:$H))</x:f>
        <x:v>0</x:v>
      </x:c>
      <x:c r="R39" s="175">
        <x:f t="shared" si="5"/>
        <x:v>0</x:v>
      </x:c>
      <x:c r="S39" s="175">
        <x:f t="shared" si="6"/>
        <x:v>0</x:v>
      </x:c>
      <x:c r="T39" s="176">
        <x:f t="shared" si="7"/>
        <x:v>0</x:v>
      </x:c>
      <x:c r="U39" s="172" t="str">
        <x:f t="shared" si="8"/>
        <x:v>Kein Termin</x:v>
      </x:c>
      <x:c r="V39" s="171" t="str">
        <x:f t="shared" si="9"/>
      </x:c>
    </x:row>
    <x:row r="40">
      <x:c r="A40" s="168"/>
      <x:c r="B40" s="168"/>
      <x:c r="C40" s="168"/>
      <x:c r="D40" s="168"/>
      <x:c r="E40" s="168"/>
      <x:c r="F40" s="169"/>
      <x:c r="G40" s="169"/>
      <x:c r="H40" s="170"/>
      <x:c r="I40" s="168"/>
      <x:c r="J40" s="168"/>
      <x:c r="K40" s="168"/>
      <x:c r="L40" s="168"/>
      <x:c r="M40" s="173" t="str">
        <x:f>IF(E40="","",IFERROR(VLOOKUP(E40,Einstellungen!$I$2:$J$9,2,FALSE),0))</x:f>
      </x:c>
      <x:c r="N40" s="174" t="n">
        <x:f>IF(B40="",0,SUMIF(Eingangsrechnungen!$C:$C,B40,Eingangsrechnungen!$F:$F)+SUMIF(Eingangsrechnungen!$C:$C,A40,Eingangsrechnungen!$F:$F))</x:f>
        <x:v>0</x:v>
      </x:c>
      <x:c r="O40" s="174" t="n">
        <x:f>IF(B40="",0,SUMIF(Ausgangsrechnungen!$C:$C,B40,Ausgangsrechnungen!$N:$N)+SUMIF(Ausgangsrechnungen!$C:$C,A40,Ausgangsrechnungen!$N:$N))</x:f>
        <x:v>0</x:v>
      </x:c>
      <x:c r="P40" s="175" t="n">
        <x:f>IF(B40="",0,SUMIF(Ausgangsrechnungen!$C:$C,B40,Ausgangsrechnungen!$G:$G)+SUMIF(Ausgangsrechnungen!$C:$C,A40,Ausgangsrechnungen!$G:$G))</x:f>
        <x:v>0</x:v>
      </x:c>
      <x:c r="Q40" s="175" t="n">
        <x:f>IF(B40="",0,SUMIF(Ausgangsrechnungen!$C:$C,B40,Ausgangsrechnungen!$H:$H)+SUMIF(Ausgangsrechnungen!$C:$C,A40,Ausgangsrechnungen!$H:$H))</x:f>
        <x:v>0</x:v>
      </x:c>
      <x:c r="R40" s="175">
        <x:f t="shared" si="5"/>
        <x:v>0</x:v>
      </x:c>
      <x:c r="S40" s="175">
        <x:f t="shared" si="6"/>
        <x:v>0</x:v>
      </x:c>
      <x:c r="T40" s="176">
        <x:f t="shared" si="7"/>
        <x:v>0</x:v>
      </x:c>
      <x:c r="U40" s="172" t="str">
        <x:f t="shared" si="8"/>
        <x:v>Kein Termin</x:v>
      </x:c>
      <x:c r="V40" s="171" t="str">
        <x:f t="shared" si="9"/>
      </x:c>
    </x:row>
    <x:row r="41">
      <x:c r="A41" s="168"/>
      <x:c r="B41" s="168"/>
      <x:c r="C41" s="168"/>
      <x:c r="D41" s="168"/>
      <x:c r="E41" s="168"/>
      <x:c r="F41" s="169"/>
      <x:c r="G41" s="169"/>
      <x:c r="H41" s="170"/>
      <x:c r="I41" s="168"/>
      <x:c r="J41" s="168"/>
      <x:c r="K41" s="168"/>
      <x:c r="L41" s="168"/>
      <x:c r="M41" s="173" t="str">
        <x:f>IF(E41="","",IFERROR(VLOOKUP(E41,Einstellungen!$I$2:$J$9,2,FALSE),0))</x:f>
      </x:c>
      <x:c r="N41" s="174" t="n">
        <x:f>IF(B41="",0,SUMIF(Eingangsrechnungen!$C:$C,B41,Eingangsrechnungen!$F:$F)+SUMIF(Eingangsrechnungen!$C:$C,A41,Eingangsrechnungen!$F:$F))</x:f>
        <x:v>0</x:v>
      </x:c>
      <x:c r="O41" s="174" t="n">
        <x:f>IF(B41="",0,SUMIF(Ausgangsrechnungen!$C:$C,B41,Ausgangsrechnungen!$N:$N)+SUMIF(Ausgangsrechnungen!$C:$C,A41,Ausgangsrechnungen!$N:$N))</x:f>
        <x:v>0</x:v>
      </x:c>
      <x:c r="P41" s="175" t="n">
        <x:f>IF(B41="",0,SUMIF(Ausgangsrechnungen!$C:$C,B41,Ausgangsrechnungen!$G:$G)+SUMIF(Ausgangsrechnungen!$C:$C,A41,Ausgangsrechnungen!$G:$G))</x:f>
        <x:v>0</x:v>
      </x:c>
      <x:c r="Q41" s="175" t="n">
        <x:f>IF(B41="",0,SUMIF(Ausgangsrechnungen!$C:$C,B41,Ausgangsrechnungen!$H:$H)+SUMIF(Ausgangsrechnungen!$C:$C,A41,Ausgangsrechnungen!$H:$H))</x:f>
        <x:v>0</x:v>
      </x:c>
      <x:c r="R41" s="175">
        <x:f t="shared" si="5"/>
        <x:v>0</x:v>
      </x:c>
      <x:c r="S41" s="175">
        <x:f t="shared" si="6"/>
        <x:v>0</x:v>
      </x:c>
      <x:c r="T41" s="176">
        <x:f t="shared" si="7"/>
        <x:v>0</x:v>
      </x:c>
      <x:c r="U41" s="172" t="str">
        <x:f t="shared" si="8"/>
        <x:v>Kein Termin</x:v>
      </x:c>
      <x:c r="V41" s="171" t="str">
        <x:f t="shared" si="9"/>
      </x:c>
    </x:row>
    <x:row r="42">
      <x:c r="A42" s="168"/>
      <x:c r="B42" s="168"/>
      <x:c r="C42" s="168"/>
      <x:c r="D42" s="168"/>
      <x:c r="E42" s="168"/>
      <x:c r="F42" s="169"/>
      <x:c r="G42" s="169"/>
      <x:c r="H42" s="170"/>
      <x:c r="I42" s="168"/>
      <x:c r="J42" s="168"/>
      <x:c r="K42" s="168"/>
      <x:c r="L42" s="168"/>
      <x:c r="M42" s="173" t="str">
        <x:f>IF(E42="","",IFERROR(VLOOKUP(E42,Einstellungen!$I$2:$J$9,2,FALSE),0))</x:f>
      </x:c>
      <x:c r="N42" s="174" t="n">
        <x:f>IF(B42="",0,SUMIF(Eingangsrechnungen!$C:$C,B42,Eingangsrechnungen!$F:$F)+SUMIF(Eingangsrechnungen!$C:$C,A42,Eingangsrechnungen!$F:$F))</x:f>
        <x:v>0</x:v>
      </x:c>
      <x:c r="O42" s="174" t="n">
        <x:f>IF(B42="",0,SUMIF(Ausgangsrechnungen!$C:$C,B42,Ausgangsrechnungen!$N:$N)+SUMIF(Ausgangsrechnungen!$C:$C,A42,Ausgangsrechnungen!$N:$N))</x:f>
        <x:v>0</x:v>
      </x:c>
      <x:c r="P42" s="175" t="n">
        <x:f>IF(B42="",0,SUMIF(Ausgangsrechnungen!$C:$C,B42,Ausgangsrechnungen!$G:$G)+SUMIF(Ausgangsrechnungen!$C:$C,A42,Ausgangsrechnungen!$G:$G))</x:f>
        <x:v>0</x:v>
      </x:c>
      <x:c r="Q42" s="175" t="n">
        <x:f>IF(B42="",0,SUMIF(Ausgangsrechnungen!$C:$C,B42,Ausgangsrechnungen!$H:$H)+SUMIF(Ausgangsrechnungen!$C:$C,A42,Ausgangsrechnungen!$H:$H))</x:f>
        <x:v>0</x:v>
      </x:c>
      <x:c r="R42" s="175">
        <x:f t="shared" si="5"/>
        <x:v>0</x:v>
      </x:c>
      <x:c r="S42" s="175">
        <x:f t="shared" si="6"/>
        <x:v>0</x:v>
      </x:c>
      <x:c r="T42" s="176">
        <x:f t="shared" si="7"/>
        <x:v>0</x:v>
      </x:c>
      <x:c r="U42" s="172" t="str">
        <x:f t="shared" si="8"/>
        <x:v>Kein Termin</x:v>
      </x:c>
      <x:c r="V42" s="171" t="str">
        <x:f t="shared" si="9"/>
      </x:c>
    </x:row>
    <x:row r="43">
      <x:c r="A43" s="168"/>
      <x:c r="B43" s="168"/>
      <x:c r="C43" s="168"/>
      <x:c r="D43" s="168"/>
      <x:c r="E43" s="168"/>
      <x:c r="F43" s="169"/>
      <x:c r="G43" s="169"/>
      <x:c r="H43" s="170"/>
      <x:c r="I43" s="168"/>
      <x:c r="J43" s="168"/>
      <x:c r="K43" s="168"/>
      <x:c r="L43" s="168"/>
      <x:c r="M43" s="173" t="str">
        <x:f>IF(E43="","",IFERROR(VLOOKUP(E43,Einstellungen!$I$2:$J$9,2,FALSE),0))</x:f>
      </x:c>
      <x:c r="N43" s="174" t="n">
        <x:f>IF(B43="",0,SUMIF(Eingangsrechnungen!$C:$C,B43,Eingangsrechnungen!$F:$F)+SUMIF(Eingangsrechnungen!$C:$C,A43,Eingangsrechnungen!$F:$F))</x:f>
        <x:v>0</x:v>
      </x:c>
      <x:c r="O43" s="174" t="n">
        <x:f>IF(B43="",0,SUMIF(Ausgangsrechnungen!$C:$C,B43,Ausgangsrechnungen!$N:$N)+SUMIF(Ausgangsrechnungen!$C:$C,A43,Ausgangsrechnungen!$N:$N))</x:f>
        <x:v>0</x:v>
      </x:c>
      <x:c r="P43" s="175" t="n">
        <x:f>IF(B43="",0,SUMIF(Ausgangsrechnungen!$C:$C,B43,Ausgangsrechnungen!$G:$G)+SUMIF(Ausgangsrechnungen!$C:$C,A43,Ausgangsrechnungen!$G:$G))</x:f>
        <x:v>0</x:v>
      </x:c>
      <x:c r="Q43" s="175" t="n">
        <x:f>IF(B43="",0,SUMIF(Ausgangsrechnungen!$C:$C,B43,Ausgangsrechnungen!$H:$H)+SUMIF(Ausgangsrechnungen!$C:$C,A43,Ausgangsrechnungen!$H:$H))</x:f>
        <x:v>0</x:v>
      </x:c>
      <x:c r="R43" s="175">
        <x:f t="shared" si="5"/>
        <x:v>0</x:v>
      </x:c>
      <x:c r="S43" s="175">
        <x:f t="shared" si="6"/>
        <x:v>0</x:v>
      </x:c>
      <x:c r="T43" s="176">
        <x:f t="shared" si="7"/>
        <x:v>0</x:v>
      </x:c>
      <x:c r="U43" s="172" t="str">
        <x:f t="shared" si="8"/>
        <x:v>Kein Termin</x:v>
      </x:c>
      <x:c r="V43" s="171" t="str">
        <x:f t="shared" si="9"/>
      </x:c>
    </x:row>
    <x:row r="44">
      <x:c r="A44" s="168"/>
      <x:c r="B44" s="168"/>
      <x:c r="C44" s="168"/>
      <x:c r="D44" s="168"/>
      <x:c r="E44" s="168"/>
      <x:c r="F44" s="169"/>
      <x:c r="G44" s="169"/>
      <x:c r="H44" s="170"/>
      <x:c r="I44" s="168"/>
      <x:c r="J44" s="168"/>
      <x:c r="K44" s="168"/>
      <x:c r="L44" s="168"/>
      <x:c r="M44" s="173" t="str">
        <x:f>IF(E44="","",IFERROR(VLOOKUP(E44,Einstellungen!$I$2:$J$9,2,FALSE),0))</x:f>
      </x:c>
      <x:c r="N44" s="174" t="n">
        <x:f>IF(B44="",0,SUMIF(Eingangsrechnungen!$C:$C,B44,Eingangsrechnungen!$F:$F)+SUMIF(Eingangsrechnungen!$C:$C,A44,Eingangsrechnungen!$F:$F))</x:f>
        <x:v>0</x:v>
      </x:c>
      <x:c r="O44" s="174" t="n">
        <x:f>IF(B44="",0,SUMIF(Ausgangsrechnungen!$C:$C,B44,Ausgangsrechnungen!$N:$N)+SUMIF(Ausgangsrechnungen!$C:$C,A44,Ausgangsrechnungen!$N:$N))</x:f>
        <x:v>0</x:v>
      </x:c>
      <x:c r="P44" s="175" t="n">
        <x:f>IF(B44="",0,SUMIF(Ausgangsrechnungen!$C:$C,B44,Ausgangsrechnungen!$G:$G)+SUMIF(Ausgangsrechnungen!$C:$C,A44,Ausgangsrechnungen!$G:$G))</x:f>
        <x:v>0</x:v>
      </x:c>
      <x:c r="Q44" s="175" t="n">
        <x:f>IF(B44="",0,SUMIF(Ausgangsrechnungen!$C:$C,B44,Ausgangsrechnungen!$H:$H)+SUMIF(Ausgangsrechnungen!$C:$C,A44,Ausgangsrechnungen!$H:$H))</x:f>
        <x:v>0</x:v>
      </x:c>
      <x:c r="R44" s="175">
        <x:f t="shared" si="5"/>
        <x:v>0</x:v>
      </x:c>
      <x:c r="S44" s="175">
        <x:f t="shared" si="6"/>
        <x:v>0</x:v>
      </x:c>
      <x:c r="T44" s="176">
        <x:f t="shared" si="7"/>
        <x:v>0</x:v>
      </x:c>
      <x:c r="U44" s="172" t="str">
        <x:f t="shared" si="8"/>
        <x:v>Kein Termin</x:v>
      </x:c>
      <x:c r="V44" s="171" t="str">
        <x:f t="shared" si="9"/>
      </x:c>
    </x:row>
    <x:row r="45">
      <x:c r="A45" s="168"/>
      <x:c r="B45" s="168"/>
      <x:c r="C45" s="168"/>
      <x:c r="D45" s="168"/>
      <x:c r="E45" s="168"/>
      <x:c r="F45" s="169"/>
      <x:c r="G45" s="169"/>
      <x:c r="H45" s="170"/>
      <x:c r="I45" s="168"/>
      <x:c r="J45" s="168"/>
      <x:c r="K45" s="168"/>
      <x:c r="L45" s="168"/>
      <x:c r="M45" s="173" t="str">
        <x:f>IF(E45="","",IFERROR(VLOOKUP(E45,Einstellungen!$I$2:$J$9,2,FALSE),0))</x:f>
      </x:c>
      <x:c r="N45" s="174" t="n">
        <x:f>IF(B45="",0,SUMIF(Eingangsrechnungen!$C:$C,B45,Eingangsrechnungen!$F:$F)+SUMIF(Eingangsrechnungen!$C:$C,A45,Eingangsrechnungen!$F:$F))</x:f>
        <x:v>0</x:v>
      </x:c>
      <x:c r="O45" s="174" t="n">
        <x:f>IF(B45="",0,SUMIF(Ausgangsrechnungen!$C:$C,B45,Ausgangsrechnungen!$N:$N)+SUMIF(Ausgangsrechnungen!$C:$C,A45,Ausgangsrechnungen!$N:$N))</x:f>
        <x:v>0</x:v>
      </x:c>
      <x:c r="P45" s="175" t="n">
        <x:f>IF(B45="",0,SUMIF(Ausgangsrechnungen!$C:$C,B45,Ausgangsrechnungen!$G:$G)+SUMIF(Ausgangsrechnungen!$C:$C,A45,Ausgangsrechnungen!$G:$G))</x:f>
        <x:v>0</x:v>
      </x:c>
      <x:c r="Q45" s="175" t="n">
        <x:f>IF(B45="",0,SUMIF(Ausgangsrechnungen!$C:$C,B45,Ausgangsrechnungen!$H:$H)+SUMIF(Ausgangsrechnungen!$C:$C,A45,Ausgangsrechnungen!$H:$H))</x:f>
        <x:v>0</x:v>
      </x:c>
      <x:c r="R45" s="175">
        <x:f t="shared" si="5"/>
        <x:v>0</x:v>
      </x:c>
      <x:c r="S45" s="175">
        <x:f t="shared" si="6"/>
        <x:v>0</x:v>
      </x:c>
      <x:c r="T45" s="176">
        <x:f t="shared" si="7"/>
        <x:v>0</x:v>
      </x:c>
      <x:c r="U45" s="172" t="str">
        <x:f t="shared" si="8"/>
        <x:v>Kein Termin</x:v>
      </x:c>
      <x:c r="V45" s="171" t="str">
        <x:f t="shared" si="9"/>
      </x:c>
    </x:row>
    <x:row r="46">
      <x:c r="A46" s="168"/>
      <x:c r="B46" s="168"/>
      <x:c r="C46" s="168"/>
      <x:c r="D46" s="168"/>
      <x:c r="E46" s="168"/>
      <x:c r="F46" s="169"/>
      <x:c r="G46" s="169"/>
      <x:c r="H46" s="170"/>
      <x:c r="I46" s="168"/>
      <x:c r="J46" s="168"/>
      <x:c r="K46" s="168"/>
      <x:c r="L46" s="168"/>
      <x:c r="M46" s="173" t="str">
        <x:f>IF(E46="","",IFERROR(VLOOKUP(E46,Einstellungen!$I$2:$J$9,2,FALSE),0))</x:f>
      </x:c>
      <x:c r="N46" s="174" t="n">
        <x:f>IF(B46="",0,SUMIF(Eingangsrechnungen!$C:$C,B46,Eingangsrechnungen!$F:$F)+SUMIF(Eingangsrechnungen!$C:$C,A46,Eingangsrechnungen!$F:$F))</x:f>
        <x:v>0</x:v>
      </x:c>
      <x:c r="O46" s="174" t="n">
        <x:f>IF(B46="",0,SUMIF(Ausgangsrechnungen!$C:$C,B46,Ausgangsrechnungen!$N:$N)+SUMIF(Ausgangsrechnungen!$C:$C,A46,Ausgangsrechnungen!$N:$N))</x:f>
        <x:v>0</x:v>
      </x:c>
      <x:c r="P46" s="175" t="n">
        <x:f>IF(B46="",0,SUMIF(Ausgangsrechnungen!$C:$C,B46,Ausgangsrechnungen!$G:$G)+SUMIF(Ausgangsrechnungen!$C:$C,A46,Ausgangsrechnungen!$G:$G))</x:f>
        <x:v>0</x:v>
      </x:c>
      <x:c r="Q46" s="175" t="n">
        <x:f>IF(B46="",0,SUMIF(Ausgangsrechnungen!$C:$C,B46,Ausgangsrechnungen!$H:$H)+SUMIF(Ausgangsrechnungen!$C:$C,A46,Ausgangsrechnungen!$H:$H))</x:f>
        <x:v>0</x:v>
      </x:c>
      <x:c r="R46" s="175">
        <x:f t="shared" si="5"/>
        <x:v>0</x:v>
      </x:c>
      <x:c r="S46" s="175">
        <x:f t="shared" si="6"/>
        <x:v>0</x:v>
      </x:c>
      <x:c r="T46" s="176">
        <x:f t="shared" si="7"/>
        <x:v>0</x:v>
      </x:c>
      <x:c r="U46" s="172" t="str">
        <x:f t="shared" si="8"/>
        <x:v>Kein Termin</x:v>
      </x:c>
      <x:c r="V46" s="171" t="str">
        <x:f t="shared" si="9"/>
      </x:c>
    </x:row>
    <x:row r="47">
      <x:c r="A47" s="168"/>
      <x:c r="B47" s="168"/>
      <x:c r="C47" s="168"/>
      <x:c r="D47" s="168"/>
      <x:c r="E47" s="168"/>
      <x:c r="F47" s="169"/>
      <x:c r="G47" s="169"/>
      <x:c r="H47" s="170"/>
      <x:c r="I47" s="168"/>
      <x:c r="J47" s="168"/>
      <x:c r="K47" s="168"/>
      <x:c r="L47" s="168"/>
      <x:c r="M47" s="173" t="str">
        <x:f>IF(E47="","",IFERROR(VLOOKUP(E47,Einstellungen!$I$2:$J$9,2,FALSE),0))</x:f>
      </x:c>
      <x:c r="N47" s="174" t="n">
        <x:f>IF(B47="",0,SUMIF(Eingangsrechnungen!$C:$C,B47,Eingangsrechnungen!$F:$F)+SUMIF(Eingangsrechnungen!$C:$C,A47,Eingangsrechnungen!$F:$F))</x:f>
        <x:v>0</x:v>
      </x:c>
      <x:c r="O47" s="174" t="n">
        <x:f>IF(B47="",0,SUMIF(Ausgangsrechnungen!$C:$C,B47,Ausgangsrechnungen!$N:$N)+SUMIF(Ausgangsrechnungen!$C:$C,A47,Ausgangsrechnungen!$N:$N))</x:f>
        <x:v>0</x:v>
      </x:c>
      <x:c r="P47" s="175" t="n">
        <x:f>IF(B47="",0,SUMIF(Ausgangsrechnungen!$C:$C,B47,Ausgangsrechnungen!$G:$G)+SUMIF(Ausgangsrechnungen!$C:$C,A47,Ausgangsrechnungen!$G:$G))</x:f>
        <x:v>0</x:v>
      </x:c>
      <x:c r="Q47" s="175" t="n">
        <x:f>IF(B47="",0,SUMIF(Ausgangsrechnungen!$C:$C,B47,Ausgangsrechnungen!$H:$H)+SUMIF(Ausgangsrechnungen!$C:$C,A47,Ausgangsrechnungen!$H:$H))</x:f>
        <x:v>0</x:v>
      </x:c>
      <x:c r="R47" s="175">
        <x:f t="shared" si="5"/>
        <x:v>0</x:v>
      </x:c>
      <x:c r="S47" s="175">
        <x:f t="shared" si="6"/>
        <x:v>0</x:v>
      </x:c>
      <x:c r="T47" s="176">
        <x:f t="shared" si="7"/>
        <x:v>0</x:v>
      </x:c>
      <x:c r="U47" s="172" t="str">
        <x:f t="shared" si="8"/>
        <x:v>Kein Termin</x:v>
      </x:c>
      <x:c r="V47" s="171" t="str">
        <x:f t="shared" si="9"/>
      </x:c>
    </x:row>
    <x:row r="48">
      <x:c r="A48" s="168"/>
      <x:c r="B48" s="168"/>
      <x:c r="C48" s="168"/>
      <x:c r="D48" s="168"/>
      <x:c r="E48" s="168"/>
      <x:c r="F48" s="169"/>
      <x:c r="G48" s="169"/>
      <x:c r="H48" s="170"/>
      <x:c r="I48" s="168"/>
      <x:c r="J48" s="168"/>
      <x:c r="K48" s="168"/>
      <x:c r="L48" s="168"/>
      <x:c r="M48" s="173" t="str">
        <x:f>IF(E48="","",IFERROR(VLOOKUP(E48,Einstellungen!$I$2:$J$9,2,FALSE),0))</x:f>
      </x:c>
      <x:c r="N48" s="174" t="n">
        <x:f>IF(B48="",0,SUMIF(Eingangsrechnungen!$C:$C,B48,Eingangsrechnungen!$F:$F)+SUMIF(Eingangsrechnungen!$C:$C,A48,Eingangsrechnungen!$F:$F))</x:f>
        <x:v>0</x:v>
      </x:c>
      <x:c r="O48" s="174" t="n">
        <x:f>IF(B48="",0,SUMIF(Ausgangsrechnungen!$C:$C,B48,Ausgangsrechnungen!$N:$N)+SUMIF(Ausgangsrechnungen!$C:$C,A48,Ausgangsrechnungen!$N:$N))</x:f>
        <x:v>0</x:v>
      </x:c>
      <x:c r="P48" s="175" t="n">
        <x:f>IF(B48="",0,SUMIF(Ausgangsrechnungen!$C:$C,B48,Ausgangsrechnungen!$G:$G)+SUMIF(Ausgangsrechnungen!$C:$C,A48,Ausgangsrechnungen!$G:$G))</x:f>
        <x:v>0</x:v>
      </x:c>
      <x:c r="Q48" s="175" t="n">
        <x:f>IF(B48="",0,SUMIF(Ausgangsrechnungen!$C:$C,B48,Ausgangsrechnungen!$H:$H)+SUMIF(Ausgangsrechnungen!$C:$C,A48,Ausgangsrechnungen!$H:$H))</x:f>
        <x:v>0</x:v>
      </x:c>
      <x:c r="R48" s="175">
        <x:f t="shared" si="5"/>
        <x:v>0</x:v>
      </x:c>
      <x:c r="S48" s="175">
        <x:f t="shared" si="6"/>
        <x:v>0</x:v>
      </x:c>
      <x:c r="T48" s="176">
        <x:f t="shared" si="7"/>
        <x:v>0</x:v>
      </x:c>
      <x:c r="U48" s="172" t="str">
        <x:f t="shared" si="8"/>
        <x:v>Kein Termin</x:v>
      </x:c>
      <x:c r="V48" s="171" t="str">
        <x:f t="shared" si="9"/>
      </x:c>
    </x:row>
    <x:row r="49">
      <x:c r="A49" s="168"/>
      <x:c r="B49" s="168"/>
      <x:c r="C49" s="168"/>
      <x:c r="D49" s="168"/>
      <x:c r="E49" s="168"/>
      <x:c r="F49" s="169"/>
      <x:c r="G49" s="169"/>
      <x:c r="H49" s="170"/>
      <x:c r="I49" s="168"/>
      <x:c r="J49" s="168"/>
      <x:c r="K49" s="168"/>
      <x:c r="L49" s="168"/>
      <x:c r="M49" s="173" t="str">
        <x:f>IF(E49="","",IFERROR(VLOOKUP(E49,Einstellungen!$I$2:$J$9,2,FALSE),0))</x:f>
      </x:c>
      <x:c r="N49" s="174" t="n">
        <x:f>IF(B49="",0,SUMIF(Eingangsrechnungen!$C:$C,B49,Eingangsrechnungen!$F:$F)+SUMIF(Eingangsrechnungen!$C:$C,A49,Eingangsrechnungen!$F:$F))</x:f>
        <x:v>0</x:v>
      </x:c>
      <x:c r="O49" s="174" t="n">
        <x:f>IF(B49="",0,SUMIF(Ausgangsrechnungen!$C:$C,B49,Ausgangsrechnungen!$N:$N)+SUMIF(Ausgangsrechnungen!$C:$C,A49,Ausgangsrechnungen!$N:$N))</x:f>
        <x:v>0</x:v>
      </x:c>
      <x:c r="P49" s="175" t="n">
        <x:f>IF(B49="",0,SUMIF(Ausgangsrechnungen!$C:$C,B49,Ausgangsrechnungen!$G:$G)+SUMIF(Ausgangsrechnungen!$C:$C,A49,Ausgangsrechnungen!$G:$G))</x:f>
        <x:v>0</x:v>
      </x:c>
      <x:c r="Q49" s="175" t="n">
        <x:f>IF(B49="",0,SUMIF(Ausgangsrechnungen!$C:$C,B49,Ausgangsrechnungen!$H:$H)+SUMIF(Ausgangsrechnungen!$C:$C,A49,Ausgangsrechnungen!$H:$H))</x:f>
        <x:v>0</x:v>
      </x:c>
      <x:c r="R49" s="175">
        <x:f t="shared" si="5"/>
        <x:v>0</x:v>
      </x:c>
      <x:c r="S49" s="175">
        <x:f t="shared" si="6"/>
        <x:v>0</x:v>
      </x:c>
      <x:c r="T49" s="176">
        <x:f t="shared" si="7"/>
        <x:v>0</x:v>
      </x:c>
      <x:c r="U49" s="172" t="str">
        <x:f t="shared" si="8"/>
        <x:v>Kein Termin</x:v>
      </x:c>
      <x:c r="V49" s="171" t="str">
        <x:f t="shared" si="9"/>
      </x:c>
    </x:row>
    <x:row r="50">
      <x:c r="A50" s="168"/>
      <x:c r="B50" s="168"/>
      <x:c r="C50" s="168"/>
      <x:c r="D50" s="168"/>
      <x:c r="E50" s="168"/>
      <x:c r="F50" s="169"/>
      <x:c r="G50" s="169"/>
      <x:c r="H50" s="170"/>
      <x:c r="I50" s="168"/>
      <x:c r="J50" s="168"/>
      <x:c r="K50" s="168"/>
      <x:c r="L50" s="168"/>
      <x:c r="M50" s="173" t="str">
        <x:f>IF(E50="","",IFERROR(VLOOKUP(E50,Einstellungen!$I$2:$J$9,2,FALSE),0))</x:f>
      </x:c>
      <x:c r="N50" s="174" t="n">
        <x:f>IF(B50="",0,SUMIF(Eingangsrechnungen!$C:$C,B50,Eingangsrechnungen!$F:$F)+SUMIF(Eingangsrechnungen!$C:$C,A50,Eingangsrechnungen!$F:$F))</x:f>
        <x:v>0</x:v>
      </x:c>
      <x:c r="O50" s="174" t="n">
        <x:f>IF(B50="",0,SUMIF(Ausgangsrechnungen!$C:$C,B50,Ausgangsrechnungen!$N:$N)+SUMIF(Ausgangsrechnungen!$C:$C,A50,Ausgangsrechnungen!$N:$N))</x:f>
        <x:v>0</x:v>
      </x:c>
      <x:c r="P50" s="175" t="n">
        <x:f>IF(B50="",0,SUMIF(Ausgangsrechnungen!$C:$C,B50,Ausgangsrechnungen!$G:$G)+SUMIF(Ausgangsrechnungen!$C:$C,A50,Ausgangsrechnungen!$G:$G))</x:f>
        <x:v>0</x:v>
      </x:c>
      <x:c r="Q50" s="175" t="n">
        <x:f>IF(B50="",0,SUMIF(Ausgangsrechnungen!$C:$C,B50,Ausgangsrechnungen!$H:$H)+SUMIF(Ausgangsrechnungen!$C:$C,A50,Ausgangsrechnungen!$H:$H))</x:f>
        <x:v>0</x:v>
      </x:c>
      <x:c r="R50" s="175">
        <x:f t="shared" si="5"/>
        <x:v>0</x:v>
      </x:c>
      <x:c r="S50" s="175">
        <x:f t="shared" si="6"/>
        <x:v>0</x:v>
      </x:c>
      <x:c r="T50" s="176">
        <x:f t="shared" si="7"/>
        <x:v>0</x:v>
      </x:c>
      <x:c r="U50" s="172" t="str">
        <x:f t="shared" si="8"/>
        <x:v>Kein Termin</x:v>
      </x:c>
      <x:c r="V50" s="171" t="str">
        <x:f t="shared" si="9"/>
      </x:c>
    </x:row>
    <x:row r="51">
      <x:c r="A51" s="168"/>
      <x:c r="B51" s="168"/>
      <x:c r="C51" s="168"/>
      <x:c r="D51" s="168"/>
      <x:c r="E51" s="168"/>
      <x:c r="F51" s="169"/>
      <x:c r="G51" s="169"/>
      <x:c r="H51" s="170"/>
      <x:c r="I51" s="168"/>
      <x:c r="J51" s="168"/>
      <x:c r="K51" s="168"/>
      <x:c r="L51" s="168"/>
      <x:c r="M51" s="173" t="str">
        <x:f>IF(E51="","",IFERROR(VLOOKUP(E51,Einstellungen!$I$2:$J$9,2,FALSE),0))</x:f>
      </x:c>
      <x:c r="N51" s="174" t="n">
        <x:f>IF(B51="",0,SUMIF(Eingangsrechnungen!$C:$C,B51,Eingangsrechnungen!$F:$F)+SUMIF(Eingangsrechnungen!$C:$C,A51,Eingangsrechnungen!$F:$F))</x:f>
        <x:v>0</x:v>
      </x:c>
      <x:c r="O51" s="174" t="n">
        <x:f>IF(B51="",0,SUMIF(Ausgangsrechnungen!$C:$C,B51,Ausgangsrechnungen!$N:$N)+SUMIF(Ausgangsrechnungen!$C:$C,A51,Ausgangsrechnungen!$N:$N))</x:f>
        <x:v>0</x:v>
      </x:c>
      <x:c r="P51" s="175" t="n">
        <x:f>IF(B51="",0,SUMIF(Ausgangsrechnungen!$C:$C,B51,Ausgangsrechnungen!$G:$G)+SUMIF(Ausgangsrechnungen!$C:$C,A51,Ausgangsrechnungen!$G:$G))</x:f>
        <x:v>0</x:v>
      </x:c>
      <x:c r="Q51" s="175" t="n">
        <x:f>IF(B51="",0,SUMIF(Ausgangsrechnungen!$C:$C,B51,Ausgangsrechnungen!$H:$H)+SUMIF(Ausgangsrechnungen!$C:$C,A51,Ausgangsrechnungen!$H:$H))</x:f>
        <x:v>0</x:v>
      </x:c>
      <x:c r="R51" s="175">
        <x:f t="shared" si="5"/>
        <x:v>0</x:v>
      </x:c>
      <x:c r="S51" s="175">
        <x:f t="shared" si="6"/>
        <x:v>0</x:v>
      </x:c>
      <x:c r="T51" s="176">
        <x:f t="shared" si="7"/>
        <x:v>0</x:v>
      </x:c>
      <x:c r="U51" s="172" t="str">
        <x:f t="shared" si="8"/>
        <x:v>Kein Termin</x:v>
      </x:c>
      <x:c r="V51" s="171" t="str">
        <x:f t="shared" si="9"/>
      </x:c>
    </x:row>
    <x:row r="52">
      <x:c r="A52" s="168"/>
      <x:c r="B52" s="168"/>
      <x:c r="C52" s="168"/>
      <x:c r="D52" s="168"/>
      <x:c r="E52" s="168"/>
      <x:c r="F52" s="169"/>
      <x:c r="G52" s="169"/>
      <x:c r="H52" s="170"/>
      <x:c r="I52" s="168"/>
      <x:c r="J52" s="168"/>
      <x:c r="K52" s="168"/>
      <x:c r="L52" s="168"/>
      <x:c r="M52" s="173" t="str">
        <x:f>IF(E52="","",IFERROR(VLOOKUP(E52,Einstellungen!$I$2:$J$9,2,FALSE),0))</x:f>
      </x:c>
      <x:c r="N52" s="174" t="n">
        <x:f>IF(B52="",0,SUMIF(Eingangsrechnungen!$C:$C,B52,Eingangsrechnungen!$F:$F)+SUMIF(Eingangsrechnungen!$C:$C,A52,Eingangsrechnungen!$F:$F))</x:f>
        <x:v>0</x:v>
      </x:c>
      <x:c r="O52" s="174" t="n">
        <x:f>IF(B52="",0,SUMIF(Ausgangsrechnungen!$C:$C,B52,Ausgangsrechnungen!$N:$N)+SUMIF(Ausgangsrechnungen!$C:$C,A52,Ausgangsrechnungen!$N:$N))</x:f>
        <x:v>0</x:v>
      </x:c>
      <x:c r="P52" s="175" t="n">
        <x:f>IF(B52="",0,SUMIF(Ausgangsrechnungen!$C:$C,B52,Ausgangsrechnungen!$G:$G)+SUMIF(Ausgangsrechnungen!$C:$C,A52,Ausgangsrechnungen!$G:$G))</x:f>
        <x:v>0</x:v>
      </x:c>
      <x:c r="Q52" s="175" t="n">
        <x:f>IF(B52="",0,SUMIF(Ausgangsrechnungen!$C:$C,B52,Ausgangsrechnungen!$H:$H)+SUMIF(Ausgangsrechnungen!$C:$C,A52,Ausgangsrechnungen!$H:$H))</x:f>
        <x:v>0</x:v>
      </x:c>
      <x:c r="R52" s="175">
        <x:f t="shared" si="5"/>
        <x:v>0</x:v>
      </x:c>
      <x:c r="S52" s="175">
        <x:f t="shared" si="6"/>
        <x:v>0</x:v>
      </x:c>
      <x:c r="T52" s="176">
        <x:f t="shared" si="7"/>
        <x:v>0</x:v>
      </x:c>
      <x:c r="U52" s="172" t="str">
        <x:f t="shared" si="8"/>
        <x:v>Kein Termin</x:v>
      </x:c>
      <x:c r="V52" s="171" t="str">
        <x:f t="shared" si="9"/>
      </x:c>
    </x:row>
    <x:row r="53">
      <x:c r="A53" s="168"/>
      <x:c r="B53" s="168"/>
      <x:c r="C53" s="168"/>
      <x:c r="D53" s="168"/>
      <x:c r="E53" s="168"/>
      <x:c r="F53" s="169"/>
      <x:c r="G53" s="169"/>
      <x:c r="H53" s="170"/>
      <x:c r="I53" s="168"/>
      <x:c r="J53" s="168"/>
      <x:c r="K53" s="168"/>
      <x:c r="L53" s="168"/>
      <x:c r="M53" s="173" t="str">
        <x:f>IF(E53="","",IFERROR(VLOOKUP(E53,Einstellungen!$I$2:$J$9,2,FALSE),0))</x:f>
      </x:c>
      <x:c r="N53" s="174" t="n">
        <x:f>IF(B53="",0,SUMIF(Eingangsrechnungen!$C:$C,B53,Eingangsrechnungen!$F:$F)+SUMIF(Eingangsrechnungen!$C:$C,A53,Eingangsrechnungen!$F:$F))</x:f>
        <x:v>0</x:v>
      </x:c>
      <x:c r="O53" s="174" t="n">
        <x:f>IF(B53="",0,SUMIF(Ausgangsrechnungen!$C:$C,B53,Ausgangsrechnungen!$N:$N)+SUMIF(Ausgangsrechnungen!$C:$C,A53,Ausgangsrechnungen!$N:$N))</x:f>
        <x:v>0</x:v>
      </x:c>
      <x:c r="P53" s="175" t="n">
        <x:f>IF(B53="",0,SUMIF(Ausgangsrechnungen!$C:$C,B53,Ausgangsrechnungen!$G:$G)+SUMIF(Ausgangsrechnungen!$C:$C,A53,Ausgangsrechnungen!$G:$G))</x:f>
        <x:v>0</x:v>
      </x:c>
      <x:c r="Q53" s="175" t="n">
        <x:f>IF(B53="",0,SUMIF(Ausgangsrechnungen!$C:$C,B53,Ausgangsrechnungen!$H:$H)+SUMIF(Ausgangsrechnungen!$C:$C,A53,Ausgangsrechnungen!$H:$H))</x:f>
        <x:v>0</x:v>
      </x:c>
      <x:c r="R53" s="175">
        <x:f t="shared" si="5"/>
        <x:v>0</x:v>
      </x:c>
      <x:c r="S53" s="175">
        <x:f t="shared" si="6"/>
        <x:v>0</x:v>
      </x:c>
      <x:c r="T53" s="176">
        <x:f t="shared" si="7"/>
        <x:v>0</x:v>
      </x:c>
      <x:c r="U53" s="172" t="str">
        <x:f t="shared" si="8"/>
        <x:v>Kein Termin</x:v>
      </x:c>
      <x:c r="V53" s="171" t="str">
        <x:f t="shared" si="9"/>
      </x:c>
    </x:row>
    <x:row r="54">
      <x:c r="A54" s="168"/>
      <x:c r="B54" s="168"/>
      <x:c r="C54" s="168"/>
      <x:c r="D54" s="168"/>
      <x:c r="E54" s="168"/>
      <x:c r="F54" s="169"/>
      <x:c r="G54" s="169"/>
      <x:c r="H54" s="170"/>
      <x:c r="I54" s="168"/>
      <x:c r="J54" s="168"/>
      <x:c r="K54" s="168"/>
      <x:c r="L54" s="168"/>
      <x:c r="M54" s="173" t="str">
        <x:f>IF(E54="","",IFERROR(VLOOKUP(E54,Einstellungen!$I$2:$J$9,2,FALSE),0))</x:f>
      </x:c>
      <x:c r="N54" s="174" t="n">
        <x:f>IF(B54="",0,SUMIF(Eingangsrechnungen!$C:$C,B54,Eingangsrechnungen!$F:$F)+SUMIF(Eingangsrechnungen!$C:$C,A54,Eingangsrechnungen!$F:$F))</x:f>
        <x:v>0</x:v>
      </x:c>
      <x:c r="O54" s="174" t="n">
        <x:f>IF(B54="",0,SUMIF(Ausgangsrechnungen!$C:$C,B54,Ausgangsrechnungen!$N:$N)+SUMIF(Ausgangsrechnungen!$C:$C,A54,Ausgangsrechnungen!$N:$N))</x:f>
        <x:v>0</x:v>
      </x:c>
      <x:c r="P54" s="175" t="n">
        <x:f>IF(B54="",0,SUMIF(Ausgangsrechnungen!$C:$C,B54,Ausgangsrechnungen!$G:$G)+SUMIF(Ausgangsrechnungen!$C:$C,A54,Ausgangsrechnungen!$G:$G))</x:f>
        <x:v>0</x:v>
      </x:c>
      <x:c r="Q54" s="175" t="n">
        <x:f>IF(B54="",0,SUMIF(Ausgangsrechnungen!$C:$C,B54,Ausgangsrechnungen!$H:$H)+SUMIF(Ausgangsrechnungen!$C:$C,A54,Ausgangsrechnungen!$H:$H))</x:f>
        <x:v>0</x:v>
      </x:c>
      <x:c r="R54" s="175">
        <x:f t="shared" si="5"/>
        <x:v>0</x:v>
      </x:c>
      <x:c r="S54" s="175">
        <x:f t="shared" si="6"/>
        <x:v>0</x:v>
      </x:c>
      <x:c r="T54" s="176">
        <x:f t="shared" si="7"/>
        <x:v>0</x:v>
      </x:c>
      <x:c r="U54" s="172" t="str">
        <x:f t="shared" si="8"/>
        <x:v>Kein Termin</x:v>
      </x:c>
      <x:c r="V54" s="171" t="str">
        <x:f t="shared" si="9"/>
      </x:c>
    </x:row>
    <x:row r="55">
      <x:c r="A55" s="168"/>
      <x:c r="B55" s="168"/>
      <x:c r="C55" s="168"/>
      <x:c r="D55" s="168"/>
      <x:c r="E55" s="168"/>
      <x:c r="F55" s="169"/>
      <x:c r="G55" s="169"/>
      <x:c r="H55" s="170"/>
      <x:c r="I55" s="168"/>
      <x:c r="J55" s="168"/>
      <x:c r="K55" s="168"/>
      <x:c r="L55" s="168"/>
      <x:c r="M55" s="173" t="str">
        <x:f>IF(E55="","",IFERROR(VLOOKUP(E55,Einstellungen!$I$2:$J$9,2,FALSE),0))</x:f>
      </x:c>
      <x:c r="N55" s="174" t="n">
        <x:f>IF(B55="",0,SUMIF(Eingangsrechnungen!$C:$C,B55,Eingangsrechnungen!$F:$F)+SUMIF(Eingangsrechnungen!$C:$C,A55,Eingangsrechnungen!$F:$F))</x:f>
        <x:v>0</x:v>
      </x:c>
      <x:c r="O55" s="174" t="n">
        <x:f>IF(B55="",0,SUMIF(Ausgangsrechnungen!$C:$C,B55,Ausgangsrechnungen!$N:$N)+SUMIF(Ausgangsrechnungen!$C:$C,A55,Ausgangsrechnungen!$N:$N))</x:f>
        <x:v>0</x:v>
      </x:c>
      <x:c r="P55" s="175" t="n">
        <x:f>IF(B55="",0,SUMIF(Ausgangsrechnungen!$C:$C,B55,Ausgangsrechnungen!$G:$G)+SUMIF(Ausgangsrechnungen!$C:$C,A55,Ausgangsrechnungen!$G:$G))</x:f>
        <x:v>0</x:v>
      </x:c>
      <x:c r="Q55" s="175" t="n">
        <x:f>IF(B55="",0,SUMIF(Ausgangsrechnungen!$C:$C,B55,Ausgangsrechnungen!$H:$H)+SUMIF(Ausgangsrechnungen!$C:$C,A55,Ausgangsrechnungen!$H:$H))</x:f>
        <x:v>0</x:v>
      </x:c>
      <x:c r="R55" s="175">
        <x:f t="shared" si="5"/>
        <x:v>0</x:v>
      </x:c>
      <x:c r="S55" s="175">
        <x:f t="shared" si="6"/>
        <x:v>0</x:v>
      </x:c>
      <x:c r="T55" s="176">
        <x:f t="shared" si="7"/>
        <x:v>0</x:v>
      </x:c>
      <x:c r="U55" s="172" t="str">
        <x:f t="shared" si="8"/>
        <x:v>Kein Termin</x:v>
      </x:c>
      <x:c r="V55" s="171" t="str">
        <x:f t="shared" si="9"/>
      </x:c>
    </x:row>
    <x:row r="56">
      <x:c r="A56" s="168"/>
      <x:c r="B56" s="168"/>
      <x:c r="C56" s="168"/>
      <x:c r="D56" s="168"/>
      <x:c r="E56" s="168"/>
      <x:c r="F56" s="169"/>
      <x:c r="G56" s="169"/>
      <x:c r="H56" s="170"/>
      <x:c r="I56" s="168"/>
      <x:c r="J56" s="168"/>
      <x:c r="K56" s="168"/>
      <x:c r="L56" s="168"/>
      <x:c r="M56" s="173" t="str">
        <x:f>IF(E56="","",IFERROR(VLOOKUP(E56,Einstellungen!$I$2:$J$9,2,FALSE),0))</x:f>
      </x:c>
      <x:c r="N56" s="174" t="n">
        <x:f>IF(B56="",0,SUMIF(Eingangsrechnungen!$C:$C,B56,Eingangsrechnungen!$F:$F)+SUMIF(Eingangsrechnungen!$C:$C,A56,Eingangsrechnungen!$F:$F))</x:f>
        <x:v>0</x:v>
      </x:c>
      <x:c r="O56" s="174" t="n">
        <x:f>IF(B56="",0,SUMIF(Ausgangsrechnungen!$C:$C,B56,Ausgangsrechnungen!$N:$N)+SUMIF(Ausgangsrechnungen!$C:$C,A56,Ausgangsrechnungen!$N:$N))</x:f>
        <x:v>0</x:v>
      </x:c>
      <x:c r="P56" s="175" t="n">
        <x:f>IF(B56="",0,SUMIF(Ausgangsrechnungen!$C:$C,B56,Ausgangsrechnungen!$G:$G)+SUMIF(Ausgangsrechnungen!$C:$C,A56,Ausgangsrechnungen!$G:$G))</x:f>
        <x:v>0</x:v>
      </x:c>
      <x:c r="Q56" s="175" t="n">
        <x:f>IF(B56="",0,SUMIF(Ausgangsrechnungen!$C:$C,B56,Ausgangsrechnungen!$H:$H)+SUMIF(Ausgangsrechnungen!$C:$C,A56,Ausgangsrechnungen!$H:$H))</x:f>
        <x:v>0</x:v>
      </x:c>
      <x:c r="R56" s="175">
        <x:f t="shared" si="5"/>
        <x:v>0</x:v>
      </x:c>
      <x:c r="S56" s="175">
        <x:f t="shared" si="6"/>
        <x:v>0</x:v>
      </x:c>
      <x:c r="T56" s="176">
        <x:f t="shared" si="7"/>
        <x:v>0</x:v>
      </x:c>
      <x:c r="U56" s="172" t="str">
        <x:f t="shared" si="8"/>
        <x:v>Kein Termin</x:v>
      </x:c>
      <x:c r="V56" s="171" t="str">
        <x:f t="shared" si="9"/>
      </x:c>
    </x:row>
    <x:row r="57">
      <x:c r="A57" s="168"/>
      <x:c r="B57" s="168"/>
      <x:c r="C57" s="168"/>
      <x:c r="D57" s="168"/>
      <x:c r="E57" s="168"/>
      <x:c r="F57" s="169"/>
      <x:c r="G57" s="169"/>
      <x:c r="H57" s="170"/>
      <x:c r="I57" s="168"/>
      <x:c r="J57" s="168"/>
      <x:c r="K57" s="168"/>
      <x:c r="L57" s="168"/>
      <x:c r="M57" s="173" t="str">
        <x:f>IF(E57="","",IFERROR(VLOOKUP(E57,Einstellungen!$I$2:$J$9,2,FALSE),0))</x:f>
      </x:c>
      <x:c r="N57" s="174" t="n">
        <x:f>IF(B57="",0,SUMIF(Eingangsrechnungen!$C:$C,B57,Eingangsrechnungen!$F:$F)+SUMIF(Eingangsrechnungen!$C:$C,A57,Eingangsrechnungen!$F:$F))</x:f>
        <x:v>0</x:v>
      </x:c>
      <x:c r="O57" s="174" t="n">
        <x:f>IF(B57="",0,SUMIF(Ausgangsrechnungen!$C:$C,B57,Ausgangsrechnungen!$N:$N)+SUMIF(Ausgangsrechnungen!$C:$C,A57,Ausgangsrechnungen!$N:$N))</x:f>
        <x:v>0</x:v>
      </x:c>
      <x:c r="P57" s="175" t="n">
        <x:f>IF(B57="",0,SUMIF(Ausgangsrechnungen!$C:$C,B57,Ausgangsrechnungen!$G:$G)+SUMIF(Ausgangsrechnungen!$C:$C,A57,Ausgangsrechnungen!$G:$G))</x:f>
        <x:v>0</x:v>
      </x:c>
      <x:c r="Q57" s="175" t="n">
        <x:f>IF(B57="",0,SUMIF(Ausgangsrechnungen!$C:$C,B57,Ausgangsrechnungen!$H:$H)+SUMIF(Ausgangsrechnungen!$C:$C,A57,Ausgangsrechnungen!$H:$H))</x:f>
        <x:v>0</x:v>
      </x:c>
      <x:c r="R57" s="175">
        <x:f t="shared" si="5"/>
        <x:v>0</x:v>
      </x:c>
      <x:c r="S57" s="175">
        <x:f t="shared" si="6"/>
        <x:v>0</x:v>
      </x:c>
      <x:c r="T57" s="176">
        <x:f t="shared" si="7"/>
        <x:v>0</x:v>
      </x:c>
      <x:c r="U57" s="172" t="str">
        <x:f t="shared" si="8"/>
        <x:v>Kein Termin</x:v>
      </x:c>
      <x:c r="V57" s="171" t="str">
        <x:f t="shared" si="9"/>
      </x:c>
    </x:row>
    <x:row r="58">
      <x:c r="A58" s="168"/>
      <x:c r="B58" s="168"/>
      <x:c r="C58" s="168"/>
      <x:c r="D58" s="168"/>
      <x:c r="E58" s="168"/>
      <x:c r="F58" s="169"/>
      <x:c r="G58" s="169"/>
      <x:c r="H58" s="170"/>
      <x:c r="I58" s="168"/>
      <x:c r="J58" s="168"/>
      <x:c r="K58" s="168"/>
      <x:c r="L58" s="168"/>
      <x:c r="M58" s="173" t="str">
        <x:f>IF(E58="","",IFERROR(VLOOKUP(E58,Einstellungen!$I$2:$J$9,2,FALSE),0))</x:f>
      </x:c>
      <x:c r="N58" s="174" t="n">
        <x:f>IF(B58="",0,SUMIF(Eingangsrechnungen!$C:$C,B58,Eingangsrechnungen!$F:$F)+SUMIF(Eingangsrechnungen!$C:$C,A58,Eingangsrechnungen!$F:$F))</x:f>
        <x:v>0</x:v>
      </x:c>
      <x:c r="O58" s="174" t="n">
        <x:f>IF(B58="",0,SUMIF(Ausgangsrechnungen!$C:$C,B58,Ausgangsrechnungen!$N:$N)+SUMIF(Ausgangsrechnungen!$C:$C,A58,Ausgangsrechnungen!$N:$N))</x:f>
        <x:v>0</x:v>
      </x:c>
      <x:c r="P58" s="175" t="n">
        <x:f>IF(B58="",0,SUMIF(Ausgangsrechnungen!$C:$C,B58,Ausgangsrechnungen!$G:$G)+SUMIF(Ausgangsrechnungen!$C:$C,A58,Ausgangsrechnungen!$G:$G))</x:f>
        <x:v>0</x:v>
      </x:c>
      <x:c r="Q58" s="175" t="n">
        <x:f>IF(B58="",0,SUMIF(Ausgangsrechnungen!$C:$C,B58,Ausgangsrechnungen!$H:$H)+SUMIF(Ausgangsrechnungen!$C:$C,A58,Ausgangsrechnungen!$H:$H))</x:f>
        <x:v>0</x:v>
      </x:c>
      <x:c r="R58" s="175">
        <x:f t="shared" si="5"/>
        <x:v>0</x:v>
      </x:c>
      <x:c r="S58" s="175">
        <x:f t="shared" si="6"/>
        <x:v>0</x:v>
      </x:c>
      <x:c r="T58" s="176">
        <x:f t="shared" si="7"/>
        <x:v>0</x:v>
      </x:c>
      <x:c r="U58" s="172" t="str">
        <x:f t="shared" si="8"/>
        <x:v>Kein Termin</x:v>
      </x:c>
      <x:c r="V58" s="171" t="str">
        <x:f t="shared" si="9"/>
      </x:c>
    </x:row>
    <x:row r="59">
      <x:c r="A59" s="168"/>
      <x:c r="B59" s="168"/>
      <x:c r="C59" s="168"/>
      <x:c r="D59" s="168"/>
      <x:c r="E59" s="168"/>
      <x:c r="F59" s="169"/>
      <x:c r="G59" s="169"/>
      <x:c r="H59" s="170"/>
      <x:c r="I59" s="168"/>
      <x:c r="J59" s="168"/>
      <x:c r="K59" s="168"/>
      <x:c r="L59" s="168"/>
      <x:c r="M59" s="173" t="str">
        <x:f>IF(E59="","",IFERROR(VLOOKUP(E59,Einstellungen!$I$2:$J$9,2,FALSE),0))</x:f>
      </x:c>
      <x:c r="N59" s="174" t="n">
        <x:f>IF(B59="",0,SUMIF(Eingangsrechnungen!$C:$C,B59,Eingangsrechnungen!$F:$F)+SUMIF(Eingangsrechnungen!$C:$C,A59,Eingangsrechnungen!$F:$F))</x:f>
        <x:v>0</x:v>
      </x:c>
      <x:c r="O59" s="174" t="n">
        <x:f>IF(B59="",0,SUMIF(Ausgangsrechnungen!$C:$C,B59,Ausgangsrechnungen!$N:$N)+SUMIF(Ausgangsrechnungen!$C:$C,A59,Ausgangsrechnungen!$N:$N))</x:f>
        <x:v>0</x:v>
      </x:c>
      <x:c r="P59" s="175" t="n">
        <x:f>IF(B59="",0,SUMIF(Ausgangsrechnungen!$C:$C,B59,Ausgangsrechnungen!$G:$G)+SUMIF(Ausgangsrechnungen!$C:$C,A59,Ausgangsrechnungen!$G:$G))</x:f>
        <x:v>0</x:v>
      </x:c>
      <x:c r="Q59" s="175" t="n">
        <x:f>IF(B59="",0,SUMIF(Ausgangsrechnungen!$C:$C,B59,Ausgangsrechnungen!$H:$H)+SUMIF(Ausgangsrechnungen!$C:$C,A59,Ausgangsrechnungen!$H:$H))</x:f>
        <x:v>0</x:v>
      </x:c>
      <x:c r="R59" s="175">
        <x:f t="shared" si="5"/>
        <x:v>0</x:v>
      </x:c>
      <x:c r="S59" s="175">
        <x:f t="shared" si="6"/>
        <x:v>0</x:v>
      </x:c>
      <x:c r="T59" s="176">
        <x:f t="shared" si="7"/>
        <x:v>0</x:v>
      </x:c>
      <x:c r="U59" s="172" t="str">
        <x:f t="shared" si="8"/>
        <x:v>Kein Termin</x:v>
      </x:c>
      <x:c r="V59" s="171" t="str">
        <x:f t="shared" si="9"/>
      </x:c>
    </x:row>
    <x:row r="60">
      <x:c r="A60" s="168"/>
      <x:c r="B60" s="168"/>
      <x:c r="C60" s="168"/>
      <x:c r="D60" s="168"/>
      <x:c r="E60" s="168"/>
      <x:c r="F60" s="169"/>
      <x:c r="G60" s="169"/>
      <x:c r="H60" s="170"/>
      <x:c r="I60" s="168"/>
      <x:c r="J60" s="168"/>
      <x:c r="K60" s="168"/>
      <x:c r="L60" s="168"/>
      <x:c r="M60" s="173" t="str">
        <x:f>IF(E60="","",IFERROR(VLOOKUP(E60,Einstellungen!$I$2:$J$9,2,FALSE),0))</x:f>
      </x:c>
      <x:c r="N60" s="174" t="n">
        <x:f>IF(B60="",0,SUMIF(Eingangsrechnungen!$C:$C,B60,Eingangsrechnungen!$F:$F)+SUMIF(Eingangsrechnungen!$C:$C,A60,Eingangsrechnungen!$F:$F))</x:f>
        <x:v>0</x:v>
      </x:c>
      <x:c r="O60" s="174" t="n">
        <x:f>IF(B60="",0,SUMIF(Ausgangsrechnungen!$C:$C,B60,Ausgangsrechnungen!$N:$N)+SUMIF(Ausgangsrechnungen!$C:$C,A60,Ausgangsrechnungen!$N:$N))</x:f>
        <x:v>0</x:v>
      </x:c>
      <x:c r="P60" s="175" t="n">
        <x:f>IF(B60="",0,SUMIF(Ausgangsrechnungen!$C:$C,B60,Ausgangsrechnungen!$G:$G)+SUMIF(Ausgangsrechnungen!$C:$C,A60,Ausgangsrechnungen!$G:$G))</x:f>
        <x:v>0</x:v>
      </x:c>
      <x:c r="Q60" s="175" t="n">
        <x:f>IF(B60="",0,SUMIF(Ausgangsrechnungen!$C:$C,B60,Ausgangsrechnungen!$H:$H)+SUMIF(Ausgangsrechnungen!$C:$C,A60,Ausgangsrechnungen!$H:$H))</x:f>
        <x:v>0</x:v>
      </x:c>
      <x:c r="R60" s="175">
        <x:f t="shared" si="5"/>
        <x:v>0</x:v>
      </x:c>
      <x:c r="S60" s="175">
        <x:f t="shared" si="6"/>
        <x:v>0</x:v>
      </x:c>
      <x:c r="T60" s="176">
        <x:f t="shared" si="7"/>
        <x:v>0</x:v>
      </x:c>
      <x:c r="U60" s="172" t="str">
        <x:f t="shared" si="8"/>
        <x:v>Kein Termin</x:v>
      </x:c>
      <x:c r="V60" s="171" t="str">
        <x:f t="shared" si="9"/>
      </x:c>
    </x:row>
    <x:row r="61">
      <x:c r="A61" s="168"/>
      <x:c r="B61" s="168"/>
      <x:c r="C61" s="168"/>
      <x:c r="D61" s="168"/>
      <x:c r="E61" s="168"/>
      <x:c r="F61" s="169"/>
      <x:c r="G61" s="169"/>
      <x:c r="H61" s="170"/>
      <x:c r="I61" s="168"/>
      <x:c r="J61" s="168"/>
      <x:c r="K61" s="168"/>
      <x:c r="L61" s="168"/>
      <x:c r="M61" s="173" t="str">
        <x:f>IF(E61="","",IFERROR(VLOOKUP(E61,Einstellungen!$I$2:$J$9,2,FALSE),0))</x:f>
      </x:c>
      <x:c r="N61" s="174" t="n">
        <x:f>IF(B61="",0,SUMIF(Eingangsrechnungen!$C:$C,B61,Eingangsrechnungen!$F:$F)+SUMIF(Eingangsrechnungen!$C:$C,A61,Eingangsrechnungen!$F:$F))</x:f>
        <x:v>0</x:v>
      </x:c>
      <x:c r="O61" s="174" t="n">
        <x:f>IF(B61="",0,SUMIF(Ausgangsrechnungen!$C:$C,B61,Ausgangsrechnungen!$N:$N)+SUMIF(Ausgangsrechnungen!$C:$C,A61,Ausgangsrechnungen!$N:$N))</x:f>
        <x:v>0</x:v>
      </x:c>
      <x:c r="P61" s="175" t="n">
        <x:f>IF(B61="",0,SUMIF(Ausgangsrechnungen!$C:$C,B61,Ausgangsrechnungen!$G:$G)+SUMIF(Ausgangsrechnungen!$C:$C,A61,Ausgangsrechnungen!$G:$G))</x:f>
        <x:v>0</x:v>
      </x:c>
      <x:c r="Q61" s="175" t="n">
        <x:f>IF(B61="",0,SUMIF(Ausgangsrechnungen!$C:$C,B61,Ausgangsrechnungen!$H:$H)+SUMIF(Ausgangsrechnungen!$C:$C,A61,Ausgangsrechnungen!$H:$H))</x:f>
        <x:v>0</x:v>
      </x:c>
      <x:c r="R61" s="175">
        <x:f t="shared" si="5"/>
        <x:v>0</x:v>
      </x:c>
      <x:c r="S61" s="175">
        <x:f t="shared" si="6"/>
        <x:v>0</x:v>
      </x:c>
      <x:c r="T61" s="176">
        <x:f t="shared" si="7"/>
        <x:v>0</x:v>
      </x:c>
      <x:c r="U61" s="172" t="str">
        <x:f t="shared" si="8"/>
        <x:v>Kein Termin</x:v>
      </x:c>
      <x:c r="V61" s="171" t="str">
        <x:f t="shared" si="9"/>
      </x:c>
    </x:row>
    <x:row r="62">
      <x:c r="A62" s="168"/>
      <x:c r="B62" s="168"/>
      <x:c r="C62" s="168"/>
      <x:c r="D62" s="168"/>
      <x:c r="E62" s="168"/>
      <x:c r="F62" s="169"/>
      <x:c r="G62" s="169"/>
      <x:c r="H62" s="170"/>
      <x:c r="I62" s="168"/>
      <x:c r="J62" s="168"/>
      <x:c r="K62" s="168"/>
      <x:c r="L62" s="168"/>
      <x:c r="M62" s="173" t="str">
        <x:f>IF(E62="","",IFERROR(VLOOKUP(E62,Einstellungen!$I$2:$J$9,2,FALSE),0))</x:f>
      </x:c>
      <x:c r="N62" s="174" t="n">
        <x:f>IF(B62="",0,SUMIF(Eingangsrechnungen!$C:$C,B62,Eingangsrechnungen!$F:$F)+SUMIF(Eingangsrechnungen!$C:$C,A62,Eingangsrechnungen!$F:$F))</x:f>
        <x:v>0</x:v>
      </x:c>
      <x:c r="O62" s="174" t="n">
        <x:f>IF(B62="",0,SUMIF(Ausgangsrechnungen!$C:$C,B62,Ausgangsrechnungen!$N:$N)+SUMIF(Ausgangsrechnungen!$C:$C,A62,Ausgangsrechnungen!$N:$N))</x:f>
        <x:v>0</x:v>
      </x:c>
      <x:c r="P62" s="175" t="n">
        <x:f>IF(B62="",0,SUMIF(Ausgangsrechnungen!$C:$C,B62,Ausgangsrechnungen!$G:$G)+SUMIF(Ausgangsrechnungen!$C:$C,A62,Ausgangsrechnungen!$G:$G))</x:f>
        <x:v>0</x:v>
      </x:c>
      <x:c r="Q62" s="175" t="n">
        <x:f>IF(B62="",0,SUMIF(Ausgangsrechnungen!$C:$C,B62,Ausgangsrechnungen!$H:$H)+SUMIF(Ausgangsrechnungen!$C:$C,A62,Ausgangsrechnungen!$H:$H))</x:f>
        <x:v>0</x:v>
      </x:c>
      <x:c r="R62" s="175">
        <x:f t="shared" si="5"/>
        <x:v>0</x:v>
      </x:c>
      <x:c r="S62" s="175">
        <x:f t="shared" si="6"/>
        <x:v>0</x:v>
      </x:c>
      <x:c r="T62" s="176">
        <x:f t="shared" si="7"/>
        <x:v>0</x:v>
      </x:c>
      <x:c r="U62" s="172" t="str">
        <x:f t="shared" si="8"/>
        <x:v>Kein Termin</x:v>
      </x:c>
      <x:c r="V62" s="171" t="str">
        <x:f t="shared" si="9"/>
      </x:c>
    </x:row>
    <x:row r="63">
      <x:c r="A63" s="168"/>
      <x:c r="B63" s="168"/>
      <x:c r="C63" s="168"/>
      <x:c r="D63" s="168"/>
      <x:c r="E63" s="168"/>
      <x:c r="F63" s="169"/>
      <x:c r="G63" s="169"/>
      <x:c r="H63" s="170"/>
      <x:c r="I63" s="168"/>
      <x:c r="J63" s="168"/>
      <x:c r="K63" s="168"/>
      <x:c r="L63" s="168"/>
      <x:c r="M63" s="173" t="str">
        <x:f>IF(E63="","",IFERROR(VLOOKUP(E63,Einstellungen!$I$2:$J$9,2,FALSE),0))</x:f>
      </x:c>
      <x:c r="N63" s="174" t="n">
        <x:f>IF(B63="",0,SUMIF(Eingangsrechnungen!$C:$C,B63,Eingangsrechnungen!$F:$F)+SUMIF(Eingangsrechnungen!$C:$C,A63,Eingangsrechnungen!$F:$F))</x:f>
        <x:v>0</x:v>
      </x:c>
      <x:c r="O63" s="174" t="n">
        <x:f>IF(B63="",0,SUMIF(Ausgangsrechnungen!$C:$C,B63,Ausgangsrechnungen!$N:$N)+SUMIF(Ausgangsrechnungen!$C:$C,A63,Ausgangsrechnungen!$N:$N))</x:f>
        <x:v>0</x:v>
      </x:c>
      <x:c r="P63" s="175" t="n">
        <x:f>IF(B63="",0,SUMIF(Ausgangsrechnungen!$C:$C,B63,Ausgangsrechnungen!$G:$G)+SUMIF(Ausgangsrechnungen!$C:$C,A63,Ausgangsrechnungen!$G:$G))</x:f>
        <x:v>0</x:v>
      </x:c>
      <x:c r="Q63" s="175" t="n">
        <x:f>IF(B63="",0,SUMIF(Ausgangsrechnungen!$C:$C,B63,Ausgangsrechnungen!$H:$H)+SUMIF(Ausgangsrechnungen!$C:$C,A63,Ausgangsrechnungen!$H:$H))</x:f>
        <x:v>0</x:v>
      </x:c>
      <x:c r="R63" s="175">
        <x:f t="shared" si="5"/>
        <x:v>0</x:v>
      </x:c>
      <x:c r="S63" s="175">
        <x:f t="shared" si="6"/>
        <x:v>0</x:v>
      </x:c>
      <x:c r="T63" s="176">
        <x:f t="shared" si="7"/>
        <x:v>0</x:v>
      </x:c>
      <x:c r="U63" s="172" t="str">
        <x:f t="shared" si="8"/>
        <x:v>Kein Termin</x:v>
      </x:c>
      <x:c r="V63" s="171" t="str">
        <x:f t="shared" si="9"/>
      </x:c>
    </x:row>
    <x:row r="64">
      <x:c r="A64" s="168"/>
      <x:c r="B64" s="168"/>
      <x:c r="C64" s="168"/>
      <x:c r="D64" s="168"/>
      <x:c r="E64" s="168"/>
      <x:c r="F64" s="169"/>
      <x:c r="G64" s="169"/>
      <x:c r="H64" s="170"/>
      <x:c r="I64" s="168"/>
      <x:c r="J64" s="168"/>
      <x:c r="K64" s="168"/>
      <x:c r="L64" s="168"/>
      <x:c r="M64" s="173" t="str">
        <x:f>IF(E64="","",IFERROR(VLOOKUP(E64,Einstellungen!$I$2:$J$9,2,FALSE),0))</x:f>
      </x:c>
      <x:c r="N64" s="174" t="n">
        <x:f>IF(B64="",0,SUMIF(Eingangsrechnungen!$C:$C,B64,Eingangsrechnungen!$F:$F)+SUMIF(Eingangsrechnungen!$C:$C,A64,Eingangsrechnungen!$F:$F))</x:f>
        <x:v>0</x:v>
      </x:c>
      <x:c r="O64" s="174" t="n">
        <x:f>IF(B64="",0,SUMIF(Ausgangsrechnungen!$C:$C,B64,Ausgangsrechnungen!$N:$N)+SUMIF(Ausgangsrechnungen!$C:$C,A64,Ausgangsrechnungen!$N:$N))</x:f>
        <x:v>0</x:v>
      </x:c>
      <x:c r="P64" s="175" t="n">
        <x:f>IF(B64="",0,SUMIF(Ausgangsrechnungen!$C:$C,B64,Ausgangsrechnungen!$G:$G)+SUMIF(Ausgangsrechnungen!$C:$C,A64,Ausgangsrechnungen!$G:$G))</x:f>
        <x:v>0</x:v>
      </x:c>
      <x:c r="Q64" s="175" t="n">
        <x:f>IF(B64="",0,SUMIF(Ausgangsrechnungen!$C:$C,B64,Ausgangsrechnungen!$H:$H)+SUMIF(Ausgangsrechnungen!$C:$C,A64,Ausgangsrechnungen!$H:$H))</x:f>
        <x:v>0</x:v>
      </x:c>
      <x:c r="R64" s="175">
        <x:f t="shared" si="5"/>
        <x:v>0</x:v>
      </x:c>
      <x:c r="S64" s="175">
        <x:f t="shared" si="6"/>
        <x:v>0</x:v>
      </x:c>
      <x:c r="T64" s="176">
        <x:f t="shared" si="7"/>
        <x:v>0</x:v>
      </x:c>
      <x:c r="U64" s="172" t="str">
        <x:f t="shared" si="8"/>
        <x:v>Kein Termin</x:v>
      </x:c>
      <x:c r="V64" s="171" t="str">
        <x:f t="shared" si="9"/>
      </x:c>
    </x:row>
    <x:row r="65">
      <x:c r="A65" s="168"/>
      <x:c r="B65" s="168"/>
      <x:c r="C65" s="168"/>
      <x:c r="D65" s="168"/>
      <x:c r="E65" s="168"/>
      <x:c r="F65" s="169"/>
      <x:c r="G65" s="169"/>
      <x:c r="H65" s="170"/>
      <x:c r="I65" s="168"/>
      <x:c r="J65" s="168"/>
      <x:c r="K65" s="168"/>
      <x:c r="L65" s="168"/>
      <x:c r="M65" s="173" t="str">
        <x:f>IF(E65="","",IFERROR(VLOOKUP(E65,Einstellungen!$I$2:$J$9,2,FALSE),0))</x:f>
      </x:c>
      <x:c r="N65" s="174" t="n">
        <x:f>IF(B65="",0,SUMIF(Eingangsrechnungen!$C:$C,B65,Eingangsrechnungen!$F:$F)+SUMIF(Eingangsrechnungen!$C:$C,A65,Eingangsrechnungen!$F:$F))</x:f>
        <x:v>0</x:v>
      </x:c>
      <x:c r="O65" s="174" t="n">
        <x:f>IF(B65="",0,SUMIF(Ausgangsrechnungen!$C:$C,B65,Ausgangsrechnungen!$N:$N)+SUMIF(Ausgangsrechnungen!$C:$C,A65,Ausgangsrechnungen!$N:$N))</x:f>
        <x:v>0</x:v>
      </x:c>
      <x:c r="P65" s="175" t="n">
        <x:f>IF(B65="",0,SUMIF(Ausgangsrechnungen!$C:$C,B65,Ausgangsrechnungen!$G:$G)+SUMIF(Ausgangsrechnungen!$C:$C,A65,Ausgangsrechnungen!$G:$G))</x:f>
        <x:v>0</x:v>
      </x:c>
      <x:c r="Q65" s="175" t="n">
        <x:f>IF(B65="",0,SUMIF(Ausgangsrechnungen!$C:$C,B65,Ausgangsrechnungen!$H:$H)+SUMIF(Ausgangsrechnungen!$C:$C,A65,Ausgangsrechnungen!$H:$H))</x:f>
        <x:v>0</x:v>
      </x:c>
      <x:c r="R65" s="175">
        <x:f t="shared" si="5"/>
        <x:v>0</x:v>
      </x:c>
      <x:c r="S65" s="175">
        <x:f t="shared" si="6"/>
        <x:v>0</x:v>
      </x:c>
      <x:c r="T65" s="176">
        <x:f t="shared" si="7"/>
        <x:v>0</x:v>
      </x:c>
      <x:c r="U65" s="172" t="str">
        <x:f t="shared" si="8"/>
        <x:v>Kein Termin</x:v>
      </x:c>
      <x:c r="V65" s="171" t="str">
        <x:f t="shared" si="9"/>
      </x:c>
    </x:row>
    <x:row r="66">
      <x:c r="A66" s="168"/>
      <x:c r="B66" s="168"/>
      <x:c r="C66" s="168"/>
      <x:c r="D66" s="168"/>
      <x:c r="E66" s="168"/>
      <x:c r="F66" s="169"/>
      <x:c r="G66" s="169"/>
      <x:c r="H66" s="170"/>
      <x:c r="I66" s="168"/>
      <x:c r="J66" s="168"/>
      <x:c r="K66" s="168"/>
      <x:c r="L66" s="168"/>
      <x:c r="M66" s="173" t="str">
        <x:f>IF(E66="","",IFERROR(VLOOKUP(E66,Einstellungen!$I$2:$J$9,2,FALSE),0))</x:f>
      </x:c>
      <x:c r="N66" s="174" t="n">
        <x:f>IF(B66="",0,SUMIF(Eingangsrechnungen!$C:$C,B66,Eingangsrechnungen!$F:$F)+SUMIF(Eingangsrechnungen!$C:$C,A66,Eingangsrechnungen!$F:$F))</x:f>
        <x:v>0</x:v>
      </x:c>
      <x:c r="O66" s="174" t="n">
        <x:f>IF(B66="",0,SUMIF(Ausgangsrechnungen!$C:$C,B66,Ausgangsrechnungen!$N:$N)+SUMIF(Ausgangsrechnungen!$C:$C,A66,Ausgangsrechnungen!$N:$N))</x:f>
        <x:v>0</x:v>
      </x:c>
      <x:c r="P66" s="175" t="n">
        <x:f>IF(B66="",0,SUMIF(Ausgangsrechnungen!$C:$C,B66,Ausgangsrechnungen!$G:$G)+SUMIF(Ausgangsrechnungen!$C:$C,A66,Ausgangsrechnungen!$G:$G))</x:f>
        <x:v>0</x:v>
      </x:c>
      <x:c r="Q66" s="175" t="n">
        <x:f>IF(B66="",0,SUMIF(Ausgangsrechnungen!$C:$C,B66,Ausgangsrechnungen!$H:$H)+SUMIF(Ausgangsrechnungen!$C:$C,A66,Ausgangsrechnungen!$H:$H))</x:f>
        <x:v>0</x:v>
      </x:c>
      <x:c r="R66" s="175" t="n">
        <x:f t="shared" ref="R66:R101" si="10">IF(F66="",0,F66/1.19-G66)</x:f>
        <x:v>0</x:v>
      </x:c>
      <x:c r="S66" s="175" t="n">
        <x:f t="shared" ref="S66:S101" si="11">IF(O66=0,0,O66-N66)</x:f>
        <x:v>0</x:v>
      </x:c>
      <x:c r="T66" s="176" t="n">
        <x:f t="shared" ref="T66:T97" si="12">IF(O66=0,0,S66/O66)</x:f>
        <x:v>0</x:v>
      </x:c>
      <x:c r="U66" s="172" t="str">
        <x:f t="shared" ref="U66:U101" si="13">IF(H66="","Kein Termin",IF(E66="Abgeschlossen","Abgeschlossen",IF(H66&lt;TODAY(),"ÜBERFÄLLIG",IF(H66&lt;=TODAY()+14,"BALD FÄLLIG","Im Plan"))))</x:f>
        <x:v>Kein Termin</x:v>
      </x:c>
      <x:c r="V66" s="171" t="str">
        <x:f t="shared" ref="V66:V101" si="14">IF(E66="","",IF(E66="Lead","Erstkontakt / Termin",IF(E66="Angebot","Angebot nachfassen",IF(E66="Auftrag","Material bestellen",IF(E66="Material bestellt","Montage terminieren",IF(E66="Montage geplant","Montage durchführen",IF(E66="Montage erledigt","Rechnung stellen",IF(E66="Rechnung offen","Zahlung überwachen","Archivieren"))))))))</x:f>
      </x:c>
    </x:row>
    <x:row r="67">
      <x:c r="A67" s="168"/>
      <x:c r="B67" s="168"/>
      <x:c r="C67" s="168"/>
      <x:c r="D67" s="168"/>
      <x:c r="E67" s="168"/>
      <x:c r="F67" s="169"/>
      <x:c r="G67" s="169"/>
      <x:c r="H67" s="170"/>
      <x:c r="I67" s="168"/>
      <x:c r="J67" s="168"/>
      <x:c r="K67" s="168"/>
      <x:c r="L67" s="168"/>
      <x:c r="M67" s="173" t="str">
        <x:f>IF(E67="","",IFERROR(VLOOKUP(E67,Einstellungen!$I$2:$J$9,2,FALSE),0))</x:f>
      </x:c>
      <x:c r="N67" s="174" t="n">
        <x:f>IF(B67="",0,SUMIF(Eingangsrechnungen!$C:$C,B67,Eingangsrechnungen!$F:$F)+SUMIF(Eingangsrechnungen!$C:$C,A67,Eingangsrechnungen!$F:$F))</x:f>
        <x:v>0</x:v>
      </x:c>
      <x:c r="O67" s="174" t="n">
        <x:f>IF(B67="",0,SUMIF(Ausgangsrechnungen!$C:$C,B67,Ausgangsrechnungen!$N:$N)+SUMIF(Ausgangsrechnungen!$C:$C,A67,Ausgangsrechnungen!$N:$N))</x:f>
        <x:v>0</x:v>
      </x:c>
      <x:c r="P67" s="175" t="n">
        <x:f>IF(B67="",0,SUMIF(Ausgangsrechnungen!$C:$C,B67,Ausgangsrechnungen!$G:$G)+SUMIF(Ausgangsrechnungen!$C:$C,A67,Ausgangsrechnungen!$G:$G))</x:f>
        <x:v>0</x:v>
      </x:c>
      <x:c r="Q67" s="175" t="n">
        <x:f>IF(B67="",0,SUMIF(Ausgangsrechnungen!$C:$C,B67,Ausgangsrechnungen!$H:$H)+SUMIF(Ausgangsrechnungen!$C:$C,A67,Ausgangsrechnungen!$H:$H))</x:f>
        <x:v>0</x:v>
      </x:c>
      <x:c r="R67" s="175">
        <x:f t="shared" si="10"/>
        <x:v>0</x:v>
      </x:c>
      <x:c r="S67" s="175">
        <x:f t="shared" si="11"/>
        <x:v>0</x:v>
      </x:c>
      <x:c r="T67" s="176">
        <x:f t="shared" si="12"/>
        <x:v>0</x:v>
      </x:c>
      <x:c r="U67" s="172" t="str">
        <x:f t="shared" si="13"/>
        <x:v>Kein Termin</x:v>
      </x:c>
      <x:c r="V67" s="171" t="str">
        <x:f t="shared" si="14"/>
      </x:c>
    </x:row>
    <x:row r="68">
      <x:c r="A68" s="168"/>
      <x:c r="B68" s="168"/>
      <x:c r="C68" s="168"/>
      <x:c r="D68" s="168"/>
      <x:c r="E68" s="168"/>
      <x:c r="F68" s="169"/>
      <x:c r="G68" s="169"/>
      <x:c r="H68" s="170"/>
      <x:c r="I68" s="168"/>
      <x:c r="J68" s="168"/>
      <x:c r="K68" s="168"/>
      <x:c r="L68" s="168"/>
      <x:c r="M68" s="173" t="str">
        <x:f>IF(E68="","",IFERROR(VLOOKUP(E68,Einstellungen!$I$2:$J$9,2,FALSE),0))</x:f>
      </x:c>
      <x:c r="N68" s="174" t="n">
        <x:f>IF(B68="",0,SUMIF(Eingangsrechnungen!$C:$C,B68,Eingangsrechnungen!$F:$F)+SUMIF(Eingangsrechnungen!$C:$C,A68,Eingangsrechnungen!$F:$F))</x:f>
        <x:v>0</x:v>
      </x:c>
      <x:c r="O68" s="174" t="n">
        <x:f>IF(B68="",0,SUMIF(Ausgangsrechnungen!$C:$C,B68,Ausgangsrechnungen!$N:$N)+SUMIF(Ausgangsrechnungen!$C:$C,A68,Ausgangsrechnungen!$N:$N))</x:f>
        <x:v>0</x:v>
      </x:c>
      <x:c r="P68" s="175" t="n">
        <x:f>IF(B68="",0,SUMIF(Ausgangsrechnungen!$C:$C,B68,Ausgangsrechnungen!$G:$G)+SUMIF(Ausgangsrechnungen!$C:$C,A68,Ausgangsrechnungen!$G:$G))</x:f>
        <x:v>0</x:v>
      </x:c>
      <x:c r="Q68" s="175" t="n">
        <x:f>IF(B68="",0,SUMIF(Ausgangsrechnungen!$C:$C,B68,Ausgangsrechnungen!$H:$H)+SUMIF(Ausgangsrechnungen!$C:$C,A68,Ausgangsrechnungen!$H:$H))</x:f>
        <x:v>0</x:v>
      </x:c>
      <x:c r="R68" s="175">
        <x:f t="shared" si="10"/>
        <x:v>0</x:v>
      </x:c>
      <x:c r="S68" s="175">
        <x:f t="shared" si="11"/>
        <x:v>0</x:v>
      </x:c>
      <x:c r="T68" s="176">
        <x:f t="shared" si="12"/>
        <x:v>0</x:v>
      </x:c>
      <x:c r="U68" s="172" t="str">
        <x:f t="shared" si="13"/>
        <x:v>Kein Termin</x:v>
      </x:c>
      <x:c r="V68" s="171" t="str">
        <x:f t="shared" si="14"/>
      </x:c>
    </x:row>
    <x:row r="69">
      <x:c r="A69" s="168"/>
      <x:c r="B69" s="168"/>
      <x:c r="C69" s="168"/>
      <x:c r="D69" s="168"/>
      <x:c r="E69" s="168"/>
      <x:c r="F69" s="169"/>
      <x:c r="G69" s="169"/>
      <x:c r="H69" s="170"/>
      <x:c r="I69" s="168"/>
      <x:c r="J69" s="168"/>
      <x:c r="K69" s="168"/>
      <x:c r="L69" s="168"/>
      <x:c r="M69" s="173" t="str">
        <x:f>IF(E69="","",IFERROR(VLOOKUP(E69,Einstellungen!$I$2:$J$9,2,FALSE),0))</x:f>
      </x:c>
      <x:c r="N69" s="174" t="n">
        <x:f>IF(B69="",0,SUMIF(Eingangsrechnungen!$C:$C,B69,Eingangsrechnungen!$F:$F)+SUMIF(Eingangsrechnungen!$C:$C,A69,Eingangsrechnungen!$F:$F))</x:f>
        <x:v>0</x:v>
      </x:c>
      <x:c r="O69" s="174" t="n">
        <x:f>IF(B69="",0,SUMIF(Ausgangsrechnungen!$C:$C,B69,Ausgangsrechnungen!$N:$N)+SUMIF(Ausgangsrechnungen!$C:$C,A69,Ausgangsrechnungen!$N:$N))</x:f>
        <x:v>0</x:v>
      </x:c>
      <x:c r="P69" s="175" t="n">
        <x:f>IF(B69="",0,SUMIF(Ausgangsrechnungen!$C:$C,B69,Ausgangsrechnungen!$G:$G)+SUMIF(Ausgangsrechnungen!$C:$C,A69,Ausgangsrechnungen!$G:$G))</x:f>
        <x:v>0</x:v>
      </x:c>
      <x:c r="Q69" s="175" t="n">
        <x:f>IF(B69="",0,SUMIF(Ausgangsrechnungen!$C:$C,B69,Ausgangsrechnungen!$H:$H)+SUMIF(Ausgangsrechnungen!$C:$C,A69,Ausgangsrechnungen!$H:$H))</x:f>
        <x:v>0</x:v>
      </x:c>
      <x:c r="R69" s="175">
        <x:f t="shared" si="10"/>
        <x:v>0</x:v>
      </x:c>
      <x:c r="S69" s="175">
        <x:f t="shared" si="11"/>
        <x:v>0</x:v>
      </x:c>
      <x:c r="T69" s="176">
        <x:f t="shared" si="12"/>
        <x:v>0</x:v>
      </x:c>
      <x:c r="U69" s="172" t="str">
        <x:f t="shared" si="13"/>
        <x:v>Kein Termin</x:v>
      </x:c>
      <x:c r="V69" s="171" t="str">
        <x:f t="shared" si="14"/>
      </x:c>
    </x:row>
    <x:row r="70">
      <x:c r="A70" s="168"/>
      <x:c r="B70" s="168"/>
      <x:c r="C70" s="168"/>
      <x:c r="D70" s="168"/>
      <x:c r="E70" s="168"/>
      <x:c r="F70" s="169"/>
      <x:c r="G70" s="169"/>
      <x:c r="H70" s="170"/>
      <x:c r="I70" s="168"/>
      <x:c r="J70" s="168"/>
      <x:c r="K70" s="168"/>
      <x:c r="L70" s="168"/>
      <x:c r="M70" s="173" t="str">
        <x:f>IF(E70="","",IFERROR(VLOOKUP(E70,Einstellungen!$I$2:$J$9,2,FALSE),0))</x:f>
      </x:c>
      <x:c r="N70" s="174" t="n">
        <x:f>IF(B70="",0,SUMIF(Eingangsrechnungen!$C:$C,B70,Eingangsrechnungen!$F:$F)+SUMIF(Eingangsrechnungen!$C:$C,A70,Eingangsrechnungen!$F:$F))</x:f>
        <x:v>0</x:v>
      </x:c>
      <x:c r="O70" s="174" t="n">
        <x:f>IF(B70="",0,SUMIF(Ausgangsrechnungen!$C:$C,B70,Ausgangsrechnungen!$N:$N)+SUMIF(Ausgangsrechnungen!$C:$C,A70,Ausgangsrechnungen!$N:$N))</x:f>
        <x:v>0</x:v>
      </x:c>
      <x:c r="P70" s="175" t="n">
        <x:f>IF(B70="",0,SUMIF(Ausgangsrechnungen!$C:$C,B70,Ausgangsrechnungen!$G:$G)+SUMIF(Ausgangsrechnungen!$C:$C,A70,Ausgangsrechnungen!$G:$G))</x:f>
        <x:v>0</x:v>
      </x:c>
      <x:c r="Q70" s="175" t="n">
        <x:f>IF(B70="",0,SUMIF(Ausgangsrechnungen!$C:$C,B70,Ausgangsrechnungen!$H:$H)+SUMIF(Ausgangsrechnungen!$C:$C,A70,Ausgangsrechnungen!$H:$H))</x:f>
        <x:v>0</x:v>
      </x:c>
      <x:c r="R70" s="175">
        <x:f t="shared" si="10"/>
        <x:v>0</x:v>
      </x:c>
      <x:c r="S70" s="175">
        <x:f t="shared" si="11"/>
        <x:v>0</x:v>
      </x:c>
      <x:c r="T70" s="176">
        <x:f t="shared" si="12"/>
        <x:v>0</x:v>
      </x:c>
      <x:c r="U70" s="172" t="str">
        <x:f t="shared" si="13"/>
        <x:v>Kein Termin</x:v>
      </x:c>
      <x:c r="V70" s="171" t="str">
        <x:f t="shared" si="14"/>
      </x:c>
    </x:row>
    <x:row r="71">
      <x:c r="A71" s="168"/>
      <x:c r="B71" s="168"/>
      <x:c r="C71" s="168"/>
      <x:c r="D71" s="168"/>
      <x:c r="E71" s="168"/>
      <x:c r="F71" s="169"/>
      <x:c r="G71" s="169"/>
      <x:c r="H71" s="170"/>
      <x:c r="I71" s="168"/>
      <x:c r="J71" s="168"/>
      <x:c r="K71" s="168"/>
      <x:c r="L71" s="168"/>
      <x:c r="M71" s="173" t="str">
        <x:f>IF(E71="","",IFERROR(VLOOKUP(E71,Einstellungen!$I$2:$J$9,2,FALSE),0))</x:f>
      </x:c>
      <x:c r="N71" s="174" t="n">
        <x:f>IF(B71="",0,SUMIF(Eingangsrechnungen!$C:$C,B71,Eingangsrechnungen!$F:$F)+SUMIF(Eingangsrechnungen!$C:$C,A71,Eingangsrechnungen!$F:$F))</x:f>
        <x:v>0</x:v>
      </x:c>
      <x:c r="O71" s="174" t="n">
        <x:f>IF(B71="",0,SUMIF(Ausgangsrechnungen!$C:$C,B71,Ausgangsrechnungen!$N:$N)+SUMIF(Ausgangsrechnungen!$C:$C,A71,Ausgangsrechnungen!$N:$N))</x:f>
        <x:v>0</x:v>
      </x:c>
      <x:c r="P71" s="175" t="n">
        <x:f>IF(B71="",0,SUMIF(Ausgangsrechnungen!$C:$C,B71,Ausgangsrechnungen!$G:$G)+SUMIF(Ausgangsrechnungen!$C:$C,A71,Ausgangsrechnungen!$G:$G))</x:f>
        <x:v>0</x:v>
      </x:c>
      <x:c r="Q71" s="175" t="n">
        <x:f>IF(B71="",0,SUMIF(Ausgangsrechnungen!$C:$C,B71,Ausgangsrechnungen!$H:$H)+SUMIF(Ausgangsrechnungen!$C:$C,A71,Ausgangsrechnungen!$H:$H))</x:f>
        <x:v>0</x:v>
      </x:c>
      <x:c r="R71" s="175">
        <x:f t="shared" si="10"/>
        <x:v>0</x:v>
      </x:c>
      <x:c r="S71" s="175">
        <x:f t="shared" si="11"/>
        <x:v>0</x:v>
      </x:c>
      <x:c r="T71" s="176">
        <x:f t="shared" si="12"/>
        <x:v>0</x:v>
      </x:c>
      <x:c r="U71" s="172" t="str">
        <x:f t="shared" si="13"/>
        <x:v>Kein Termin</x:v>
      </x:c>
      <x:c r="V71" s="171" t="str">
        <x:f t="shared" si="14"/>
      </x:c>
    </x:row>
    <x:row r="72">
      <x:c r="A72" s="168"/>
      <x:c r="B72" s="168"/>
      <x:c r="C72" s="168"/>
      <x:c r="D72" s="168"/>
      <x:c r="E72" s="168"/>
      <x:c r="F72" s="169"/>
      <x:c r="G72" s="169"/>
      <x:c r="H72" s="170"/>
      <x:c r="I72" s="168"/>
      <x:c r="J72" s="168"/>
      <x:c r="K72" s="168"/>
      <x:c r="L72" s="168"/>
      <x:c r="M72" s="173" t="str">
        <x:f>IF(E72="","",IFERROR(VLOOKUP(E72,Einstellungen!$I$2:$J$9,2,FALSE),0))</x:f>
      </x:c>
      <x:c r="N72" s="174" t="n">
        <x:f>IF(B72="",0,SUMIF(Eingangsrechnungen!$C:$C,B72,Eingangsrechnungen!$F:$F)+SUMIF(Eingangsrechnungen!$C:$C,A72,Eingangsrechnungen!$F:$F))</x:f>
        <x:v>0</x:v>
      </x:c>
      <x:c r="O72" s="174" t="n">
        <x:f>IF(B72="",0,SUMIF(Ausgangsrechnungen!$C:$C,B72,Ausgangsrechnungen!$N:$N)+SUMIF(Ausgangsrechnungen!$C:$C,A72,Ausgangsrechnungen!$N:$N))</x:f>
        <x:v>0</x:v>
      </x:c>
      <x:c r="P72" s="175" t="n">
        <x:f>IF(B72="",0,SUMIF(Ausgangsrechnungen!$C:$C,B72,Ausgangsrechnungen!$G:$G)+SUMIF(Ausgangsrechnungen!$C:$C,A72,Ausgangsrechnungen!$G:$G))</x:f>
        <x:v>0</x:v>
      </x:c>
      <x:c r="Q72" s="175" t="n">
        <x:f>IF(B72="",0,SUMIF(Ausgangsrechnungen!$C:$C,B72,Ausgangsrechnungen!$H:$H)+SUMIF(Ausgangsrechnungen!$C:$C,A72,Ausgangsrechnungen!$H:$H))</x:f>
        <x:v>0</x:v>
      </x:c>
      <x:c r="R72" s="175">
        <x:f t="shared" si="10"/>
        <x:v>0</x:v>
      </x:c>
      <x:c r="S72" s="175">
        <x:f t="shared" si="11"/>
        <x:v>0</x:v>
      </x:c>
      <x:c r="T72" s="176">
        <x:f t="shared" si="12"/>
        <x:v>0</x:v>
      </x:c>
      <x:c r="U72" s="172" t="str">
        <x:f t="shared" si="13"/>
        <x:v>Kein Termin</x:v>
      </x:c>
      <x:c r="V72" s="171" t="str">
        <x:f t="shared" si="14"/>
      </x:c>
    </x:row>
    <x:row r="73">
      <x:c r="A73" s="168"/>
      <x:c r="B73" s="168"/>
      <x:c r="C73" s="168"/>
      <x:c r="D73" s="168"/>
      <x:c r="E73" s="168"/>
      <x:c r="F73" s="169"/>
      <x:c r="G73" s="169"/>
      <x:c r="H73" s="170"/>
      <x:c r="I73" s="168"/>
      <x:c r="J73" s="168"/>
      <x:c r="K73" s="168"/>
      <x:c r="L73" s="168"/>
      <x:c r="M73" s="173" t="str">
        <x:f>IF(E73="","",IFERROR(VLOOKUP(E73,Einstellungen!$I$2:$J$9,2,FALSE),0))</x:f>
      </x:c>
      <x:c r="N73" s="174" t="n">
        <x:f>IF(B73="",0,SUMIF(Eingangsrechnungen!$C:$C,B73,Eingangsrechnungen!$F:$F)+SUMIF(Eingangsrechnungen!$C:$C,A73,Eingangsrechnungen!$F:$F))</x:f>
        <x:v>0</x:v>
      </x:c>
      <x:c r="O73" s="174" t="n">
        <x:f>IF(B73="",0,SUMIF(Ausgangsrechnungen!$C:$C,B73,Ausgangsrechnungen!$N:$N)+SUMIF(Ausgangsrechnungen!$C:$C,A73,Ausgangsrechnungen!$N:$N))</x:f>
        <x:v>0</x:v>
      </x:c>
      <x:c r="P73" s="175" t="n">
        <x:f>IF(B73="",0,SUMIF(Ausgangsrechnungen!$C:$C,B73,Ausgangsrechnungen!$G:$G)+SUMIF(Ausgangsrechnungen!$C:$C,A73,Ausgangsrechnungen!$G:$G))</x:f>
        <x:v>0</x:v>
      </x:c>
      <x:c r="Q73" s="175" t="n">
        <x:f>IF(B73="",0,SUMIF(Ausgangsrechnungen!$C:$C,B73,Ausgangsrechnungen!$H:$H)+SUMIF(Ausgangsrechnungen!$C:$C,A73,Ausgangsrechnungen!$H:$H))</x:f>
        <x:v>0</x:v>
      </x:c>
      <x:c r="R73" s="175">
        <x:f t="shared" si="10"/>
        <x:v>0</x:v>
      </x:c>
      <x:c r="S73" s="175">
        <x:f t="shared" si="11"/>
        <x:v>0</x:v>
      </x:c>
      <x:c r="T73" s="176">
        <x:f t="shared" si="12"/>
        <x:v>0</x:v>
      </x:c>
      <x:c r="U73" s="172" t="str">
        <x:f t="shared" si="13"/>
        <x:v>Kein Termin</x:v>
      </x:c>
      <x:c r="V73" s="171" t="str">
        <x:f t="shared" si="14"/>
      </x:c>
    </x:row>
    <x:row r="74">
      <x:c r="A74" s="168"/>
      <x:c r="B74" s="168"/>
      <x:c r="C74" s="168"/>
      <x:c r="D74" s="168"/>
      <x:c r="E74" s="168"/>
      <x:c r="F74" s="169"/>
      <x:c r="G74" s="169"/>
      <x:c r="H74" s="170"/>
      <x:c r="I74" s="168"/>
      <x:c r="J74" s="168"/>
      <x:c r="K74" s="168"/>
      <x:c r="L74" s="168"/>
      <x:c r="M74" s="173" t="str">
        <x:f>IF(E74="","",IFERROR(VLOOKUP(E74,Einstellungen!$I$2:$J$9,2,FALSE),0))</x:f>
      </x:c>
      <x:c r="N74" s="174" t="n">
        <x:f>IF(B74="",0,SUMIF(Eingangsrechnungen!$C:$C,B74,Eingangsrechnungen!$F:$F)+SUMIF(Eingangsrechnungen!$C:$C,A74,Eingangsrechnungen!$F:$F))</x:f>
        <x:v>0</x:v>
      </x:c>
      <x:c r="O74" s="174" t="n">
        <x:f>IF(B74="",0,SUMIF(Ausgangsrechnungen!$C:$C,B74,Ausgangsrechnungen!$N:$N)+SUMIF(Ausgangsrechnungen!$C:$C,A74,Ausgangsrechnungen!$N:$N))</x:f>
        <x:v>0</x:v>
      </x:c>
      <x:c r="P74" s="175" t="n">
        <x:f>IF(B74="",0,SUMIF(Ausgangsrechnungen!$C:$C,B74,Ausgangsrechnungen!$G:$G)+SUMIF(Ausgangsrechnungen!$C:$C,A74,Ausgangsrechnungen!$G:$G))</x:f>
        <x:v>0</x:v>
      </x:c>
      <x:c r="Q74" s="175" t="n">
        <x:f>IF(B74="",0,SUMIF(Ausgangsrechnungen!$C:$C,B74,Ausgangsrechnungen!$H:$H)+SUMIF(Ausgangsrechnungen!$C:$C,A74,Ausgangsrechnungen!$H:$H))</x:f>
        <x:v>0</x:v>
      </x:c>
      <x:c r="R74" s="175">
        <x:f t="shared" si="10"/>
        <x:v>0</x:v>
      </x:c>
      <x:c r="S74" s="175">
        <x:f t="shared" si="11"/>
        <x:v>0</x:v>
      </x:c>
      <x:c r="T74" s="176">
        <x:f t="shared" si="12"/>
        <x:v>0</x:v>
      </x:c>
      <x:c r="U74" s="172" t="str">
        <x:f t="shared" si="13"/>
        <x:v>Kein Termin</x:v>
      </x:c>
      <x:c r="V74" s="171" t="str">
        <x:f t="shared" si="14"/>
      </x:c>
    </x:row>
    <x:row r="75">
      <x:c r="A75" s="168"/>
      <x:c r="B75" s="168"/>
      <x:c r="C75" s="168"/>
      <x:c r="D75" s="168"/>
      <x:c r="E75" s="168"/>
      <x:c r="F75" s="169"/>
      <x:c r="G75" s="169"/>
      <x:c r="H75" s="170"/>
      <x:c r="I75" s="168"/>
      <x:c r="J75" s="168"/>
      <x:c r="K75" s="168"/>
      <x:c r="L75" s="168"/>
      <x:c r="M75" s="173" t="str">
        <x:f>IF(E75="","",IFERROR(VLOOKUP(E75,Einstellungen!$I$2:$J$9,2,FALSE),0))</x:f>
      </x:c>
      <x:c r="N75" s="174" t="n">
        <x:f>IF(B75="",0,SUMIF(Eingangsrechnungen!$C:$C,B75,Eingangsrechnungen!$F:$F)+SUMIF(Eingangsrechnungen!$C:$C,A75,Eingangsrechnungen!$F:$F))</x:f>
        <x:v>0</x:v>
      </x:c>
      <x:c r="O75" s="174" t="n">
        <x:f>IF(B75="",0,SUMIF(Ausgangsrechnungen!$C:$C,B75,Ausgangsrechnungen!$N:$N)+SUMIF(Ausgangsrechnungen!$C:$C,A75,Ausgangsrechnungen!$N:$N))</x:f>
        <x:v>0</x:v>
      </x:c>
      <x:c r="P75" s="175" t="n">
        <x:f>IF(B75="",0,SUMIF(Ausgangsrechnungen!$C:$C,B75,Ausgangsrechnungen!$G:$G)+SUMIF(Ausgangsrechnungen!$C:$C,A75,Ausgangsrechnungen!$G:$G))</x:f>
        <x:v>0</x:v>
      </x:c>
      <x:c r="Q75" s="175" t="n">
        <x:f>IF(B75="",0,SUMIF(Ausgangsrechnungen!$C:$C,B75,Ausgangsrechnungen!$H:$H)+SUMIF(Ausgangsrechnungen!$C:$C,A75,Ausgangsrechnungen!$H:$H))</x:f>
        <x:v>0</x:v>
      </x:c>
      <x:c r="R75" s="175">
        <x:f t="shared" si="10"/>
        <x:v>0</x:v>
      </x:c>
      <x:c r="S75" s="175">
        <x:f t="shared" si="11"/>
        <x:v>0</x:v>
      </x:c>
      <x:c r="T75" s="176">
        <x:f t="shared" si="12"/>
        <x:v>0</x:v>
      </x:c>
      <x:c r="U75" s="172" t="str">
        <x:f t="shared" si="13"/>
        <x:v>Kein Termin</x:v>
      </x:c>
      <x:c r="V75" s="171" t="str">
        <x:f t="shared" si="14"/>
      </x:c>
    </x:row>
    <x:row r="76">
      <x:c r="A76" s="168"/>
      <x:c r="B76" s="168"/>
      <x:c r="C76" s="168"/>
      <x:c r="D76" s="168"/>
      <x:c r="E76" s="168"/>
      <x:c r="F76" s="169"/>
      <x:c r="G76" s="169"/>
      <x:c r="H76" s="170"/>
      <x:c r="I76" s="168"/>
      <x:c r="J76" s="168"/>
      <x:c r="K76" s="168"/>
      <x:c r="L76" s="168"/>
      <x:c r="M76" s="173" t="str">
        <x:f>IF(E76="","",IFERROR(VLOOKUP(E76,Einstellungen!$I$2:$J$9,2,FALSE),0))</x:f>
      </x:c>
      <x:c r="N76" s="174" t="n">
        <x:f>IF(B76="",0,SUMIF(Eingangsrechnungen!$C:$C,B76,Eingangsrechnungen!$F:$F)+SUMIF(Eingangsrechnungen!$C:$C,A76,Eingangsrechnungen!$F:$F))</x:f>
        <x:v>0</x:v>
      </x:c>
      <x:c r="O76" s="174" t="n">
        <x:f>IF(B76="",0,SUMIF(Ausgangsrechnungen!$C:$C,B76,Ausgangsrechnungen!$N:$N)+SUMIF(Ausgangsrechnungen!$C:$C,A76,Ausgangsrechnungen!$N:$N))</x:f>
        <x:v>0</x:v>
      </x:c>
      <x:c r="P76" s="175" t="n">
        <x:f>IF(B76="",0,SUMIF(Ausgangsrechnungen!$C:$C,B76,Ausgangsrechnungen!$G:$G)+SUMIF(Ausgangsrechnungen!$C:$C,A76,Ausgangsrechnungen!$G:$G))</x:f>
        <x:v>0</x:v>
      </x:c>
      <x:c r="Q76" s="175" t="n">
        <x:f>IF(B76="",0,SUMIF(Ausgangsrechnungen!$C:$C,B76,Ausgangsrechnungen!$H:$H)+SUMIF(Ausgangsrechnungen!$C:$C,A76,Ausgangsrechnungen!$H:$H))</x:f>
        <x:v>0</x:v>
      </x:c>
      <x:c r="R76" s="175">
        <x:f t="shared" si="10"/>
        <x:v>0</x:v>
      </x:c>
      <x:c r="S76" s="175">
        <x:f t="shared" si="11"/>
        <x:v>0</x:v>
      </x:c>
      <x:c r="T76" s="176">
        <x:f t="shared" si="12"/>
        <x:v>0</x:v>
      </x:c>
      <x:c r="U76" s="172" t="str">
        <x:f t="shared" si="13"/>
        <x:v>Kein Termin</x:v>
      </x:c>
      <x:c r="V76" s="171" t="str">
        <x:f t="shared" si="14"/>
      </x:c>
    </x:row>
    <x:row r="77">
      <x:c r="A77" s="168"/>
      <x:c r="B77" s="168"/>
      <x:c r="C77" s="168"/>
      <x:c r="D77" s="168"/>
      <x:c r="E77" s="168"/>
      <x:c r="F77" s="169"/>
      <x:c r="G77" s="169"/>
      <x:c r="H77" s="170"/>
      <x:c r="I77" s="168"/>
      <x:c r="J77" s="168"/>
      <x:c r="K77" s="168"/>
      <x:c r="L77" s="168"/>
      <x:c r="M77" s="173" t="str">
        <x:f>IF(E77="","",IFERROR(VLOOKUP(E77,Einstellungen!$I$2:$J$9,2,FALSE),0))</x:f>
      </x:c>
      <x:c r="N77" s="174" t="n">
        <x:f>IF(B77="",0,SUMIF(Eingangsrechnungen!$C:$C,B77,Eingangsrechnungen!$F:$F)+SUMIF(Eingangsrechnungen!$C:$C,A77,Eingangsrechnungen!$F:$F))</x:f>
        <x:v>0</x:v>
      </x:c>
      <x:c r="O77" s="174" t="n">
        <x:f>IF(B77="",0,SUMIF(Ausgangsrechnungen!$C:$C,B77,Ausgangsrechnungen!$N:$N)+SUMIF(Ausgangsrechnungen!$C:$C,A77,Ausgangsrechnungen!$N:$N))</x:f>
        <x:v>0</x:v>
      </x:c>
      <x:c r="P77" s="175" t="n">
        <x:f>IF(B77="",0,SUMIF(Ausgangsrechnungen!$C:$C,B77,Ausgangsrechnungen!$G:$G)+SUMIF(Ausgangsrechnungen!$C:$C,A77,Ausgangsrechnungen!$G:$G))</x:f>
        <x:v>0</x:v>
      </x:c>
      <x:c r="Q77" s="175" t="n">
        <x:f>IF(B77="",0,SUMIF(Ausgangsrechnungen!$C:$C,B77,Ausgangsrechnungen!$H:$H)+SUMIF(Ausgangsrechnungen!$C:$C,A77,Ausgangsrechnungen!$H:$H))</x:f>
        <x:v>0</x:v>
      </x:c>
      <x:c r="R77" s="175">
        <x:f t="shared" si="10"/>
        <x:v>0</x:v>
      </x:c>
      <x:c r="S77" s="175">
        <x:f t="shared" si="11"/>
        <x:v>0</x:v>
      </x:c>
      <x:c r="T77" s="176">
        <x:f t="shared" si="12"/>
        <x:v>0</x:v>
      </x:c>
      <x:c r="U77" s="172" t="str">
        <x:f t="shared" si="13"/>
        <x:v>Kein Termin</x:v>
      </x:c>
      <x:c r="V77" s="171" t="str">
        <x:f t="shared" si="14"/>
      </x:c>
    </x:row>
    <x:row r="78">
      <x:c r="A78" s="168"/>
      <x:c r="B78" s="168"/>
      <x:c r="C78" s="168"/>
      <x:c r="D78" s="168"/>
      <x:c r="E78" s="168"/>
      <x:c r="F78" s="169"/>
      <x:c r="G78" s="169"/>
      <x:c r="H78" s="170"/>
      <x:c r="I78" s="168"/>
      <x:c r="J78" s="168"/>
      <x:c r="K78" s="168"/>
      <x:c r="L78" s="168"/>
      <x:c r="M78" s="173" t="str">
        <x:f>IF(E78="","",IFERROR(VLOOKUP(E78,Einstellungen!$I$2:$J$9,2,FALSE),0))</x:f>
      </x:c>
      <x:c r="N78" s="174" t="n">
        <x:f>IF(B78="",0,SUMIF(Eingangsrechnungen!$C:$C,B78,Eingangsrechnungen!$F:$F)+SUMIF(Eingangsrechnungen!$C:$C,A78,Eingangsrechnungen!$F:$F))</x:f>
        <x:v>0</x:v>
      </x:c>
      <x:c r="O78" s="174" t="n">
        <x:f>IF(B78="",0,SUMIF(Ausgangsrechnungen!$C:$C,B78,Ausgangsrechnungen!$N:$N)+SUMIF(Ausgangsrechnungen!$C:$C,A78,Ausgangsrechnungen!$N:$N))</x:f>
        <x:v>0</x:v>
      </x:c>
      <x:c r="P78" s="175" t="n">
        <x:f>IF(B78="",0,SUMIF(Ausgangsrechnungen!$C:$C,B78,Ausgangsrechnungen!$G:$G)+SUMIF(Ausgangsrechnungen!$C:$C,A78,Ausgangsrechnungen!$G:$G))</x:f>
        <x:v>0</x:v>
      </x:c>
      <x:c r="Q78" s="175" t="n">
        <x:f>IF(B78="",0,SUMIF(Ausgangsrechnungen!$C:$C,B78,Ausgangsrechnungen!$H:$H)+SUMIF(Ausgangsrechnungen!$C:$C,A78,Ausgangsrechnungen!$H:$H))</x:f>
        <x:v>0</x:v>
      </x:c>
      <x:c r="R78" s="175">
        <x:f t="shared" si="10"/>
        <x:v>0</x:v>
      </x:c>
      <x:c r="S78" s="175">
        <x:f t="shared" si="11"/>
        <x:v>0</x:v>
      </x:c>
      <x:c r="T78" s="176">
        <x:f t="shared" si="12"/>
        <x:v>0</x:v>
      </x:c>
      <x:c r="U78" s="172" t="str">
        <x:f t="shared" si="13"/>
        <x:v>Kein Termin</x:v>
      </x:c>
      <x:c r="V78" s="171" t="str">
        <x:f t="shared" si="14"/>
      </x:c>
    </x:row>
    <x:row r="79">
      <x:c r="A79" s="168"/>
      <x:c r="B79" s="168"/>
      <x:c r="C79" s="168"/>
      <x:c r="D79" s="168"/>
      <x:c r="E79" s="168"/>
      <x:c r="F79" s="169"/>
      <x:c r="G79" s="169"/>
      <x:c r="H79" s="170"/>
      <x:c r="I79" s="168"/>
      <x:c r="J79" s="168"/>
      <x:c r="K79" s="168"/>
      <x:c r="L79" s="168"/>
      <x:c r="M79" s="173" t="str">
        <x:f>IF(E79="","",IFERROR(VLOOKUP(E79,Einstellungen!$I$2:$J$9,2,FALSE),0))</x:f>
      </x:c>
      <x:c r="N79" s="174" t="n">
        <x:f>IF(B79="",0,SUMIF(Eingangsrechnungen!$C:$C,B79,Eingangsrechnungen!$F:$F)+SUMIF(Eingangsrechnungen!$C:$C,A79,Eingangsrechnungen!$F:$F))</x:f>
        <x:v>0</x:v>
      </x:c>
      <x:c r="O79" s="174" t="n">
        <x:f>IF(B79="",0,SUMIF(Ausgangsrechnungen!$C:$C,B79,Ausgangsrechnungen!$N:$N)+SUMIF(Ausgangsrechnungen!$C:$C,A79,Ausgangsrechnungen!$N:$N))</x:f>
        <x:v>0</x:v>
      </x:c>
      <x:c r="P79" s="175" t="n">
        <x:f>IF(B79="",0,SUMIF(Ausgangsrechnungen!$C:$C,B79,Ausgangsrechnungen!$G:$G)+SUMIF(Ausgangsrechnungen!$C:$C,A79,Ausgangsrechnungen!$G:$G))</x:f>
        <x:v>0</x:v>
      </x:c>
      <x:c r="Q79" s="175" t="n">
        <x:f>IF(B79="",0,SUMIF(Ausgangsrechnungen!$C:$C,B79,Ausgangsrechnungen!$H:$H)+SUMIF(Ausgangsrechnungen!$C:$C,A79,Ausgangsrechnungen!$H:$H))</x:f>
        <x:v>0</x:v>
      </x:c>
      <x:c r="R79" s="175">
        <x:f t="shared" si="10"/>
        <x:v>0</x:v>
      </x:c>
      <x:c r="S79" s="175">
        <x:f t="shared" si="11"/>
        <x:v>0</x:v>
      </x:c>
      <x:c r="T79" s="176">
        <x:f t="shared" si="12"/>
        <x:v>0</x:v>
      </x:c>
      <x:c r="U79" s="172" t="str">
        <x:f t="shared" si="13"/>
        <x:v>Kein Termin</x:v>
      </x:c>
      <x:c r="V79" s="171" t="str">
        <x:f t="shared" si="14"/>
      </x:c>
    </x:row>
    <x:row r="80">
      <x:c r="A80" s="168"/>
      <x:c r="B80" s="168"/>
      <x:c r="C80" s="168"/>
      <x:c r="D80" s="168"/>
      <x:c r="E80" s="168"/>
      <x:c r="F80" s="169"/>
      <x:c r="G80" s="169"/>
      <x:c r="H80" s="170"/>
      <x:c r="I80" s="168"/>
      <x:c r="J80" s="168"/>
      <x:c r="K80" s="168"/>
      <x:c r="L80" s="168"/>
      <x:c r="M80" s="173" t="str">
        <x:f>IF(E80="","",IFERROR(VLOOKUP(E80,Einstellungen!$I$2:$J$9,2,FALSE),0))</x:f>
      </x:c>
      <x:c r="N80" s="174" t="n">
        <x:f>IF(B80="",0,SUMIF(Eingangsrechnungen!$C:$C,B80,Eingangsrechnungen!$F:$F)+SUMIF(Eingangsrechnungen!$C:$C,A80,Eingangsrechnungen!$F:$F))</x:f>
        <x:v>0</x:v>
      </x:c>
      <x:c r="O80" s="174" t="n">
        <x:f>IF(B80="",0,SUMIF(Ausgangsrechnungen!$C:$C,B80,Ausgangsrechnungen!$N:$N)+SUMIF(Ausgangsrechnungen!$C:$C,A80,Ausgangsrechnungen!$N:$N))</x:f>
        <x:v>0</x:v>
      </x:c>
      <x:c r="P80" s="175" t="n">
        <x:f>IF(B80="",0,SUMIF(Ausgangsrechnungen!$C:$C,B80,Ausgangsrechnungen!$G:$G)+SUMIF(Ausgangsrechnungen!$C:$C,A80,Ausgangsrechnungen!$G:$G))</x:f>
        <x:v>0</x:v>
      </x:c>
      <x:c r="Q80" s="175" t="n">
        <x:f>IF(B80="",0,SUMIF(Ausgangsrechnungen!$C:$C,B80,Ausgangsrechnungen!$H:$H)+SUMIF(Ausgangsrechnungen!$C:$C,A80,Ausgangsrechnungen!$H:$H))</x:f>
        <x:v>0</x:v>
      </x:c>
      <x:c r="R80" s="175">
        <x:f t="shared" si="10"/>
        <x:v>0</x:v>
      </x:c>
      <x:c r="S80" s="175">
        <x:f t="shared" si="11"/>
        <x:v>0</x:v>
      </x:c>
      <x:c r="T80" s="176">
        <x:f t="shared" si="12"/>
        <x:v>0</x:v>
      </x:c>
      <x:c r="U80" s="172" t="str">
        <x:f t="shared" si="13"/>
        <x:v>Kein Termin</x:v>
      </x:c>
      <x:c r="V80" s="171" t="str">
        <x:f t="shared" si="14"/>
      </x:c>
    </x:row>
    <x:row r="81">
      <x:c r="A81" s="168"/>
      <x:c r="B81" s="168"/>
      <x:c r="C81" s="168"/>
      <x:c r="D81" s="168"/>
      <x:c r="E81" s="168"/>
      <x:c r="F81" s="169"/>
      <x:c r="G81" s="169"/>
      <x:c r="H81" s="170"/>
      <x:c r="I81" s="168"/>
      <x:c r="J81" s="168"/>
      <x:c r="K81" s="168"/>
      <x:c r="L81" s="168"/>
      <x:c r="M81" s="173" t="str">
        <x:f>IF(E81="","",IFERROR(VLOOKUP(E81,Einstellungen!$I$2:$J$9,2,FALSE),0))</x:f>
      </x:c>
      <x:c r="N81" s="174" t="n">
        <x:f>IF(B81="",0,SUMIF(Eingangsrechnungen!$C:$C,B81,Eingangsrechnungen!$F:$F)+SUMIF(Eingangsrechnungen!$C:$C,A81,Eingangsrechnungen!$F:$F))</x:f>
        <x:v>0</x:v>
      </x:c>
      <x:c r="O81" s="174" t="n">
        <x:f>IF(B81="",0,SUMIF(Ausgangsrechnungen!$C:$C,B81,Ausgangsrechnungen!$N:$N)+SUMIF(Ausgangsrechnungen!$C:$C,A81,Ausgangsrechnungen!$N:$N))</x:f>
        <x:v>0</x:v>
      </x:c>
      <x:c r="P81" s="175" t="n">
        <x:f>IF(B81="",0,SUMIF(Ausgangsrechnungen!$C:$C,B81,Ausgangsrechnungen!$G:$G)+SUMIF(Ausgangsrechnungen!$C:$C,A81,Ausgangsrechnungen!$G:$G))</x:f>
        <x:v>0</x:v>
      </x:c>
      <x:c r="Q81" s="175" t="n">
        <x:f>IF(B81="",0,SUMIF(Ausgangsrechnungen!$C:$C,B81,Ausgangsrechnungen!$H:$H)+SUMIF(Ausgangsrechnungen!$C:$C,A81,Ausgangsrechnungen!$H:$H))</x:f>
        <x:v>0</x:v>
      </x:c>
      <x:c r="R81" s="175">
        <x:f t="shared" si="10"/>
        <x:v>0</x:v>
      </x:c>
      <x:c r="S81" s="175">
        <x:f t="shared" si="11"/>
        <x:v>0</x:v>
      </x:c>
      <x:c r="T81" s="176">
        <x:f t="shared" si="12"/>
        <x:v>0</x:v>
      </x:c>
      <x:c r="U81" s="172" t="str">
        <x:f t="shared" si="13"/>
        <x:v>Kein Termin</x:v>
      </x:c>
      <x:c r="V81" s="171" t="str">
        <x:f t="shared" si="14"/>
      </x:c>
    </x:row>
    <x:row r="82">
      <x:c r="A82" s="168"/>
      <x:c r="B82" s="168"/>
      <x:c r="C82" s="168"/>
      <x:c r="D82" s="168"/>
      <x:c r="E82" s="168"/>
      <x:c r="F82" s="169"/>
      <x:c r="G82" s="169"/>
      <x:c r="H82" s="170"/>
      <x:c r="I82" s="168"/>
      <x:c r="J82" s="168"/>
      <x:c r="K82" s="168"/>
      <x:c r="L82" s="168"/>
      <x:c r="M82" s="173" t="str">
        <x:f>IF(E82="","",IFERROR(VLOOKUP(E82,Einstellungen!$I$2:$J$9,2,FALSE),0))</x:f>
      </x:c>
      <x:c r="N82" s="174" t="n">
        <x:f>IF(B82="",0,SUMIF(Eingangsrechnungen!$C:$C,B82,Eingangsrechnungen!$F:$F)+SUMIF(Eingangsrechnungen!$C:$C,A82,Eingangsrechnungen!$F:$F))</x:f>
        <x:v>0</x:v>
      </x:c>
      <x:c r="O82" s="174" t="n">
        <x:f>IF(B82="",0,SUMIF(Ausgangsrechnungen!$C:$C,B82,Ausgangsrechnungen!$N:$N)+SUMIF(Ausgangsrechnungen!$C:$C,A82,Ausgangsrechnungen!$N:$N))</x:f>
        <x:v>0</x:v>
      </x:c>
      <x:c r="P82" s="175" t="n">
        <x:f>IF(B82="",0,SUMIF(Ausgangsrechnungen!$C:$C,B82,Ausgangsrechnungen!$G:$G)+SUMIF(Ausgangsrechnungen!$C:$C,A82,Ausgangsrechnungen!$G:$G))</x:f>
        <x:v>0</x:v>
      </x:c>
      <x:c r="Q82" s="175" t="n">
        <x:f>IF(B82="",0,SUMIF(Ausgangsrechnungen!$C:$C,B82,Ausgangsrechnungen!$H:$H)+SUMIF(Ausgangsrechnungen!$C:$C,A82,Ausgangsrechnungen!$H:$H))</x:f>
        <x:v>0</x:v>
      </x:c>
      <x:c r="R82" s="175">
        <x:f t="shared" si="10"/>
        <x:v>0</x:v>
      </x:c>
      <x:c r="S82" s="175">
        <x:f t="shared" si="11"/>
        <x:v>0</x:v>
      </x:c>
      <x:c r="T82" s="176">
        <x:f t="shared" si="12"/>
        <x:v>0</x:v>
      </x:c>
      <x:c r="U82" s="172" t="str">
        <x:f t="shared" si="13"/>
        <x:v>Kein Termin</x:v>
      </x:c>
      <x:c r="V82" s="171" t="str">
        <x:f t="shared" si="14"/>
      </x:c>
    </x:row>
    <x:row r="83">
      <x:c r="A83" s="168"/>
      <x:c r="B83" s="168"/>
      <x:c r="C83" s="168"/>
      <x:c r="D83" s="168"/>
      <x:c r="E83" s="168"/>
      <x:c r="F83" s="169"/>
      <x:c r="G83" s="169"/>
      <x:c r="H83" s="170"/>
      <x:c r="I83" s="168"/>
      <x:c r="J83" s="168"/>
      <x:c r="K83" s="168"/>
      <x:c r="L83" s="168"/>
      <x:c r="M83" s="173" t="str">
        <x:f>IF(E83="","",IFERROR(VLOOKUP(E83,Einstellungen!$I$2:$J$9,2,FALSE),0))</x:f>
      </x:c>
      <x:c r="N83" s="174" t="n">
        <x:f>IF(B83="",0,SUMIF(Eingangsrechnungen!$C:$C,B83,Eingangsrechnungen!$F:$F)+SUMIF(Eingangsrechnungen!$C:$C,A83,Eingangsrechnungen!$F:$F))</x:f>
        <x:v>0</x:v>
      </x:c>
      <x:c r="O83" s="174" t="n">
        <x:f>IF(B83="",0,SUMIF(Ausgangsrechnungen!$C:$C,B83,Ausgangsrechnungen!$N:$N)+SUMIF(Ausgangsrechnungen!$C:$C,A83,Ausgangsrechnungen!$N:$N))</x:f>
        <x:v>0</x:v>
      </x:c>
      <x:c r="P83" s="175" t="n">
        <x:f>IF(B83="",0,SUMIF(Ausgangsrechnungen!$C:$C,B83,Ausgangsrechnungen!$G:$G)+SUMIF(Ausgangsrechnungen!$C:$C,A83,Ausgangsrechnungen!$G:$G))</x:f>
        <x:v>0</x:v>
      </x:c>
      <x:c r="Q83" s="175" t="n">
        <x:f>IF(B83="",0,SUMIF(Ausgangsrechnungen!$C:$C,B83,Ausgangsrechnungen!$H:$H)+SUMIF(Ausgangsrechnungen!$C:$C,A83,Ausgangsrechnungen!$H:$H))</x:f>
        <x:v>0</x:v>
      </x:c>
      <x:c r="R83" s="175">
        <x:f t="shared" si="10"/>
        <x:v>0</x:v>
      </x:c>
      <x:c r="S83" s="175">
        <x:f t="shared" si="11"/>
        <x:v>0</x:v>
      </x:c>
      <x:c r="T83" s="176">
        <x:f t="shared" si="12"/>
        <x:v>0</x:v>
      </x:c>
      <x:c r="U83" s="172" t="str">
        <x:f t="shared" si="13"/>
        <x:v>Kein Termin</x:v>
      </x:c>
      <x:c r="V83" s="171" t="str">
        <x:f t="shared" si="14"/>
      </x:c>
    </x:row>
    <x:row r="84">
      <x:c r="A84" s="168"/>
      <x:c r="B84" s="168"/>
      <x:c r="C84" s="168"/>
      <x:c r="D84" s="168"/>
      <x:c r="E84" s="168"/>
      <x:c r="F84" s="169"/>
      <x:c r="G84" s="169"/>
      <x:c r="H84" s="170"/>
      <x:c r="I84" s="168"/>
      <x:c r="J84" s="168"/>
      <x:c r="K84" s="168"/>
      <x:c r="L84" s="168"/>
      <x:c r="M84" s="173" t="str">
        <x:f>IF(E84="","",IFERROR(VLOOKUP(E84,Einstellungen!$I$2:$J$9,2,FALSE),0))</x:f>
      </x:c>
      <x:c r="N84" s="174" t="n">
        <x:f>IF(B84="",0,SUMIF(Eingangsrechnungen!$C:$C,B84,Eingangsrechnungen!$F:$F)+SUMIF(Eingangsrechnungen!$C:$C,A84,Eingangsrechnungen!$F:$F))</x:f>
        <x:v>0</x:v>
      </x:c>
      <x:c r="O84" s="174" t="n">
        <x:f>IF(B84="",0,SUMIF(Ausgangsrechnungen!$C:$C,B84,Ausgangsrechnungen!$N:$N)+SUMIF(Ausgangsrechnungen!$C:$C,A84,Ausgangsrechnungen!$N:$N))</x:f>
        <x:v>0</x:v>
      </x:c>
      <x:c r="P84" s="175" t="n">
        <x:f>IF(B84="",0,SUMIF(Ausgangsrechnungen!$C:$C,B84,Ausgangsrechnungen!$G:$G)+SUMIF(Ausgangsrechnungen!$C:$C,A84,Ausgangsrechnungen!$G:$G))</x:f>
        <x:v>0</x:v>
      </x:c>
      <x:c r="Q84" s="175" t="n">
        <x:f>IF(B84="",0,SUMIF(Ausgangsrechnungen!$C:$C,B84,Ausgangsrechnungen!$H:$H)+SUMIF(Ausgangsrechnungen!$C:$C,A84,Ausgangsrechnungen!$H:$H))</x:f>
        <x:v>0</x:v>
      </x:c>
      <x:c r="R84" s="175">
        <x:f t="shared" si="10"/>
        <x:v>0</x:v>
      </x:c>
      <x:c r="S84" s="175">
        <x:f t="shared" si="11"/>
        <x:v>0</x:v>
      </x:c>
      <x:c r="T84" s="176">
        <x:f t="shared" si="12"/>
        <x:v>0</x:v>
      </x:c>
      <x:c r="U84" s="172" t="str">
        <x:f t="shared" si="13"/>
        <x:v>Kein Termin</x:v>
      </x:c>
      <x:c r="V84" s="171" t="str">
        <x:f t="shared" si="14"/>
      </x:c>
    </x:row>
    <x:row r="85">
      <x:c r="A85" s="168"/>
      <x:c r="B85" s="168"/>
      <x:c r="C85" s="168"/>
      <x:c r="D85" s="168"/>
      <x:c r="E85" s="168"/>
      <x:c r="F85" s="169"/>
      <x:c r="G85" s="169"/>
      <x:c r="H85" s="170"/>
      <x:c r="I85" s="168"/>
      <x:c r="J85" s="168"/>
      <x:c r="K85" s="168"/>
      <x:c r="L85" s="168"/>
      <x:c r="M85" s="173" t="str">
        <x:f>IF(E85="","",IFERROR(VLOOKUP(E85,Einstellungen!$I$2:$J$9,2,FALSE),0))</x:f>
      </x:c>
      <x:c r="N85" s="174" t="n">
        <x:f>IF(B85="",0,SUMIF(Eingangsrechnungen!$C:$C,B85,Eingangsrechnungen!$F:$F)+SUMIF(Eingangsrechnungen!$C:$C,A85,Eingangsrechnungen!$F:$F))</x:f>
        <x:v>0</x:v>
      </x:c>
      <x:c r="O85" s="174" t="n">
        <x:f>IF(B85="",0,SUMIF(Ausgangsrechnungen!$C:$C,B85,Ausgangsrechnungen!$N:$N)+SUMIF(Ausgangsrechnungen!$C:$C,A85,Ausgangsrechnungen!$N:$N))</x:f>
        <x:v>0</x:v>
      </x:c>
      <x:c r="P85" s="175" t="n">
        <x:f>IF(B85="",0,SUMIF(Ausgangsrechnungen!$C:$C,B85,Ausgangsrechnungen!$G:$G)+SUMIF(Ausgangsrechnungen!$C:$C,A85,Ausgangsrechnungen!$G:$G))</x:f>
        <x:v>0</x:v>
      </x:c>
      <x:c r="Q85" s="175" t="n">
        <x:f>IF(B85="",0,SUMIF(Ausgangsrechnungen!$C:$C,B85,Ausgangsrechnungen!$H:$H)+SUMIF(Ausgangsrechnungen!$C:$C,A85,Ausgangsrechnungen!$H:$H))</x:f>
        <x:v>0</x:v>
      </x:c>
      <x:c r="R85" s="175">
        <x:f t="shared" si="10"/>
        <x:v>0</x:v>
      </x:c>
      <x:c r="S85" s="175">
        <x:f t="shared" si="11"/>
        <x:v>0</x:v>
      </x:c>
      <x:c r="T85" s="176">
        <x:f t="shared" si="12"/>
        <x:v>0</x:v>
      </x:c>
      <x:c r="U85" s="172" t="str">
        <x:f t="shared" si="13"/>
        <x:v>Kein Termin</x:v>
      </x:c>
      <x:c r="V85" s="171" t="str">
        <x:f t="shared" si="14"/>
      </x:c>
    </x:row>
    <x:row r="86">
      <x:c r="A86" s="168"/>
      <x:c r="B86" s="168"/>
      <x:c r="C86" s="168"/>
      <x:c r="D86" s="168"/>
      <x:c r="E86" s="168"/>
      <x:c r="F86" s="169"/>
      <x:c r="G86" s="169"/>
      <x:c r="H86" s="170"/>
      <x:c r="I86" s="168"/>
      <x:c r="J86" s="168"/>
      <x:c r="K86" s="168"/>
      <x:c r="L86" s="168"/>
      <x:c r="M86" s="173" t="str">
        <x:f>IF(E86="","",IFERROR(VLOOKUP(E86,Einstellungen!$I$2:$J$9,2,FALSE),0))</x:f>
      </x:c>
      <x:c r="N86" s="174" t="n">
        <x:f>IF(B86="",0,SUMIF(Eingangsrechnungen!$C:$C,B86,Eingangsrechnungen!$F:$F)+SUMIF(Eingangsrechnungen!$C:$C,A86,Eingangsrechnungen!$F:$F))</x:f>
        <x:v>0</x:v>
      </x:c>
      <x:c r="O86" s="174" t="n">
        <x:f>IF(B86="",0,SUMIF(Ausgangsrechnungen!$C:$C,B86,Ausgangsrechnungen!$N:$N)+SUMIF(Ausgangsrechnungen!$C:$C,A86,Ausgangsrechnungen!$N:$N))</x:f>
        <x:v>0</x:v>
      </x:c>
      <x:c r="P86" s="175" t="n">
        <x:f>IF(B86="",0,SUMIF(Ausgangsrechnungen!$C:$C,B86,Ausgangsrechnungen!$G:$G)+SUMIF(Ausgangsrechnungen!$C:$C,A86,Ausgangsrechnungen!$G:$G))</x:f>
        <x:v>0</x:v>
      </x:c>
      <x:c r="Q86" s="175" t="n">
        <x:f>IF(B86="",0,SUMIF(Ausgangsrechnungen!$C:$C,B86,Ausgangsrechnungen!$H:$H)+SUMIF(Ausgangsrechnungen!$C:$C,A86,Ausgangsrechnungen!$H:$H))</x:f>
        <x:v>0</x:v>
      </x:c>
      <x:c r="R86" s="175">
        <x:f t="shared" si="10"/>
        <x:v>0</x:v>
      </x:c>
      <x:c r="S86" s="175">
        <x:f t="shared" si="11"/>
        <x:v>0</x:v>
      </x:c>
      <x:c r="T86" s="176">
        <x:f t="shared" si="12"/>
        <x:v>0</x:v>
      </x:c>
      <x:c r="U86" s="172" t="str">
        <x:f t="shared" si="13"/>
        <x:v>Kein Termin</x:v>
      </x:c>
      <x:c r="V86" s="171" t="str">
        <x:f t="shared" si="14"/>
      </x:c>
    </x:row>
    <x:row r="87">
      <x:c r="A87" s="168"/>
      <x:c r="B87" s="168"/>
      <x:c r="C87" s="168"/>
      <x:c r="D87" s="168"/>
      <x:c r="E87" s="168"/>
      <x:c r="F87" s="169"/>
      <x:c r="G87" s="169"/>
      <x:c r="H87" s="170"/>
      <x:c r="I87" s="168"/>
      <x:c r="J87" s="168"/>
      <x:c r="K87" s="168"/>
      <x:c r="L87" s="168"/>
      <x:c r="M87" s="173" t="str">
        <x:f>IF(E87="","",IFERROR(VLOOKUP(E87,Einstellungen!$I$2:$J$9,2,FALSE),0))</x:f>
      </x:c>
      <x:c r="N87" s="174" t="n">
        <x:f>IF(B87="",0,SUMIF(Eingangsrechnungen!$C:$C,B87,Eingangsrechnungen!$F:$F)+SUMIF(Eingangsrechnungen!$C:$C,A87,Eingangsrechnungen!$F:$F))</x:f>
        <x:v>0</x:v>
      </x:c>
      <x:c r="O87" s="174" t="n">
        <x:f>IF(B87="",0,SUMIF(Ausgangsrechnungen!$C:$C,B87,Ausgangsrechnungen!$N:$N)+SUMIF(Ausgangsrechnungen!$C:$C,A87,Ausgangsrechnungen!$N:$N))</x:f>
        <x:v>0</x:v>
      </x:c>
      <x:c r="P87" s="175" t="n">
        <x:f>IF(B87="",0,SUMIF(Ausgangsrechnungen!$C:$C,B87,Ausgangsrechnungen!$G:$G)+SUMIF(Ausgangsrechnungen!$C:$C,A87,Ausgangsrechnungen!$G:$G))</x:f>
        <x:v>0</x:v>
      </x:c>
      <x:c r="Q87" s="175" t="n">
        <x:f>IF(B87="",0,SUMIF(Ausgangsrechnungen!$C:$C,B87,Ausgangsrechnungen!$H:$H)+SUMIF(Ausgangsrechnungen!$C:$C,A87,Ausgangsrechnungen!$H:$H))</x:f>
        <x:v>0</x:v>
      </x:c>
      <x:c r="R87" s="175">
        <x:f t="shared" si="10"/>
        <x:v>0</x:v>
      </x:c>
      <x:c r="S87" s="175">
        <x:f t="shared" si="11"/>
        <x:v>0</x:v>
      </x:c>
      <x:c r="T87" s="176">
        <x:f t="shared" si="12"/>
        <x:v>0</x:v>
      </x:c>
      <x:c r="U87" s="172" t="str">
        <x:f t="shared" si="13"/>
        <x:v>Kein Termin</x:v>
      </x:c>
      <x:c r="V87" s="171" t="str">
        <x:f t="shared" si="14"/>
      </x:c>
    </x:row>
    <x:row r="88">
      <x:c r="A88" s="168"/>
      <x:c r="B88" s="168"/>
      <x:c r="C88" s="168"/>
      <x:c r="D88" s="168"/>
      <x:c r="E88" s="168"/>
      <x:c r="F88" s="169"/>
      <x:c r="G88" s="169"/>
      <x:c r="H88" s="170"/>
      <x:c r="I88" s="168"/>
      <x:c r="J88" s="168"/>
      <x:c r="K88" s="168"/>
      <x:c r="L88" s="168"/>
      <x:c r="M88" s="173" t="str">
        <x:f>IF(E88="","",IFERROR(VLOOKUP(E88,Einstellungen!$I$2:$J$9,2,FALSE),0))</x:f>
      </x:c>
      <x:c r="N88" s="174" t="n">
        <x:f>IF(B88="",0,SUMIF(Eingangsrechnungen!$C:$C,B88,Eingangsrechnungen!$F:$F)+SUMIF(Eingangsrechnungen!$C:$C,A88,Eingangsrechnungen!$F:$F))</x:f>
        <x:v>0</x:v>
      </x:c>
      <x:c r="O88" s="174" t="n">
        <x:f>IF(B88="",0,SUMIF(Ausgangsrechnungen!$C:$C,B88,Ausgangsrechnungen!$N:$N)+SUMIF(Ausgangsrechnungen!$C:$C,A88,Ausgangsrechnungen!$N:$N))</x:f>
        <x:v>0</x:v>
      </x:c>
      <x:c r="P88" s="175" t="n">
        <x:f>IF(B88="",0,SUMIF(Ausgangsrechnungen!$C:$C,B88,Ausgangsrechnungen!$G:$G)+SUMIF(Ausgangsrechnungen!$C:$C,A88,Ausgangsrechnungen!$G:$G))</x:f>
        <x:v>0</x:v>
      </x:c>
      <x:c r="Q88" s="175" t="n">
        <x:f>IF(B88="",0,SUMIF(Ausgangsrechnungen!$C:$C,B88,Ausgangsrechnungen!$H:$H)+SUMIF(Ausgangsrechnungen!$C:$C,A88,Ausgangsrechnungen!$H:$H))</x:f>
        <x:v>0</x:v>
      </x:c>
      <x:c r="R88" s="175">
        <x:f t="shared" si="10"/>
        <x:v>0</x:v>
      </x:c>
      <x:c r="S88" s="175">
        <x:f t="shared" si="11"/>
        <x:v>0</x:v>
      </x:c>
      <x:c r="T88" s="176">
        <x:f t="shared" si="12"/>
        <x:v>0</x:v>
      </x:c>
      <x:c r="U88" s="172" t="str">
        <x:f t="shared" si="13"/>
        <x:v>Kein Termin</x:v>
      </x:c>
      <x:c r="V88" s="171" t="str">
        <x:f t="shared" si="14"/>
      </x:c>
    </x:row>
    <x:row r="89">
      <x:c r="A89" s="168"/>
      <x:c r="B89" s="168"/>
      <x:c r="C89" s="168"/>
      <x:c r="D89" s="168"/>
      <x:c r="E89" s="168"/>
      <x:c r="F89" s="169"/>
      <x:c r="G89" s="169"/>
      <x:c r="H89" s="170"/>
      <x:c r="I89" s="168"/>
      <x:c r="J89" s="168"/>
      <x:c r="K89" s="168"/>
      <x:c r="L89" s="168"/>
      <x:c r="M89" s="173" t="str">
        <x:f>IF(E89="","",IFERROR(VLOOKUP(E89,Einstellungen!$I$2:$J$9,2,FALSE),0))</x:f>
      </x:c>
      <x:c r="N89" s="174" t="n">
        <x:f>IF(B89="",0,SUMIF(Eingangsrechnungen!$C:$C,B89,Eingangsrechnungen!$F:$F)+SUMIF(Eingangsrechnungen!$C:$C,A89,Eingangsrechnungen!$F:$F))</x:f>
        <x:v>0</x:v>
      </x:c>
      <x:c r="O89" s="174" t="n">
        <x:f>IF(B89="",0,SUMIF(Ausgangsrechnungen!$C:$C,B89,Ausgangsrechnungen!$N:$N)+SUMIF(Ausgangsrechnungen!$C:$C,A89,Ausgangsrechnungen!$N:$N))</x:f>
        <x:v>0</x:v>
      </x:c>
      <x:c r="P89" s="175" t="n">
        <x:f>IF(B89="",0,SUMIF(Ausgangsrechnungen!$C:$C,B89,Ausgangsrechnungen!$G:$G)+SUMIF(Ausgangsrechnungen!$C:$C,A89,Ausgangsrechnungen!$G:$G))</x:f>
        <x:v>0</x:v>
      </x:c>
      <x:c r="Q89" s="175" t="n">
        <x:f>IF(B89="",0,SUMIF(Ausgangsrechnungen!$C:$C,B89,Ausgangsrechnungen!$H:$H)+SUMIF(Ausgangsrechnungen!$C:$C,A89,Ausgangsrechnungen!$H:$H))</x:f>
        <x:v>0</x:v>
      </x:c>
      <x:c r="R89" s="175">
        <x:f t="shared" si="10"/>
        <x:v>0</x:v>
      </x:c>
      <x:c r="S89" s="175">
        <x:f t="shared" si="11"/>
        <x:v>0</x:v>
      </x:c>
      <x:c r="T89" s="176">
        <x:f t="shared" si="12"/>
        <x:v>0</x:v>
      </x:c>
      <x:c r="U89" s="172" t="str">
        <x:f t="shared" si="13"/>
        <x:v>Kein Termin</x:v>
      </x:c>
      <x:c r="V89" s="171" t="str">
        <x:f t="shared" si="14"/>
      </x:c>
    </x:row>
    <x:row r="90">
      <x:c r="A90" s="168"/>
      <x:c r="B90" s="168"/>
      <x:c r="C90" s="168"/>
      <x:c r="D90" s="168"/>
      <x:c r="E90" s="168"/>
      <x:c r="F90" s="169"/>
      <x:c r="G90" s="169"/>
      <x:c r="H90" s="170"/>
      <x:c r="I90" s="168"/>
      <x:c r="J90" s="168"/>
      <x:c r="K90" s="168"/>
      <x:c r="L90" s="168"/>
      <x:c r="M90" s="173" t="str">
        <x:f>IF(E90="","",IFERROR(VLOOKUP(E90,Einstellungen!$I$2:$J$9,2,FALSE),0))</x:f>
      </x:c>
      <x:c r="N90" s="174" t="n">
        <x:f>IF(B90="",0,SUMIF(Eingangsrechnungen!$C:$C,B90,Eingangsrechnungen!$F:$F)+SUMIF(Eingangsrechnungen!$C:$C,A90,Eingangsrechnungen!$F:$F))</x:f>
        <x:v>0</x:v>
      </x:c>
      <x:c r="O90" s="174" t="n">
        <x:f>IF(B90="",0,SUMIF(Ausgangsrechnungen!$C:$C,B90,Ausgangsrechnungen!$N:$N)+SUMIF(Ausgangsrechnungen!$C:$C,A90,Ausgangsrechnungen!$N:$N))</x:f>
        <x:v>0</x:v>
      </x:c>
      <x:c r="P90" s="175" t="n">
        <x:f>IF(B90="",0,SUMIF(Ausgangsrechnungen!$C:$C,B90,Ausgangsrechnungen!$G:$G)+SUMIF(Ausgangsrechnungen!$C:$C,A90,Ausgangsrechnungen!$G:$G))</x:f>
        <x:v>0</x:v>
      </x:c>
      <x:c r="Q90" s="175" t="n">
        <x:f>IF(B90="",0,SUMIF(Ausgangsrechnungen!$C:$C,B90,Ausgangsrechnungen!$H:$H)+SUMIF(Ausgangsrechnungen!$C:$C,A90,Ausgangsrechnungen!$H:$H))</x:f>
        <x:v>0</x:v>
      </x:c>
      <x:c r="R90" s="175">
        <x:f t="shared" si="10"/>
        <x:v>0</x:v>
      </x:c>
      <x:c r="S90" s="175">
        <x:f t="shared" si="11"/>
        <x:v>0</x:v>
      </x:c>
      <x:c r="T90" s="176">
        <x:f t="shared" si="12"/>
        <x:v>0</x:v>
      </x:c>
      <x:c r="U90" s="172" t="str">
        <x:f t="shared" si="13"/>
        <x:v>Kein Termin</x:v>
      </x:c>
      <x:c r="V90" s="171" t="str">
        <x:f t="shared" si="14"/>
      </x:c>
    </x:row>
    <x:row r="91">
      <x:c r="A91" s="168"/>
      <x:c r="B91" s="168"/>
      <x:c r="C91" s="168"/>
      <x:c r="D91" s="168"/>
      <x:c r="E91" s="168"/>
      <x:c r="F91" s="169"/>
      <x:c r="G91" s="169"/>
      <x:c r="H91" s="170"/>
      <x:c r="I91" s="168"/>
      <x:c r="J91" s="168"/>
      <x:c r="K91" s="168"/>
      <x:c r="L91" s="168"/>
      <x:c r="M91" s="173" t="str">
        <x:f>IF(E91="","",IFERROR(VLOOKUP(E91,Einstellungen!$I$2:$J$9,2,FALSE),0))</x:f>
      </x:c>
      <x:c r="N91" s="174" t="n">
        <x:f>IF(B91="",0,SUMIF(Eingangsrechnungen!$C:$C,B91,Eingangsrechnungen!$F:$F)+SUMIF(Eingangsrechnungen!$C:$C,A91,Eingangsrechnungen!$F:$F))</x:f>
        <x:v>0</x:v>
      </x:c>
      <x:c r="O91" s="174" t="n">
        <x:f>IF(B91="",0,SUMIF(Ausgangsrechnungen!$C:$C,B91,Ausgangsrechnungen!$N:$N)+SUMIF(Ausgangsrechnungen!$C:$C,A91,Ausgangsrechnungen!$N:$N))</x:f>
        <x:v>0</x:v>
      </x:c>
      <x:c r="P91" s="175" t="n">
        <x:f>IF(B91="",0,SUMIF(Ausgangsrechnungen!$C:$C,B91,Ausgangsrechnungen!$G:$G)+SUMIF(Ausgangsrechnungen!$C:$C,A91,Ausgangsrechnungen!$G:$G))</x:f>
        <x:v>0</x:v>
      </x:c>
      <x:c r="Q91" s="175" t="n">
        <x:f>IF(B91="",0,SUMIF(Ausgangsrechnungen!$C:$C,B91,Ausgangsrechnungen!$H:$H)+SUMIF(Ausgangsrechnungen!$C:$C,A91,Ausgangsrechnungen!$H:$H))</x:f>
        <x:v>0</x:v>
      </x:c>
      <x:c r="R91" s="175">
        <x:f t="shared" si="10"/>
        <x:v>0</x:v>
      </x:c>
      <x:c r="S91" s="175">
        <x:f t="shared" si="11"/>
        <x:v>0</x:v>
      </x:c>
      <x:c r="T91" s="176">
        <x:f t="shared" si="12"/>
        <x:v>0</x:v>
      </x:c>
      <x:c r="U91" s="172" t="str">
        <x:f t="shared" si="13"/>
        <x:v>Kein Termin</x:v>
      </x:c>
      <x:c r="V91" s="171" t="str">
        <x:f t="shared" si="14"/>
      </x:c>
    </x:row>
    <x:row r="92">
      <x:c r="A92" s="168"/>
      <x:c r="B92" s="168"/>
      <x:c r="C92" s="168"/>
      <x:c r="D92" s="168"/>
      <x:c r="E92" s="168"/>
      <x:c r="F92" s="169"/>
      <x:c r="G92" s="169"/>
      <x:c r="H92" s="170"/>
      <x:c r="I92" s="168"/>
      <x:c r="J92" s="168"/>
      <x:c r="K92" s="168"/>
      <x:c r="L92" s="168"/>
      <x:c r="M92" s="173" t="str">
        <x:f>IF(E92="","",IFERROR(VLOOKUP(E92,Einstellungen!$I$2:$J$9,2,FALSE),0))</x:f>
      </x:c>
      <x:c r="N92" s="174" t="n">
        <x:f>IF(B92="",0,SUMIF(Eingangsrechnungen!$C:$C,B92,Eingangsrechnungen!$F:$F)+SUMIF(Eingangsrechnungen!$C:$C,A92,Eingangsrechnungen!$F:$F))</x:f>
        <x:v>0</x:v>
      </x:c>
      <x:c r="O92" s="174" t="n">
        <x:f>IF(B92="",0,SUMIF(Ausgangsrechnungen!$C:$C,B92,Ausgangsrechnungen!$N:$N)+SUMIF(Ausgangsrechnungen!$C:$C,A92,Ausgangsrechnungen!$N:$N))</x:f>
        <x:v>0</x:v>
      </x:c>
      <x:c r="P92" s="175" t="n">
        <x:f>IF(B92="",0,SUMIF(Ausgangsrechnungen!$C:$C,B92,Ausgangsrechnungen!$G:$G)+SUMIF(Ausgangsrechnungen!$C:$C,A92,Ausgangsrechnungen!$G:$G))</x:f>
        <x:v>0</x:v>
      </x:c>
      <x:c r="Q92" s="175" t="n">
        <x:f>IF(B92="",0,SUMIF(Ausgangsrechnungen!$C:$C,B92,Ausgangsrechnungen!$H:$H)+SUMIF(Ausgangsrechnungen!$C:$C,A92,Ausgangsrechnungen!$H:$H))</x:f>
        <x:v>0</x:v>
      </x:c>
      <x:c r="R92" s="175">
        <x:f t="shared" si="10"/>
        <x:v>0</x:v>
      </x:c>
      <x:c r="S92" s="175">
        <x:f t="shared" si="11"/>
        <x:v>0</x:v>
      </x:c>
      <x:c r="T92" s="176">
        <x:f t="shared" si="12"/>
        <x:v>0</x:v>
      </x:c>
      <x:c r="U92" s="172" t="str">
        <x:f t="shared" si="13"/>
        <x:v>Kein Termin</x:v>
      </x:c>
      <x:c r="V92" s="171" t="str">
        <x:f t="shared" si="14"/>
      </x:c>
    </x:row>
    <x:row r="93">
      <x:c r="A93" s="168"/>
      <x:c r="B93" s="168"/>
      <x:c r="C93" s="168"/>
      <x:c r="D93" s="168"/>
      <x:c r="E93" s="168"/>
      <x:c r="F93" s="169"/>
      <x:c r="G93" s="169"/>
      <x:c r="H93" s="170"/>
      <x:c r="I93" s="168"/>
      <x:c r="J93" s="168"/>
      <x:c r="K93" s="168"/>
      <x:c r="L93" s="168"/>
      <x:c r="M93" s="173" t="str">
        <x:f>IF(E93="","",IFERROR(VLOOKUP(E93,Einstellungen!$I$2:$J$9,2,FALSE),0))</x:f>
      </x:c>
      <x:c r="N93" s="174" t="n">
        <x:f>IF(B93="",0,SUMIF(Eingangsrechnungen!$C:$C,B93,Eingangsrechnungen!$F:$F)+SUMIF(Eingangsrechnungen!$C:$C,A93,Eingangsrechnungen!$F:$F))</x:f>
        <x:v>0</x:v>
      </x:c>
      <x:c r="O93" s="174" t="n">
        <x:f>IF(B93="",0,SUMIF(Ausgangsrechnungen!$C:$C,B93,Ausgangsrechnungen!$N:$N)+SUMIF(Ausgangsrechnungen!$C:$C,A93,Ausgangsrechnungen!$N:$N))</x:f>
        <x:v>0</x:v>
      </x:c>
      <x:c r="P93" s="175" t="n">
        <x:f>IF(B93="",0,SUMIF(Ausgangsrechnungen!$C:$C,B93,Ausgangsrechnungen!$G:$G)+SUMIF(Ausgangsrechnungen!$C:$C,A93,Ausgangsrechnungen!$G:$G))</x:f>
        <x:v>0</x:v>
      </x:c>
      <x:c r="Q93" s="175" t="n">
        <x:f>IF(B93="",0,SUMIF(Ausgangsrechnungen!$C:$C,B93,Ausgangsrechnungen!$H:$H)+SUMIF(Ausgangsrechnungen!$C:$C,A93,Ausgangsrechnungen!$H:$H))</x:f>
        <x:v>0</x:v>
      </x:c>
      <x:c r="R93" s="175">
        <x:f t="shared" si="10"/>
        <x:v>0</x:v>
      </x:c>
      <x:c r="S93" s="175">
        <x:f t="shared" si="11"/>
        <x:v>0</x:v>
      </x:c>
      <x:c r="T93" s="176">
        <x:f t="shared" si="12"/>
        <x:v>0</x:v>
      </x:c>
      <x:c r="U93" s="172" t="str">
        <x:f t="shared" si="13"/>
        <x:v>Kein Termin</x:v>
      </x:c>
      <x:c r="V93" s="171" t="str">
        <x:f t="shared" si="14"/>
      </x:c>
    </x:row>
    <x:row r="94">
      <x:c r="A94" s="168"/>
      <x:c r="B94" s="168"/>
      <x:c r="C94" s="168"/>
      <x:c r="D94" s="168"/>
      <x:c r="E94" s="168"/>
      <x:c r="F94" s="169"/>
      <x:c r="G94" s="169"/>
      <x:c r="H94" s="170"/>
      <x:c r="I94" s="168"/>
      <x:c r="J94" s="168"/>
      <x:c r="K94" s="168"/>
      <x:c r="L94" s="168"/>
      <x:c r="M94" s="173" t="str">
        <x:f>IF(E94="","",IFERROR(VLOOKUP(E94,Einstellungen!$I$2:$J$9,2,FALSE),0))</x:f>
      </x:c>
      <x:c r="N94" s="174" t="n">
        <x:f>IF(B94="",0,SUMIF(Eingangsrechnungen!$C:$C,B94,Eingangsrechnungen!$F:$F)+SUMIF(Eingangsrechnungen!$C:$C,A94,Eingangsrechnungen!$F:$F))</x:f>
        <x:v>0</x:v>
      </x:c>
      <x:c r="O94" s="174" t="n">
        <x:f>IF(B94="",0,SUMIF(Ausgangsrechnungen!$C:$C,B94,Ausgangsrechnungen!$N:$N)+SUMIF(Ausgangsrechnungen!$C:$C,A94,Ausgangsrechnungen!$N:$N))</x:f>
        <x:v>0</x:v>
      </x:c>
      <x:c r="P94" s="175" t="n">
        <x:f>IF(B94="",0,SUMIF(Ausgangsrechnungen!$C:$C,B94,Ausgangsrechnungen!$G:$G)+SUMIF(Ausgangsrechnungen!$C:$C,A94,Ausgangsrechnungen!$G:$G))</x:f>
        <x:v>0</x:v>
      </x:c>
      <x:c r="Q94" s="175" t="n">
        <x:f>IF(B94="",0,SUMIF(Ausgangsrechnungen!$C:$C,B94,Ausgangsrechnungen!$H:$H)+SUMIF(Ausgangsrechnungen!$C:$C,A94,Ausgangsrechnungen!$H:$H))</x:f>
        <x:v>0</x:v>
      </x:c>
      <x:c r="R94" s="175">
        <x:f t="shared" si="10"/>
        <x:v>0</x:v>
      </x:c>
      <x:c r="S94" s="175">
        <x:f t="shared" si="11"/>
        <x:v>0</x:v>
      </x:c>
      <x:c r="T94" s="176">
        <x:f t="shared" si="12"/>
        <x:v>0</x:v>
      </x:c>
      <x:c r="U94" s="172" t="str">
        <x:f t="shared" si="13"/>
        <x:v>Kein Termin</x:v>
      </x:c>
      <x:c r="V94" s="171" t="str">
        <x:f t="shared" si="14"/>
      </x:c>
    </x:row>
    <x:row r="95">
      <x:c r="A95" s="168"/>
      <x:c r="B95" s="168"/>
      <x:c r="C95" s="168"/>
      <x:c r="D95" s="168"/>
      <x:c r="E95" s="168"/>
      <x:c r="F95" s="169"/>
      <x:c r="G95" s="169"/>
      <x:c r="H95" s="170"/>
      <x:c r="I95" s="168"/>
      <x:c r="J95" s="168"/>
      <x:c r="K95" s="168"/>
      <x:c r="L95" s="168"/>
      <x:c r="M95" s="173" t="str">
        <x:f>IF(E95="","",IFERROR(VLOOKUP(E95,Einstellungen!$I$2:$J$9,2,FALSE),0))</x:f>
      </x:c>
      <x:c r="N95" s="174" t="n">
        <x:f>IF(B95="",0,SUMIF(Eingangsrechnungen!$C:$C,B95,Eingangsrechnungen!$F:$F)+SUMIF(Eingangsrechnungen!$C:$C,A95,Eingangsrechnungen!$F:$F))</x:f>
        <x:v>0</x:v>
      </x:c>
      <x:c r="O95" s="174" t="n">
        <x:f>IF(B95="",0,SUMIF(Ausgangsrechnungen!$C:$C,B95,Ausgangsrechnungen!$N:$N)+SUMIF(Ausgangsrechnungen!$C:$C,A95,Ausgangsrechnungen!$N:$N))</x:f>
        <x:v>0</x:v>
      </x:c>
      <x:c r="P95" s="175" t="n">
        <x:f>IF(B95="",0,SUMIF(Ausgangsrechnungen!$C:$C,B95,Ausgangsrechnungen!$G:$G)+SUMIF(Ausgangsrechnungen!$C:$C,A95,Ausgangsrechnungen!$G:$G))</x:f>
        <x:v>0</x:v>
      </x:c>
      <x:c r="Q95" s="175" t="n">
        <x:f>IF(B95="",0,SUMIF(Ausgangsrechnungen!$C:$C,B95,Ausgangsrechnungen!$H:$H)+SUMIF(Ausgangsrechnungen!$C:$C,A95,Ausgangsrechnungen!$H:$H))</x:f>
        <x:v>0</x:v>
      </x:c>
      <x:c r="R95" s="175">
        <x:f t="shared" si="10"/>
        <x:v>0</x:v>
      </x:c>
      <x:c r="S95" s="175">
        <x:f t="shared" si="11"/>
        <x:v>0</x:v>
      </x:c>
      <x:c r="T95" s="176">
        <x:f t="shared" si="12"/>
        <x:v>0</x:v>
      </x:c>
      <x:c r="U95" s="172" t="str">
        <x:f t="shared" si="13"/>
        <x:v>Kein Termin</x:v>
      </x:c>
      <x:c r="V95" s="171" t="str">
        <x:f t="shared" si="14"/>
      </x:c>
    </x:row>
    <x:row r="96">
      <x:c r="A96" s="168"/>
      <x:c r="B96" s="168"/>
      <x:c r="C96" s="168"/>
      <x:c r="D96" s="168"/>
      <x:c r="E96" s="168"/>
      <x:c r="F96" s="169"/>
      <x:c r="G96" s="169"/>
      <x:c r="H96" s="170"/>
      <x:c r="I96" s="168"/>
      <x:c r="J96" s="168"/>
      <x:c r="K96" s="168"/>
      <x:c r="L96" s="168"/>
      <x:c r="M96" s="173" t="str">
        <x:f>IF(E96="","",IFERROR(VLOOKUP(E96,Einstellungen!$I$2:$J$9,2,FALSE),0))</x:f>
      </x:c>
      <x:c r="N96" s="174" t="n">
        <x:f>IF(B96="",0,SUMIF(Eingangsrechnungen!$C:$C,B96,Eingangsrechnungen!$F:$F)+SUMIF(Eingangsrechnungen!$C:$C,A96,Eingangsrechnungen!$F:$F))</x:f>
        <x:v>0</x:v>
      </x:c>
      <x:c r="O96" s="174" t="n">
        <x:f>IF(B96="",0,SUMIF(Ausgangsrechnungen!$C:$C,B96,Ausgangsrechnungen!$N:$N)+SUMIF(Ausgangsrechnungen!$C:$C,A96,Ausgangsrechnungen!$N:$N))</x:f>
        <x:v>0</x:v>
      </x:c>
      <x:c r="P96" s="175" t="n">
        <x:f>IF(B96="",0,SUMIF(Ausgangsrechnungen!$C:$C,B96,Ausgangsrechnungen!$G:$G)+SUMIF(Ausgangsrechnungen!$C:$C,A96,Ausgangsrechnungen!$G:$G))</x:f>
        <x:v>0</x:v>
      </x:c>
      <x:c r="Q96" s="175" t="n">
        <x:f>IF(B96="",0,SUMIF(Ausgangsrechnungen!$C:$C,B96,Ausgangsrechnungen!$H:$H)+SUMIF(Ausgangsrechnungen!$C:$C,A96,Ausgangsrechnungen!$H:$H))</x:f>
        <x:v>0</x:v>
      </x:c>
      <x:c r="R96" s="175">
        <x:f t="shared" si="10"/>
        <x:v>0</x:v>
      </x:c>
      <x:c r="S96" s="175">
        <x:f t="shared" si="11"/>
        <x:v>0</x:v>
      </x:c>
      <x:c r="T96" s="176">
        <x:f t="shared" si="12"/>
        <x:v>0</x:v>
      </x:c>
      <x:c r="U96" s="172" t="str">
        <x:f t="shared" si="13"/>
        <x:v>Kein Termin</x:v>
      </x:c>
      <x:c r="V96" s="171" t="str">
        <x:f t="shared" si="14"/>
      </x:c>
    </x:row>
    <x:row r="97">
      <x:c r="A97" s="168"/>
      <x:c r="B97" s="168"/>
      <x:c r="C97" s="168"/>
      <x:c r="D97" s="168"/>
      <x:c r="E97" s="168"/>
      <x:c r="F97" s="169"/>
      <x:c r="G97" s="169"/>
      <x:c r="H97" s="170"/>
      <x:c r="I97" s="168"/>
      <x:c r="J97" s="168"/>
      <x:c r="K97" s="168"/>
      <x:c r="L97" s="168"/>
      <x:c r="M97" s="173" t="str">
        <x:f>IF(E97="","",IFERROR(VLOOKUP(E97,Einstellungen!$I$2:$J$9,2,FALSE),0))</x:f>
      </x:c>
      <x:c r="N97" s="174" t="n">
        <x:f>IF(B97="",0,SUMIF(Eingangsrechnungen!$C:$C,B97,Eingangsrechnungen!$F:$F)+SUMIF(Eingangsrechnungen!$C:$C,A97,Eingangsrechnungen!$F:$F))</x:f>
        <x:v>0</x:v>
      </x:c>
      <x:c r="O97" s="174" t="n">
        <x:f>IF(B97="",0,SUMIF(Ausgangsrechnungen!$C:$C,B97,Ausgangsrechnungen!$N:$N)+SUMIF(Ausgangsrechnungen!$C:$C,A97,Ausgangsrechnungen!$N:$N))</x:f>
        <x:v>0</x:v>
      </x:c>
      <x:c r="P97" s="175" t="n">
        <x:f>IF(B97="",0,SUMIF(Ausgangsrechnungen!$C:$C,B97,Ausgangsrechnungen!$G:$G)+SUMIF(Ausgangsrechnungen!$C:$C,A97,Ausgangsrechnungen!$G:$G))</x:f>
        <x:v>0</x:v>
      </x:c>
      <x:c r="Q97" s="175" t="n">
        <x:f>IF(B97="",0,SUMIF(Ausgangsrechnungen!$C:$C,B97,Ausgangsrechnungen!$H:$H)+SUMIF(Ausgangsrechnungen!$C:$C,A97,Ausgangsrechnungen!$H:$H))</x:f>
        <x:v>0</x:v>
      </x:c>
      <x:c r="R97" s="175">
        <x:f t="shared" si="10"/>
        <x:v>0</x:v>
      </x:c>
      <x:c r="S97" s="175">
        <x:f t="shared" si="11"/>
        <x:v>0</x:v>
      </x:c>
      <x:c r="T97" s="176">
        <x:f t="shared" si="12"/>
        <x:v>0</x:v>
      </x:c>
      <x:c r="U97" s="172" t="str">
        <x:f t="shared" si="13"/>
        <x:v>Kein Termin</x:v>
      </x:c>
      <x:c r="V97" s="171" t="str">
        <x:f t="shared" si="14"/>
      </x:c>
    </x:row>
    <x:row r="98">
      <x:c r="A98" s="168"/>
      <x:c r="B98" s="168"/>
      <x:c r="C98" s="168"/>
      <x:c r="D98" s="168"/>
      <x:c r="E98" s="168"/>
      <x:c r="F98" s="169"/>
      <x:c r="G98" s="169"/>
      <x:c r="H98" s="170"/>
      <x:c r="I98" s="168"/>
      <x:c r="J98" s="168"/>
      <x:c r="K98" s="168"/>
      <x:c r="L98" s="168"/>
      <x:c r="M98" s="173" t="str">
        <x:f>IF(E98="","",IFERROR(VLOOKUP(E98,Einstellungen!$I$2:$J$9,2,FALSE),0))</x:f>
      </x:c>
      <x:c r="N98" s="174" t="n">
        <x:f>IF(B98="",0,SUMIF(Eingangsrechnungen!$C:$C,B98,Eingangsrechnungen!$F:$F)+SUMIF(Eingangsrechnungen!$C:$C,A98,Eingangsrechnungen!$F:$F))</x:f>
        <x:v>0</x:v>
      </x:c>
      <x:c r="O98" s="174" t="n">
        <x:f>IF(B98="",0,SUMIF(Ausgangsrechnungen!$C:$C,B98,Ausgangsrechnungen!$N:$N)+SUMIF(Ausgangsrechnungen!$C:$C,A98,Ausgangsrechnungen!$N:$N))</x:f>
        <x:v>0</x:v>
      </x:c>
      <x:c r="P98" s="175" t="n">
        <x:f>IF(B98="",0,SUMIF(Ausgangsrechnungen!$C:$C,B98,Ausgangsrechnungen!$G:$G)+SUMIF(Ausgangsrechnungen!$C:$C,A98,Ausgangsrechnungen!$G:$G))</x:f>
        <x:v>0</x:v>
      </x:c>
      <x:c r="Q98" s="175" t="n">
        <x:f>IF(B98="",0,SUMIF(Ausgangsrechnungen!$C:$C,B98,Ausgangsrechnungen!$H:$H)+SUMIF(Ausgangsrechnungen!$C:$C,A98,Ausgangsrechnungen!$H:$H))</x:f>
        <x:v>0</x:v>
      </x:c>
      <x:c r="R98" s="175">
        <x:f t="shared" si="10"/>
        <x:v>0</x:v>
      </x:c>
      <x:c r="S98" s="175">
        <x:f t="shared" si="11"/>
        <x:v>0</x:v>
      </x:c>
      <x:c r="T98" s="176" t="n">
        <x:f t="shared" ref="T98:T101" si="15">IF(O98=0,0,S98/O98)</x:f>
        <x:v>0</x:v>
      </x:c>
      <x:c r="U98" s="172" t="str">
        <x:f t="shared" si="13"/>
        <x:v>Kein Termin</x:v>
      </x:c>
      <x:c r="V98" s="171" t="str">
        <x:f t="shared" si="14"/>
      </x:c>
    </x:row>
    <x:row r="99">
      <x:c r="A99" s="168"/>
      <x:c r="B99" s="168"/>
      <x:c r="C99" s="168"/>
      <x:c r="D99" s="168"/>
      <x:c r="E99" s="168"/>
      <x:c r="F99" s="169"/>
      <x:c r="G99" s="169"/>
      <x:c r="H99" s="170"/>
      <x:c r="I99" s="168"/>
      <x:c r="J99" s="168"/>
      <x:c r="K99" s="168"/>
      <x:c r="L99" s="168"/>
      <x:c r="M99" s="173" t="str">
        <x:f>IF(E99="","",IFERROR(VLOOKUP(E99,Einstellungen!$I$2:$J$9,2,FALSE),0))</x:f>
      </x:c>
      <x:c r="N99" s="174" t="n">
        <x:f>IF(B99="",0,SUMIF(Eingangsrechnungen!$C:$C,B99,Eingangsrechnungen!$F:$F)+SUMIF(Eingangsrechnungen!$C:$C,A99,Eingangsrechnungen!$F:$F))</x:f>
        <x:v>0</x:v>
      </x:c>
      <x:c r="O99" s="174" t="n">
        <x:f>IF(B99="",0,SUMIF(Ausgangsrechnungen!$C:$C,B99,Ausgangsrechnungen!$N:$N)+SUMIF(Ausgangsrechnungen!$C:$C,A99,Ausgangsrechnungen!$N:$N))</x:f>
        <x:v>0</x:v>
      </x:c>
      <x:c r="P99" s="175" t="n">
        <x:f>IF(B99="",0,SUMIF(Ausgangsrechnungen!$C:$C,B99,Ausgangsrechnungen!$G:$G)+SUMIF(Ausgangsrechnungen!$C:$C,A99,Ausgangsrechnungen!$G:$G))</x:f>
        <x:v>0</x:v>
      </x:c>
      <x:c r="Q99" s="175" t="n">
        <x:f>IF(B99="",0,SUMIF(Ausgangsrechnungen!$C:$C,B99,Ausgangsrechnungen!$H:$H)+SUMIF(Ausgangsrechnungen!$C:$C,A99,Ausgangsrechnungen!$H:$H))</x:f>
        <x:v>0</x:v>
      </x:c>
      <x:c r="R99" s="175">
        <x:f t="shared" si="10"/>
        <x:v>0</x:v>
      </x:c>
      <x:c r="S99" s="175">
        <x:f t="shared" si="11"/>
        <x:v>0</x:v>
      </x:c>
      <x:c r="T99" s="176">
        <x:f t="shared" si="15"/>
        <x:v>0</x:v>
      </x:c>
      <x:c r="U99" s="172" t="str">
        <x:f t="shared" si="13"/>
        <x:v>Kein Termin</x:v>
      </x:c>
      <x:c r="V99" s="171" t="str">
        <x:f t="shared" si="14"/>
      </x:c>
    </x:row>
    <x:row r="100">
      <x:c r="A100" s="168"/>
      <x:c r="B100" s="168"/>
      <x:c r="C100" s="168"/>
      <x:c r="D100" s="168"/>
      <x:c r="E100" s="168"/>
      <x:c r="F100" s="169"/>
      <x:c r="G100" s="169"/>
      <x:c r="H100" s="170"/>
      <x:c r="I100" s="168"/>
      <x:c r="J100" s="168"/>
      <x:c r="K100" s="168"/>
      <x:c r="L100" s="168"/>
      <x:c r="M100" s="173" t="str">
        <x:f>IF(E100="","",IFERROR(VLOOKUP(E100,Einstellungen!$I$2:$J$9,2,FALSE),0))</x:f>
      </x:c>
      <x:c r="N100" s="174" t="n">
        <x:f>IF(B100="",0,SUMIF(Eingangsrechnungen!$C:$C,B100,Eingangsrechnungen!$F:$F)+SUMIF(Eingangsrechnungen!$C:$C,A100,Eingangsrechnungen!$F:$F))</x:f>
        <x:v>0</x:v>
      </x:c>
      <x:c r="O100" s="174" t="n">
        <x:f>IF(B100="",0,SUMIF(Ausgangsrechnungen!$C:$C,B100,Ausgangsrechnungen!$N:$N)+SUMIF(Ausgangsrechnungen!$C:$C,A100,Ausgangsrechnungen!$N:$N))</x:f>
        <x:v>0</x:v>
      </x:c>
      <x:c r="P100" s="175" t="n">
        <x:f>IF(B100="",0,SUMIF(Ausgangsrechnungen!$C:$C,B100,Ausgangsrechnungen!$G:$G)+SUMIF(Ausgangsrechnungen!$C:$C,A100,Ausgangsrechnungen!$G:$G))</x:f>
        <x:v>0</x:v>
      </x:c>
      <x:c r="Q100" s="175" t="n">
        <x:f>IF(B100="",0,SUMIF(Ausgangsrechnungen!$C:$C,B100,Ausgangsrechnungen!$H:$H)+SUMIF(Ausgangsrechnungen!$C:$C,A100,Ausgangsrechnungen!$H:$H))</x:f>
        <x:v>0</x:v>
      </x:c>
      <x:c r="R100" s="175">
        <x:f t="shared" si="10"/>
        <x:v>0</x:v>
      </x:c>
      <x:c r="S100" s="175">
        <x:f t="shared" si="11"/>
        <x:v>0</x:v>
      </x:c>
      <x:c r="T100" s="176">
        <x:f t="shared" si="15"/>
        <x:v>0</x:v>
      </x:c>
      <x:c r="U100" s="172" t="str">
        <x:f t="shared" si="13"/>
        <x:v>Kein Termin</x:v>
      </x:c>
      <x:c r="V100" s="171" t="str">
        <x:f t="shared" si="14"/>
      </x:c>
    </x:row>
    <x:row r="101">
      <x:c r="A101" s="168"/>
      <x:c r="B101" s="168"/>
      <x:c r="C101" s="168"/>
      <x:c r="D101" s="168"/>
      <x:c r="E101" s="168"/>
      <x:c r="F101" s="169"/>
      <x:c r="G101" s="169"/>
      <x:c r="H101" s="170"/>
      <x:c r="I101" s="168"/>
      <x:c r="J101" s="168"/>
      <x:c r="K101" s="168"/>
      <x:c r="L101" s="168"/>
      <x:c r="M101" s="173" t="str">
        <x:f>IF(E101="","",IFERROR(VLOOKUP(E101,Einstellungen!$I$2:$J$9,2,FALSE),0))</x:f>
      </x:c>
      <x:c r="N101" s="174" t="n">
        <x:f>IF(B101="",0,SUMIF(Eingangsrechnungen!$C:$C,B101,Eingangsrechnungen!$F:$F)+SUMIF(Eingangsrechnungen!$C:$C,A101,Eingangsrechnungen!$F:$F))</x:f>
        <x:v>0</x:v>
      </x:c>
      <x:c r="O101" s="174" t="n">
        <x:f>IF(B101="",0,SUMIF(Ausgangsrechnungen!$C:$C,B101,Ausgangsrechnungen!$N:$N)+SUMIF(Ausgangsrechnungen!$C:$C,A101,Ausgangsrechnungen!$N:$N))</x:f>
        <x:v>0</x:v>
      </x:c>
      <x:c r="P101" s="175" t="n">
        <x:f>IF(B101="",0,SUMIF(Ausgangsrechnungen!$C:$C,B101,Ausgangsrechnungen!$G:$G)+SUMIF(Ausgangsrechnungen!$C:$C,A101,Ausgangsrechnungen!$G:$G))</x:f>
        <x:v>0</x:v>
      </x:c>
      <x:c r="Q101" s="175" t="n">
        <x:f>IF(B101="",0,SUMIF(Ausgangsrechnungen!$C:$C,B101,Ausgangsrechnungen!$H:$H)+SUMIF(Ausgangsrechnungen!$C:$C,A101,Ausgangsrechnungen!$H:$H))</x:f>
        <x:v>0</x:v>
      </x:c>
      <x:c r="R101" s="175">
        <x:f t="shared" si="10"/>
        <x:v>0</x:v>
      </x:c>
      <x:c r="S101" s="175">
        <x:f t="shared" si="11"/>
        <x:v>0</x:v>
      </x:c>
      <x:c r="T101" s="176">
        <x:f t="shared" si="15"/>
        <x:v>0</x:v>
      </x:c>
      <x:c r="U101" s="172" t="str">
        <x:f t="shared" si="13"/>
        <x:v>Kein Termin</x:v>
      </x:c>
      <x:c r="V101" s="171" t="str">
        <x:f t="shared" si="14"/>
      </x:c>
    </x:row>
    <x:row r="102">
      <x:c r="A102" s="101"/>
      <x:c r="B102" s="59"/>
      <x:c r="C102" s="59"/>
      <x:c r="D102" s="59"/>
      <x:c r="E102" s="59"/>
      <x:c r="F102" s="83"/>
      <x:c r="G102" s="83"/>
      <x:c r="H102" s="64"/>
      <x:c r="I102" s="59"/>
      <x:c r="J102" s="59"/>
      <x:c r="K102" s="59"/>
      <x:c r="L102" s="102"/>
      <x:c r="M102" s="1"/>
      <x:c r="N102" s="1"/>
      <x:c r="O102" s="1"/>
    </x:row>
    <x:row r="103">
      <x:c r="A103" s="101"/>
      <x:c r="B103" s="59"/>
      <x:c r="C103" s="59"/>
      <x:c r="D103" s="59"/>
      <x:c r="E103" s="59"/>
      <x:c r="F103" s="83"/>
      <x:c r="G103" s="83"/>
      <x:c r="H103" s="64"/>
      <x:c r="I103" s="59"/>
      <x:c r="J103" s="59"/>
      <x:c r="K103" s="59"/>
      <x:c r="L103" s="102"/>
      <x:c r="M103" s="1"/>
      <x:c r="N103" s="1"/>
      <x:c r="O103" s="1"/>
    </x:row>
    <x:row r="104">
      <x:c r="A104" s="101"/>
      <x:c r="B104" s="59"/>
      <x:c r="C104" s="59"/>
      <x:c r="D104" s="59"/>
      <x:c r="E104" s="59"/>
      <x:c r="F104" s="83"/>
      <x:c r="G104" s="83"/>
      <x:c r="H104" s="64"/>
      <x:c r="I104" s="59"/>
      <x:c r="J104" s="59"/>
      <x:c r="K104" s="59"/>
      <x:c r="L104" s="102"/>
      <x:c r="M104" s="1"/>
      <x:c r="N104" s="1"/>
      <x:c r="O104" s="1"/>
    </x:row>
    <x:row r="105">
      <x:c r="A105" s="101"/>
      <x:c r="B105" s="59"/>
      <x:c r="C105" s="59"/>
      <x:c r="D105" s="59"/>
      <x:c r="E105" s="59"/>
      <x:c r="F105" s="83"/>
      <x:c r="G105" s="83"/>
      <x:c r="H105" s="64"/>
      <x:c r="I105" s="59"/>
      <x:c r="J105" s="59"/>
      <x:c r="K105" s="59"/>
      <x:c r="L105" s="102"/>
      <x:c r="M105" s="1"/>
      <x:c r="N105" s="1"/>
      <x:c r="O105" s="1"/>
    </x:row>
    <x:row r="106">
      <x:c r="A106" s="101"/>
      <x:c r="B106" s="59"/>
      <x:c r="C106" s="59"/>
      <x:c r="D106" s="59"/>
      <x:c r="E106" s="59"/>
      <x:c r="F106" s="83"/>
      <x:c r="G106" s="83"/>
      <x:c r="H106" s="64"/>
      <x:c r="I106" s="59"/>
      <x:c r="J106" s="59"/>
      <x:c r="K106" s="59"/>
      <x:c r="L106" s="102"/>
      <x:c r="M106" s="1"/>
      <x:c r="N106" s="1"/>
      <x:c r="O106" s="1"/>
    </x:row>
    <x:row r="107">
      <x:c r="A107" s="101"/>
      <x:c r="B107" s="59"/>
      <x:c r="C107" s="59"/>
      <x:c r="D107" s="59"/>
      <x:c r="E107" s="59"/>
      <x:c r="F107" s="83"/>
      <x:c r="G107" s="83"/>
      <x:c r="H107" s="64"/>
      <x:c r="I107" s="59"/>
      <x:c r="J107" s="59"/>
      <x:c r="K107" s="59"/>
      <x:c r="L107" s="102"/>
      <x:c r="M107" s="1"/>
      <x:c r="N107" s="1"/>
      <x:c r="O107" s="1"/>
    </x:row>
    <x:row r="108">
      <x:c r="A108" s="101"/>
      <x:c r="B108" s="59"/>
      <x:c r="C108" s="59"/>
      <x:c r="D108" s="59"/>
      <x:c r="E108" s="59"/>
      <x:c r="F108" s="83"/>
      <x:c r="G108" s="83"/>
      <x:c r="H108" s="64"/>
      <x:c r="I108" s="59"/>
      <x:c r="J108" s="59"/>
      <x:c r="K108" s="59"/>
      <x:c r="L108" s="102"/>
      <x:c r="M108" s="1"/>
      <x:c r="N108" s="1"/>
      <x:c r="O108" s="1"/>
    </x:row>
    <x:row r="109">
      <x:c r="A109" s="101"/>
      <x:c r="B109" s="59"/>
      <x:c r="C109" s="59"/>
      <x:c r="D109" s="59"/>
      <x:c r="E109" s="59"/>
      <x:c r="F109" s="83"/>
      <x:c r="G109" s="83"/>
      <x:c r="H109" s="64"/>
      <x:c r="I109" s="59"/>
      <x:c r="J109" s="59"/>
      <x:c r="K109" s="59"/>
      <x:c r="L109" s="102"/>
      <x:c r="M109" s="1"/>
      <x:c r="N109" s="1"/>
      <x:c r="O109" s="1"/>
    </x:row>
    <x:row r="110">
      <x:c r="A110" s="101"/>
      <x:c r="B110" s="59"/>
      <x:c r="C110" s="59"/>
      <x:c r="D110" s="59"/>
      <x:c r="E110" s="59"/>
      <x:c r="F110" s="83"/>
      <x:c r="G110" s="83"/>
      <x:c r="H110" s="64"/>
      <x:c r="I110" s="59"/>
      <x:c r="J110" s="59"/>
      <x:c r="K110" s="59"/>
      <x:c r="L110" s="102"/>
      <x:c r="M110" s="1"/>
      <x:c r="N110" s="1"/>
      <x:c r="O110" s="1"/>
    </x:row>
    <x:row r="111">
      <x:c r="A111" s="101"/>
      <x:c r="B111" s="59"/>
      <x:c r="C111" s="59"/>
      <x:c r="D111" s="59"/>
      <x:c r="E111" s="59"/>
      <x:c r="F111" s="83"/>
      <x:c r="G111" s="83"/>
      <x:c r="H111" s="64"/>
      <x:c r="I111" s="59"/>
      <x:c r="J111" s="59"/>
      <x:c r="K111" s="59"/>
      <x:c r="L111" s="102"/>
      <x:c r="M111" s="1"/>
      <x:c r="N111" s="1"/>
      <x:c r="O111" s="1"/>
    </x:row>
    <x:row r="112">
      <x:c r="A112" s="101"/>
      <x:c r="B112" s="59"/>
      <x:c r="C112" s="59"/>
      <x:c r="D112" s="59"/>
      <x:c r="E112" s="59"/>
      <x:c r="F112" s="83"/>
      <x:c r="G112" s="83"/>
      <x:c r="H112" s="64"/>
      <x:c r="I112" s="59"/>
      <x:c r="J112" s="59"/>
      <x:c r="K112" s="59"/>
      <x:c r="L112" s="102"/>
      <x:c r="M112" s="1"/>
      <x:c r="N112" s="1"/>
      <x:c r="O112" s="1"/>
    </x:row>
    <x:row r="113">
      <x:c r="A113" s="101"/>
      <x:c r="B113" s="59"/>
      <x:c r="C113" s="59"/>
      <x:c r="D113" s="59"/>
      <x:c r="E113" s="59"/>
      <x:c r="F113" s="83"/>
      <x:c r="G113" s="83"/>
      <x:c r="H113" s="64"/>
      <x:c r="I113" s="59"/>
      <x:c r="J113" s="59"/>
      <x:c r="K113" s="59"/>
      <x:c r="L113" s="102"/>
      <x:c r="M113" s="1"/>
      <x:c r="N113" s="1"/>
      <x:c r="O113" s="1"/>
    </x:row>
    <x:row r="114">
      <x:c r="A114" s="101"/>
      <x:c r="B114" s="59"/>
      <x:c r="C114" s="59"/>
      <x:c r="D114" s="59"/>
      <x:c r="E114" s="59"/>
      <x:c r="F114" s="83"/>
      <x:c r="G114" s="83"/>
      <x:c r="H114" s="64"/>
      <x:c r="I114" s="59"/>
      <x:c r="J114" s="59"/>
      <x:c r="K114" s="59"/>
      <x:c r="L114" s="102"/>
      <x:c r="M114" s="1"/>
      <x:c r="N114" s="1"/>
      <x:c r="O114" s="1"/>
    </x:row>
    <x:row r="115">
      <x:c r="A115" s="101"/>
      <x:c r="B115" s="59"/>
      <x:c r="C115" s="59"/>
      <x:c r="D115" s="59"/>
      <x:c r="E115" s="59"/>
      <x:c r="F115" s="83"/>
      <x:c r="G115" s="83"/>
      <x:c r="H115" s="64"/>
      <x:c r="I115" s="59"/>
      <x:c r="J115" s="59"/>
      <x:c r="K115" s="59"/>
      <x:c r="L115" s="102"/>
      <x:c r="M115" s="1"/>
      <x:c r="N115" s="1"/>
      <x:c r="O115" s="1"/>
    </x:row>
    <x:row r="116">
      <x:c r="A116" s="101"/>
      <x:c r="B116" s="59"/>
      <x:c r="C116" s="59"/>
      <x:c r="D116" s="59"/>
      <x:c r="E116" s="59"/>
      <x:c r="F116" s="83"/>
      <x:c r="G116" s="83"/>
      <x:c r="H116" s="64"/>
      <x:c r="I116" s="59"/>
      <x:c r="J116" s="59"/>
      <x:c r="K116" s="59"/>
      <x:c r="L116" s="102"/>
      <x:c r="M116" s="1"/>
      <x:c r="N116" s="1"/>
      <x:c r="O116" s="1"/>
    </x:row>
    <x:row r="117">
      <x:c r="A117" s="101"/>
      <x:c r="B117" s="59"/>
      <x:c r="C117" s="59"/>
      <x:c r="D117" s="59"/>
      <x:c r="E117" s="59"/>
      <x:c r="F117" s="83"/>
      <x:c r="G117" s="83"/>
      <x:c r="H117" s="64"/>
      <x:c r="I117" s="59"/>
      <x:c r="J117" s="59"/>
      <x:c r="K117" s="59"/>
      <x:c r="L117" s="102"/>
      <x:c r="M117" s="1"/>
      <x:c r="N117" s="1"/>
      <x:c r="O117" s="1"/>
    </x:row>
    <x:row r="118">
      <x:c r="A118" s="101"/>
      <x:c r="B118" s="59"/>
      <x:c r="C118" s="59"/>
      <x:c r="D118" s="59"/>
      <x:c r="E118" s="59"/>
      <x:c r="F118" s="83"/>
      <x:c r="G118" s="83"/>
      <x:c r="H118" s="64"/>
      <x:c r="I118" s="59"/>
      <x:c r="J118" s="59"/>
      <x:c r="K118" s="59"/>
      <x:c r="L118" s="102"/>
      <x:c r="M118" s="1"/>
      <x:c r="N118" s="1"/>
      <x:c r="O118" s="1"/>
    </x:row>
    <x:row r="119">
      <x:c r="A119" s="101"/>
      <x:c r="B119" s="59"/>
      <x:c r="C119" s="59"/>
      <x:c r="D119" s="59"/>
      <x:c r="E119" s="59"/>
      <x:c r="F119" s="83"/>
      <x:c r="G119" s="83"/>
      <x:c r="H119" s="64"/>
      <x:c r="I119" s="59"/>
      <x:c r="J119" s="59"/>
      <x:c r="K119" s="59"/>
      <x:c r="L119" s="102"/>
      <x:c r="M119" s="1"/>
      <x:c r="N119" s="1"/>
      <x:c r="O119" s="1"/>
    </x:row>
    <x:row r="120">
      <x:c r="A120" s="101"/>
      <x:c r="B120" s="59"/>
      <x:c r="C120" s="59"/>
      <x:c r="D120" s="59"/>
      <x:c r="E120" s="59"/>
      <x:c r="F120" s="83"/>
      <x:c r="G120" s="83"/>
      <x:c r="H120" s="64"/>
      <x:c r="I120" s="59"/>
      <x:c r="J120" s="59"/>
      <x:c r="K120" s="59"/>
      <x:c r="L120" s="102"/>
      <x:c r="M120" s="1"/>
      <x:c r="N120" s="1"/>
      <x:c r="O120" s="1"/>
    </x:row>
    <x:row r="121">
      <x:c r="A121" s="101"/>
      <x:c r="B121" s="59"/>
      <x:c r="C121" s="59"/>
      <x:c r="D121" s="59"/>
      <x:c r="E121" s="59"/>
      <x:c r="F121" s="83"/>
      <x:c r="G121" s="83"/>
      <x:c r="H121" s="64"/>
      <x:c r="I121" s="59"/>
      <x:c r="J121" s="59"/>
      <x:c r="K121" s="59"/>
      <x:c r="L121" s="102"/>
      <x:c r="M121" s="1"/>
      <x:c r="N121" s="1"/>
      <x:c r="O121" s="1"/>
    </x:row>
    <x:row r="122">
      <x:c r="A122" s="101"/>
      <x:c r="B122" s="59"/>
      <x:c r="C122" s="59"/>
      <x:c r="D122" s="59"/>
      <x:c r="E122" s="59"/>
      <x:c r="F122" s="83"/>
      <x:c r="G122" s="83"/>
      <x:c r="H122" s="64"/>
      <x:c r="I122" s="59"/>
      <x:c r="J122" s="59"/>
      <x:c r="K122" s="59"/>
      <x:c r="L122" s="102"/>
      <x:c r="M122" s="1"/>
      <x:c r="N122" s="1"/>
      <x:c r="O122" s="1"/>
    </x:row>
    <x:row r="123">
      <x:c r="A123" s="101"/>
      <x:c r="B123" s="59"/>
      <x:c r="C123" s="59"/>
      <x:c r="D123" s="59"/>
      <x:c r="E123" s="59"/>
      <x:c r="F123" s="83"/>
      <x:c r="G123" s="83"/>
      <x:c r="H123" s="64"/>
      <x:c r="I123" s="59"/>
      <x:c r="J123" s="59"/>
      <x:c r="K123" s="59"/>
      <x:c r="L123" s="102"/>
      <x:c r="M123" s="1"/>
      <x:c r="N123" s="1"/>
      <x:c r="O123" s="1"/>
    </x:row>
    <x:row r="124">
      <x:c r="A124" s="101"/>
      <x:c r="B124" s="59"/>
      <x:c r="C124" s="59"/>
      <x:c r="D124" s="59"/>
      <x:c r="E124" s="59"/>
      <x:c r="F124" s="83"/>
      <x:c r="G124" s="83"/>
      <x:c r="H124" s="64"/>
      <x:c r="I124" s="59"/>
      <x:c r="J124" s="59"/>
      <x:c r="K124" s="59"/>
      <x:c r="L124" s="102"/>
      <x:c r="M124" s="1"/>
      <x:c r="N124" s="1"/>
      <x:c r="O124" s="1"/>
    </x:row>
    <x:row r="125">
      <x:c r="A125" s="101"/>
      <x:c r="B125" s="59"/>
      <x:c r="C125" s="59"/>
      <x:c r="D125" s="59"/>
      <x:c r="E125" s="59"/>
      <x:c r="F125" s="83"/>
      <x:c r="G125" s="83"/>
      <x:c r="H125" s="64"/>
      <x:c r="I125" s="59"/>
      <x:c r="J125" s="59"/>
      <x:c r="K125" s="59"/>
      <x:c r="L125" s="102"/>
      <x:c r="M125" s="1"/>
      <x:c r="N125" s="1"/>
      <x:c r="O125" s="1"/>
    </x:row>
    <x:row r="126">
      <x:c r="A126" s="101"/>
      <x:c r="B126" s="59"/>
      <x:c r="C126" s="59"/>
      <x:c r="D126" s="59"/>
      <x:c r="E126" s="59"/>
      <x:c r="F126" s="83"/>
      <x:c r="G126" s="83"/>
      <x:c r="H126" s="64"/>
      <x:c r="I126" s="59"/>
      <x:c r="J126" s="59"/>
      <x:c r="K126" s="59"/>
      <x:c r="L126" s="102"/>
      <x:c r="M126" s="1"/>
      <x:c r="N126" s="1"/>
      <x:c r="O126" s="1"/>
    </x:row>
    <x:row r="127">
      <x:c r="A127" s="101"/>
      <x:c r="B127" s="59"/>
      <x:c r="C127" s="59"/>
      <x:c r="D127" s="59"/>
      <x:c r="E127" s="59"/>
      <x:c r="F127" s="83"/>
      <x:c r="G127" s="83"/>
      <x:c r="H127" s="64"/>
      <x:c r="I127" s="59"/>
      <x:c r="J127" s="59"/>
      <x:c r="K127" s="59"/>
      <x:c r="L127" s="102"/>
      <x:c r="M127" s="1"/>
      <x:c r="N127" s="1"/>
      <x:c r="O127" s="1"/>
    </x:row>
    <x:row r="128">
      <x:c r="A128" s="101"/>
      <x:c r="B128" s="59"/>
      <x:c r="C128" s="59"/>
      <x:c r="D128" s="59"/>
      <x:c r="E128" s="59"/>
      <x:c r="F128" s="83"/>
      <x:c r="G128" s="83"/>
      <x:c r="H128" s="64"/>
      <x:c r="I128" s="59"/>
      <x:c r="J128" s="59"/>
      <x:c r="K128" s="59"/>
      <x:c r="L128" s="102"/>
      <x:c r="M128" s="1"/>
      <x:c r="N128" s="1"/>
      <x:c r="O128" s="1"/>
    </x:row>
    <x:row r="129">
      <x:c r="A129" s="101"/>
      <x:c r="B129" s="59"/>
      <x:c r="C129" s="59"/>
      <x:c r="D129" s="59"/>
      <x:c r="E129" s="59"/>
      <x:c r="F129" s="83"/>
      <x:c r="G129" s="83"/>
      <x:c r="H129" s="64"/>
      <x:c r="I129" s="59"/>
      <x:c r="J129" s="59"/>
      <x:c r="K129" s="59"/>
      <x:c r="L129" s="102"/>
      <x:c r="M129" s="1"/>
      <x:c r="N129" s="1"/>
      <x:c r="O129" s="1"/>
    </x:row>
    <x:row r="130">
      <x:c r="A130" s="101"/>
      <x:c r="B130" s="59"/>
      <x:c r="C130" s="59"/>
      <x:c r="D130" s="59"/>
      <x:c r="E130" s="59"/>
      <x:c r="F130" s="83"/>
      <x:c r="G130" s="83"/>
      <x:c r="H130" s="64"/>
      <x:c r="I130" s="59"/>
      <x:c r="J130" s="59"/>
      <x:c r="K130" s="59"/>
      <x:c r="L130" s="102"/>
      <x:c r="M130" s="1"/>
      <x:c r="N130" s="1"/>
      <x:c r="O130" s="1"/>
    </x:row>
    <x:row r="131">
      <x:c r="A131" s="101"/>
      <x:c r="B131" s="59"/>
      <x:c r="C131" s="59"/>
      <x:c r="D131" s="59"/>
      <x:c r="E131" s="59"/>
      <x:c r="F131" s="83"/>
      <x:c r="G131" s="83"/>
      <x:c r="H131" s="64"/>
      <x:c r="I131" s="59"/>
      <x:c r="J131" s="59"/>
      <x:c r="K131" s="59"/>
      <x:c r="L131" s="102"/>
      <x:c r="M131" s="1"/>
      <x:c r="N131" s="1"/>
      <x:c r="O131" s="1"/>
    </x:row>
    <x:row r="132">
      <x:c r="A132" s="101"/>
      <x:c r="B132" s="59"/>
      <x:c r="C132" s="59"/>
      <x:c r="D132" s="59"/>
      <x:c r="E132" s="59"/>
      <x:c r="F132" s="83"/>
      <x:c r="G132" s="83"/>
      <x:c r="H132" s="64"/>
      <x:c r="I132" s="59"/>
      <x:c r="J132" s="59"/>
      <x:c r="K132" s="59"/>
      <x:c r="L132" s="102"/>
      <x:c r="M132" s="1"/>
      <x:c r="N132" s="1"/>
      <x:c r="O132" s="1"/>
    </x:row>
    <x:row r="133">
      <x:c r="A133" s="101"/>
      <x:c r="B133" s="59"/>
      <x:c r="C133" s="59"/>
      <x:c r="D133" s="59"/>
      <x:c r="E133" s="59"/>
      <x:c r="F133" s="83"/>
      <x:c r="G133" s="83"/>
      <x:c r="H133" s="64"/>
      <x:c r="I133" s="59"/>
      <x:c r="J133" s="59"/>
      <x:c r="K133" s="59"/>
      <x:c r="L133" s="102"/>
      <x:c r="M133" s="1"/>
      <x:c r="N133" s="1"/>
      <x:c r="O133" s="1"/>
    </x:row>
    <x:row r="134">
      <x:c r="A134" s="101"/>
      <x:c r="B134" s="59"/>
      <x:c r="C134" s="59"/>
      <x:c r="D134" s="59"/>
      <x:c r="E134" s="59"/>
      <x:c r="F134" s="83"/>
      <x:c r="G134" s="83"/>
      <x:c r="H134" s="64"/>
      <x:c r="I134" s="59"/>
      <x:c r="J134" s="59"/>
      <x:c r="K134" s="59"/>
      <x:c r="L134" s="102"/>
      <x:c r="M134" s="1"/>
      <x:c r="N134" s="1"/>
      <x:c r="O134" s="1"/>
    </x:row>
    <x:row r="135">
      <x:c r="A135" s="101"/>
      <x:c r="B135" s="59"/>
      <x:c r="C135" s="59"/>
      <x:c r="D135" s="59"/>
      <x:c r="E135" s="59"/>
      <x:c r="F135" s="83"/>
      <x:c r="G135" s="83"/>
      <x:c r="H135" s="64"/>
      <x:c r="I135" s="59"/>
      <x:c r="J135" s="59"/>
      <x:c r="K135" s="59"/>
      <x:c r="L135" s="102"/>
      <x:c r="M135" s="1"/>
      <x:c r="N135" s="1"/>
      <x:c r="O135" s="1"/>
    </x:row>
    <x:row r="136">
      <x:c r="A136" s="101"/>
      <x:c r="B136" s="59"/>
      <x:c r="C136" s="59"/>
      <x:c r="D136" s="59"/>
      <x:c r="E136" s="59"/>
      <x:c r="F136" s="83"/>
      <x:c r="G136" s="83"/>
      <x:c r="H136" s="64"/>
      <x:c r="I136" s="59"/>
      <x:c r="J136" s="59"/>
      <x:c r="K136" s="59"/>
      <x:c r="L136" s="102"/>
      <x:c r="M136" s="1"/>
      <x:c r="N136" s="1"/>
      <x:c r="O136" s="1"/>
    </x:row>
    <x:row r="137">
      <x:c r="A137" s="101"/>
      <x:c r="B137" s="59"/>
      <x:c r="C137" s="59"/>
      <x:c r="D137" s="59"/>
      <x:c r="E137" s="59"/>
      <x:c r="F137" s="83"/>
      <x:c r="G137" s="83"/>
      <x:c r="H137" s="64"/>
      <x:c r="I137" s="59"/>
      <x:c r="J137" s="59"/>
      <x:c r="K137" s="59"/>
      <x:c r="L137" s="102"/>
      <x:c r="M137" s="1"/>
      <x:c r="N137" s="1"/>
      <x:c r="O137" s="1"/>
    </x:row>
    <x:row r="138">
      <x:c r="A138" s="101"/>
      <x:c r="B138" s="59"/>
      <x:c r="C138" s="59"/>
      <x:c r="D138" s="59"/>
      <x:c r="E138" s="59"/>
      <x:c r="F138" s="83"/>
      <x:c r="G138" s="83"/>
      <x:c r="H138" s="64"/>
      <x:c r="I138" s="59"/>
      <x:c r="J138" s="59"/>
      <x:c r="K138" s="59"/>
      <x:c r="L138" s="102"/>
      <x:c r="M138" s="1"/>
      <x:c r="N138" s="1"/>
      <x:c r="O138" s="1"/>
    </x:row>
    <x:row r="139">
      <x:c r="A139" s="101"/>
      <x:c r="B139" s="59"/>
      <x:c r="C139" s="59"/>
      <x:c r="D139" s="59"/>
      <x:c r="E139" s="59"/>
      <x:c r="F139" s="83"/>
      <x:c r="G139" s="83"/>
      <x:c r="H139" s="64"/>
      <x:c r="I139" s="59"/>
      <x:c r="J139" s="59"/>
      <x:c r="K139" s="59"/>
      <x:c r="L139" s="102"/>
      <x:c r="M139" s="1"/>
      <x:c r="N139" s="1"/>
      <x:c r="O139" s="1"/>
    </x:row>
    <x:row r="140">
      <x:c r="A140" s="101"/>
      <x:c r="B140" s="59"/>
      <x:c r="C140" s="59"/>
      <x:c r="D140" s="59"/>
      <x:c r="E140" s="59"/>
      <x:c r="F140" s="83"/>
      <x:c r="G140" s="83"/>
      <x:c r="H140" s="64"/>
      <x:c r="I140" s="59"/>
      <x:c r="J140" s="59"/>
      <x:c r="K140" s="59"/>
      <x:c r="L140" s="102"/>
      <x:c r="M140" s="1"/>
      <x:c r="N140" s="1"/>
      <x:c r="O140" s="1"/>
    </x:row>
    <x:row r="141">
      <x:c r="A141" s="101"/>
      <x:c r="B141" s="59"/>
      <x:c r="C141" s="59"/>
      <x:c r="D141" s="59"/>
      <x:c r="E141" s="59"/>
      <x:c r="F141" s="83"/>
      <x:c r="G141" s="83"/>
      <x:c r="H141" s="64"/>
      <x:c r="I141" s="59"/>
      <x:c r="J141" s="59"/>
      <x:c r="K141" s="59"/>
      <x:c r="L141" s="102"/>
      <x:c r="M141" s="1"/>
      <x:c r="N141" s="1"/>
      <x:c r="O141" s="1"/>
    </x:row>
    <x:row r="142">
      <x:c r="A142" s="101"/>
      <x:c r="B142" s="59"/>
      <x:c r="C142" s="59"/>
      <x:c r="D142" s="59"/>
      <x:c r="E142" s="59"/>
      <x:c r="F142" s="83"/>
      <x:c r="G142" s="83"/>
      <x:c r="H142" s="64"/>
      <x:c r="I142" s="59"/>
      <x:c r="J142" s="59"/>
      <x:c r="K142" s="59"/>
      <x:c r="L142" s="102"/>
      <x:c r="M142" s="1"/>
      <x:c r="N142" s="1"/>
      <x:c r="O142" s="1"/>
    </x:row>
    <x:row r="143">
      <x:c r="A143" s="101"/>
      <x:c r="B143" s="59"/>
      <x:c r="C143" s="59"/>
      <x:c r="D143" s="59"/>
      <x:c r="E143" s="59"/>
      <x:c r="F143" s="83"/>
      <x:c r="G143" s="83"/>
      <x:c r="H143" s="64"/>
      <x:c r="I143" s="59"/>
      <x:c r="J143" s="59"/>
      <x:c r="K143" s="59"/>
      <x:c r="L143" s="102"/>
      <x:c r="M143" s="1"/>
      <x:c r="N143" s="1"/>
      <x:c r="O143" s="1"/>
    </x:row>
    <x:row r="144">
      <x:c r="A144" s="101"/>
      <x:c r="B144" s="59"/>
      <x:c r="C144" s="59"/>
      <x:c r="D144" s="59"/>
      <x:c r="E144" s="59"/>
      <x:c r="F144" s="83"/>
      <x:c r="G144" s="83"/>
      <x:c r="H144" s="64"/>
      <x:c r="I144" s="59"/>
      <x:c r="J144" s="59"/>
      <x:c r="K144" s="59"/>
      <x:c r="L144" s="102"/>
      <x:c r="M144" s="1"/>
      <x:c r="N144" s="1"/>
      <x:c r="O144" s="1"/>
    </x:row>
    <x:row r="145">
      <x:c r="A145" s="101"/>
      <x:c r="B145" s="59"/>
      <x:c r="C145" s="59"/>
      <x:c r="D145" s="59"/>
      <x:c r="E145" s="59"/>
      <x:c r="F145" s="83"/>
      <x:c r="G145" s="83"/>
      <x:c r="H145" s="64"/>
      <x:c r="I145" s="59"/>
      <x:c r="J145" s="59"/>
      <x:c r="K145" s="59"/>
      <x:c r="L145" s="102"/>
      <x:c r="M145" s="1"/>
      <x:c r="N145" s="1"/>
      <x:c r="O145" s="1"/>
    </x:row>
    <x:row r="146">
      <x:c r="A146" s="101"/>
      <x:c r="B146" s="59"/>
      <x:c r="C146" s="59"/>
      <x:c r="D146" s="59"/>
      <x:c r="E146" s="59"/>
      <x:c r="F146" s="83"/>
      <x:c r="G146" s="83"/>
      <x:c r="H146" s="64"/>
      <x:c r="I146" s="59"/>
      <x:c r="J146" s="59"/>
      <x:c r="K146" s="59"/>
      <x:c r="L146" s="102"/>
      <x:c r="M146" s="1"/>
      <x:c r="N146" s="1"/>
      <x:c r="O146" s="1"/>
    </x:row>
    <x:row r="147">
      <x:c r="A147" s="101"/>
      <x:c r="B147" s="59"/>
      <x:c r="C147" s="59"/>
      <x:c r="D147" s="59"/>
      <x:c r="E147" s="59"/>
      <x:c r="F147" s="83"/>
      <x:c r="G147" s="83"/>
      <x:c r="H147" s="64"/>
      <x:c r="I147" s="59"/>
      <x:c r="J147" s="59"/>
      <x:c r="K147" s="59"/>
      <x:c r="L147" s="102"/>
      <x:c r="M147" s="1"/>
      <x:c r="N147" s="1"/>
      <x:c r="O147" s="1"/>
    </x:row>
    <x:row r="148">
      <x:c r="A148" s="101"/>
      <x:c r="B148" s="59"/>
      <x:c r="C148" s="59"/>
      <x:c r="D148" s="59"/>
      <x:c r="E148" s="59"/>
      <x:c r="F148" s="83"/>
      <x:c r="G148" s="83"/>
      <x:c r="H148" s="64"/>
      <x:c r="I148" s="59"/>
      <x:c r="J148" s="59"/>
      <x:c r="K148" s="59"/>
      <x:c r="L148" s="102"/>
      <x:c r="M148" s="1"/>
      <x:c r="N148" s="1"/>
      <x:c r="O148" s="1"/>
    </x:row>
    <x:row r="149">
      <x:c r="A149" s="101"/>
      <x:c r="B149" s="59"/>
      <x:c r="C149" s="59"/>
      <x:c r="D149" s="59"/>
      <x:c r="E149" s="59"/>
      <x:c r="F149" s="83"/>
      <x:c r="G149" s="83"/>
      <x:c r="H149" s="64"/>
      <x:c r="I149" s="59"/>
      <x:c r="J149" s="59"/>
      <x:c r="K149" s="59"/>
      <x:c r="L149" s="102"/>
      <x:c r="M149" s="1"/>
      <x:c r="N149" s="1"/>
      <x:c r="O149" s="1"/>
    </x:row>
    <x:row r="150">
      <x:c r="A150" s="101"/>
      <x:c r="B150" s="59"/>
      <x:c r="C150" s="59"/>
      <x:c r="D150" s="59"/>
      <x:c r="E150" s="59"/>
      <x:c r="F150" s="83"/>
      <x:c r="G150" s="83"/>
      <x:c r="H150" s="64"/>
      <x:c r="I150" s="59"/>
      <x:c r="J150" s="59"/>
      <x:c r="K150" s="59"/>
      <x:c r="L150" s="102"/>
      <x:c r="M150" s="1"/>
      <x:c r="N150" s="1"/>
      <x:c r="O150" s="1"/>
    </x:row>
    <x:row r="151">
      <x:c r="A151" s="101"/>
      <x:c r="B151" s="59"/>
      <x:c r="C151" s="59"/>
      <x:c r="D151" s="59"/>
      <x:c r="E151" s="59"/>
      <x:c r="F151" s="83"/>
      <x:c r="G151" s="83"/>
      <x:c r="H151" s="64"/>
      <x:c r="I151" s="59"/>
      <x:c r="J151" s="59"/>
      <x:c r="K151" s="59"/>
      <x:c r="L151" s="102"/>
      <x:c r="M151" s="1"/>
      <x:c r="N151" s="1"/>
      <x:c r="O151" s="1"/>
    </x:row>
    <x:row r="152">
      <x:c r="A152" s="101"/>
      <x:c r="B152" s="59"/>
      <x:c r="C152" s="59"/>
      <x:c r="D152" s="59"/>
      <x:c r="E152" s="59"/>
      <x:c r="F152" s="83"/>
      <x:c r="G152" s="83"/>
      <x:c r="H152" s="64"/>
      <x:c r="I152" s="59"/>
      <x:c r="J152" s="59"/>
      <x:c r="K152" s="59"/>
      <x:c r="L152" s="102"/>
      <x:c r="M152" s="1"/>
      <x:c r="N152" s="1"/>
      <x:c r="O152" s="1"/>
    </x:row>
    <x:row r="153">
      <x:c r="A153" s="101"/>
      <x:c r="B153" s="59"/>
      <x:c r="C153" s="59"/>
      <x:c r="D153" s="59"/>
      <x:c r="E153" s="59"/>
      <x:c r="F153" s="83"/>
      <x:c r="G153" s="83"/>
      <x:c r="H153" s="64"/>
      <x:c r="I153" s="59"/>
      <x:c r="J153" s="59"/>
      <x:c r="K153" s="59"/>
      <x:c r="L153" s="102"/>
      <x:c r="M153" s="1"/>
      <x:c r="N153" s="1"/>
      <x:c r="O153" s="1"/>
    </x:row>
    <x:row r="154">
      <x:c r="A154" s="101"/>
      <x:c r="B154" s="59"/>
      <x:c r="C154" s="59"/>
      <x:c r="D154" s="59"/>
      <x:c r="E154" s="59"/>
      <x:c r="F154" s="83"/>
      <x:c r="G154" s="83"/>
      <x:c r="H154" s="64"/>
      <x:c r="I154" s="59"/>
      <x:c r="J154" s="59"/>
      <x:c r="K154" s="59"/>
      <x:c r="L154" s="102"/>
      <x:c r="M154" s="1"/>
      <x:c r="N154" s="1"/>
      <x:c r="O154" s="1"/>
    </x:row>
    <x:row r="155">
      <x:c r="A155" s="101"/>
      <x:c r="B155" s="59"/>
      <x:c r="C155" s="59"/>
      <x:c r="D155" s="59"/>
      <x:c r="E155" s="59"/>
      <x:c r="F155" s="83"/>
      <x:c r="G155" s="83"/>
      <x:c r="H155" s="64"/>
      <x:c r="I155" s="59"/>
      <x:c r="J155" s="59"/>
      <x:c r="K155" s="59"/>
      <x:c r="L155" s="102"/>
      <x:c r="M155" s="1"/>
      <x:c r="N155" s="1"/>
      <x:c r="O155" s="1"/>
    </x:row>
    <x:row r="156">
      <x:c r="A156" s="101"/>
      <x:c r="B156" s="59"/>
      <x:c r="C156" s="59"/>
      <x:c r="D156" s="59"/>
      <x:c r="E156" s="59"/>
      <x:c r="F156" s="83"/>
      <x:c r="G156" s="83"/>
      <x:c r="H156" s="64"/>
      <x:c r="I156" s="59"/>
      <x:c r="J156" s="59"/>
      <x:c r="K156" s="59"/>
      <x:c r="L156" s="102"/>
      <x:c r="M156" s="1"/>
      <x:c r="N156" s="1"/>
      <x:c r="O156" s="1"/>
    </x:row>
    <x:row r="157">
      <x:c r="A157" s="101"/>
      <x:c r="B157" s="59"/>
      <x:c r="C157" s="59"/>
      <x:c r="D157" s="59"/>
      <x:c r="E157" s="59"/>
      <x:c r="F157" s="83"/>
      <x:c r="G157" s="83"/>
      <x:c r="H157" s="64"/>
      <x:c r="I157" s="59"/>
      <x:c r="J157" s="59"/>
      <x:c r="K157" s="59"/>
      <x:c r="L157" s="102"/>
      <x:c r="M157" s="1"/>
      <x:c r="N157" s="1"/>
      <x:c r="O157" s="1"/>
    </x:row>
    <x:row r="158">
      <x:c r="A158" s="101"/>
      <x:c r="B158" s="59"/>
      <x:c r="C158" s="59"/>
      <x:c r="D158" s="59"/>
      <x:c r="E158" s="59"/>
      <x:c r="F158" s="83"/>
      <x:c r="G158" s="83"/>
      <x:c r="H158" s="64"/>
      <x:c r="I158" s="59"/>
      <x:c r="J158" s="59"/>
      <x:c r="K158" s="59"/>
      <x:c r="L158" s="102"/>
      <x:c r="M158" s="1"/>
      <x:c r="N158" s="1"/>
      <x:c r="O158" s="1"/>
    </x:row>
    <x:row r="159">
      <x:c r="A159" s="101"/>
      <x:c r="B159" s="59"/>
      <x:c r="C159" s="59"/>
      <x:c r="D159" s="59"/>
      <x:c r="E159" s="59"/>
      <x:c r="F159" s="83"/>
      <x:c r="G159" s="83"/>
      <x:c r="H159" s="64"/>
      <x:c r="I159" s="59"/>
      <x:c r="J159" s="59"/>
      <x:c r="K159" s="59"/>
      <x:c r="L159" s="102"/>
      <x:c r="M159" s="1"/>
      <x:c r="N159" s="1"/>
      <x:c r="O159" s="1"/>
    </x:row>
    <x:row r="160">
      <x:c r="A160" s="101"/>
      <x:c r="B160" s="59"/>
      <x:c r="C160" s="59"/>
      <x:c r="D160" s="59"/>
      <x:c r="E160" s="59"/>
      <x:c r="F160" s="83"/>
      <x:c r="G160" s="83"/>
      <x:c r="H160" s="64"/>
      <x:c r="I160" s="59"/>
      <x:c r="J160" s="59"/>
      <x:c r="K160" s="59"/>
      <x:c r="L160" s="102"/>
      <x:c r="M160" s="1"/>
      <x:c r="N160" s="1"/>
      <x:c r="O160" s="1"/>
    </x:row>
    <x:row r="161">
      <x:c r="A161" s="101"/>
      <x:c r="B161" s="59"/>
      <x:c r="C161" s="59"/>
      <x:c r="D161" s="59"/>
      <x:c r="E161" s="59"/>
      <x:c r="F161" s="83"/>
      <x:c r="G161" s="83"/>
      <x:c r="H161" s="64"/>
      <x:c r="I161" s="59"/>
      <x:c r="J161" s="59"/>
      <x:c r="K161" s="59"/>
      <x:c r="L161" s="102"/>
      <x:c r="M161" s="1"/>
      <x:c r="N161" s="1"/>
      <x:c r="O161" s="1"/>
    </x:row>
    <x:row r="162">
      <x:c r="A162" s="101"/>
      <x:c r="B162" s="59"/>
      <x:c r="C162" s="59"/>
      <x:c r="D162" s="59"/>
      <x:c r="E162" s="59"/>
      <x:c r="F162" s="83"/>
      <x:c r="G162" s="83"/>
      <x:c r="H162" s="64"/>
      <x:c r="I162" s="59"/>
      <x:c r="J162" s="59"/>
      <x:c r="K162" s="59"/>
      <x:c r="L162" s="102"/>
      <x:c r="M162" s="1"/>
      <x:c r="N162" s="1"/>
      <x:c r="O162" s="1"/>
    </x:row>
    <x:row r="163">
      <x:c r="A163" s="101"/>
      <x:c r="B163" s="59"/>
      <x:c r="C163" s="59"/>
      <x:c r="D163" s="59"/>
      <x:c r="E163" s="59"/>
      <x:c r="F163" s="83"/>
      <x:c r="G163" s="83"/>
      <x:c r="H163" s="64"/>
      <x:c r="I163" s="59"/>
      <x:c r="J163" s="59"/>
      <x:c r="K163" s="59"/>
      <x:c r="L163" s="102"/>
      <x:c r="M163" s="1"/>
      <x:c r="N163" s="1"/>
      <x:c r="O163" s="1"/>
    </x:row>
    <x:row r="164">
      <x:c r="A164" s="101"/>
      <x:c r="B164" s="59"/>
      <x:c r="C164" s="59"/>
      <x:c r="D164" s="59"/>
      <x:c r="E164" s="59"/>
      <x:c r="F164" s="83"/>
      <x:c r="G164" s="83"/>
      <x:c r="H164" s="64"/>
      <x:c r="I164" s="59"/>
      <x:c r="J164" s="59"/>
      <x:c r="K164" s="59"/>
      <x:c r="L164" s="102"/>
      <x:c r="M164" s="1"/>
      <x:c r="N164" s="1"/>
      <x:c r="O164" s="1"/>
    </x:row>
    <x:row r="165">
      <x:c r="A165" s="101"/>
      <x:c r="B165" s="59"/>
      <x:c r="C165" s="59"/>
      <x:c r="D165" s="59"/>
      <x:c r="E165" s="59"/>
      <x:c r="F165" s="83"/>
      <x:c r="G165" s="83"/>
      <x:c r="H165" s="64"/>
      <x:c r="I165" s="59"/>
      <x:c r="J165" s="59"/>
      <x:c r="K165" s="59"/>
      <x:c r="L165" s="102"/>
      <x:c r="M165" s="1"/>
      <x:c r="N165" s="1"/>
      <x:c r="O165" s="1"/>
    </x:row>
    <x:row r="166">
      <x:c r="A166" s="101"/>
      <x:c r="B166" s="59"/>
      <x:c r="C166" s="59"/>
      <x:c r="D166" s="59"/>
      <x:c r="E166" s="59"/>
      <x:c r="F166" s="83"/>
      <x:c r="G166" s="83"/>
      <x:c r="H166" s="64"/>
      <x:c r="I166" s="59"/>
      <x:c r="J166" s="59"/>
      <x:c r="K166" s="59"/>
      <x:c r="L166" s="102"/>
      <x:c r="M166" s="1"/>
      <x:c r="N166" s="1"/>
      <x:c r="O166" s="1"/>
    </x:row>
    <x:row r="167">
      <x:c r="A167" s="101"/>
      <x:c r="B167" s="59"/>
      <x:c r="C167" s="59"/>
      <x:c r="D167" s="59"/>
      <x:c r="E167" s="59"/>
      <x:c r="F167" s="83"/>
      <x:c r="G167" s="83"/>
      <x:c r="H167" s="64"/>
      <x:c r="I167" s="59"/>
      <x:c r="J167" s="59"/>
      <x:c r="K167" s="59"/>
      <x:c r="L167" s="102"/>
      <x:c r="M167" s="1"/>
      <x:c r="N167" s="1"/>
      <x:c r="O167" s="1"/>
    </x:row>
    <x:row r="168">
      <x:c r="A168" s="101"/>
      <x:c r="B168" s="59"/>
      <x:c r="C168" s="59"/>
      <x:c r="D168" s="59"/>
      <x:c r="E168" s="59"/>
      <x:c r="F168" s="83"/>
      <x:c r="G168" s="83"/>
      <x:c r="H168" s="64"/>
      <x:c r="I168" s="59"/>
      <x:c r="J168" s="59"/>
      <x:c r="K168" s="59"/>
      <x:c r="L168" s="102"/>
      <x:c r="M168" s="1"/>
      <x:c r="N168" s="1"/>
      <x:c r="O168" s="1"/>
    </x:row>
    <x:row r="169">
      <x:c r="A169" s="101"/>
      <x:c r="B169" s="59"/>
      <x:c r="C169" s="59"/>
      <x:c r="D169" s="59"/>
      <x:c r="E169" s="59"/>
      <x:c r="F169" s="83"/>
      <x:c r="G169" s="83"/>
      <x:c r="H169" s="64"/>
      <x:c r="I169" s="59"/>
      <x:c r="J169" s="59"/>
      <x:c r="K169" s="59"/>
      <x:c r="L169" s="102"/>
      <x:c r="M169" s="1"/>
      <x:c r="N169" s="1"/>
      <x:c r="O169" s="1"/>
    </x:row>
    <x:row r="170">
      <x:c r="A170" s="101"/>
      <x:c r="B170" s="59"/>
      <x:c r="C170" s="59"/>
      <x:c r="D170" s="59"/>
      <x:c r="E170" s="59"/>
      <x:c r="F170" s="83"/>
      <x:c r="G170" s="83"/>
      <x:c r="H170" s="64"/>
      <x:c r="I170" s="59"/>
      <x:c r="J170" s="59"/>
      <x:c r="K170" s="59"/>
      <x:c r="L170" s="102"/>
      <x:c r="M170" s="1"/>
      <x:c r="N170" s="1"/>
      <x:c r="O170" s="1"/>
    </x:row>
    <x:row r="171">
      <x:c r="A171" s="101"/>
      <x:c r="B171" s="59"/>
      <x:c r="C171" s="59"/>
      <x:c r="D171" s="59"/>
      <x:c r="E171" s="59"/>
      <x:c r="F171" s="83"/>
      <x:c r="G171" s="83"/>
      <x:c r="H171" s="64"/>
      <x:c r="I171" s="59"/>
      <x:c r="J171" s="59"/>
      <x:c r="K171" s="59"/>
      <x:c r="L171" s="102"/>
      <x:c r="M171" s="1"/>
      <x:c r="N171" s="1"/>
      <x:c r="O171" s="1"/>
    </x:row>
    <x:row r="172">
      <x:c r="A172" s="101"/>
      <x:c r="B172" s="59"/>
      <x:c r="C172" s="59"/>
      <x:c r="D172" s="59"/>
      <x:c r="E172" s="59"/>
      <x:c r="F172" s="83"/>
      <x:c r="G172" s="83"/>
      <x:c r="H172" s="64"/>
      <x:c r="I172" s="59"/>
      <x:c r="J172" s="59"/>
      <x:c r="K172" s="59"/>
      <x:c r="L172" s="102"/>
      <x:c r="M172" s="1"/>
      <x:c r="N172" s="1"/>
      <x:c r="O172" s="1"/>
    </x:row>
    <x:row r="173">
      <x:c r="A173" s="101"/>
      <x:c r="B173" s="59"/>
      <x:c r="C173" s="59"/>
      <x:c r="D173" s="59"/>
      <x:c r="E173" s="59"/>
      <x:c r="F173" s="83"/>
      <x:c r="G173" s="83"/>
      <x:c r="H173" s="64"/>
      <x:c r="I173" s="59"/>
      <x:c r="J173" s="59"/>
      <x:c r="K173" s="59"/>
      <x:c r="L173" s="102"/>
      <x:c r="M173" s="1"/>
      <x:c r="N173" s="1"/>
      <x:c r="O173" s="1"/>
    </x:row>
    <x:row r="174">
      <x:c r="A174" s="101"/>
      <x:c r="B174" s="59"/>
      <x:c r="C174" s="59"/>
      <x:c r="D174" s="59"/>
      <x:c r="E174" s="59"/>
      <x:c r="F174" s="83"/>
      <x:c r="G174" s="83"/>
      <x:c r="H174" s="64"/>
      <x:c r="I174" s="59"/>
      <x:c r="J174" s="59"/>
      <x:c r="K174" s="59"/>
      <x:c r="L174" s="102"/>
      <x:c r="M174" s="1"/>
      <x:c r="N174" s="1"/>
      <x:c r="O174" s="1"/>
    </x:row>
    <x:row r="175">
      <x:c r="A175" s="101"/>
      <x:c r="B175" s="59"/>
      <x:c r="C175" s="59"/>
      <x:c r="D175" s="59"/>
      <x:c r="E175" s="59"/>
      <x:c r="F175" s="83"/>
      <x:c r="G175" s="83"/>
      <x:c r="H175" s="64"/>
      <x:c r="I175" s="59"/>
      <x:c r="J175" s="59"/>
      <x:c r="K175" s="59"/>
      <x:c r="L175" s="102"/>
      <x:c r="M175" s="1"/>
      <x:c r="N175" s="1"/>
      <x:c r="O175" s="1"/>
    </x:row>
    <x:row r="176">
      <x:c r="A176" s="101"/>
      <x:c r="B176" s="59"/>
      <x:c r="C176" s="59"/>
      <x:c r="D176" s="59"/>
      <x:c r="E176" s="59"/>
      <x:c r="F176" s="83"/>
      <x:c r="G176" s="83"/>
      <x:c r="H176" s="64"/>
      <x:c r="I176" s="59"/>
      <x:c r="J176" s="59"/>
      <x:c r="K176" s="59"/>
      <x:c r="L176" s="102"/>
      <x:c r="M176" s="1"/>
      <x:c r="N176" s="1"/>
      <x:c r="O176" s="1"/>
    </x:row>
    <x:row r="177">
      <x:c r="A177" s="101"/>
      <x:c r="B177" s="59"/>
      <x:c r="C177" s="59"/>
      <x:c r="D177" s="59"/>
      <x:c r="E177" s="59"/>
      <x:c r="F177" s="83"/>
      <x:c r="G177" s="83"/>
      <x:c r="H177" s="64"/>
      <x:c r="I177" s="59"/>
      <x:c r="J177" s="59"/>
      <x:c r="K177" s="59"/>
      <x:c r="L177" s="102"/>
      <x:c r="M177" s="1"/>
      <x:c r="N177" s="1"/>
      <x:c r="O177" s="1"/>
    </x:row>
    <x:row r="178">
      <x:c r="A178" s="101"/>
      <x:c r="B178" s="59"/>
      <x:c r="C178" s="59"/>
      <x:c r="D178" s="59"/>
      <x:c r="E178" s="59"/>
      <x:c r="F178" s="83"/>
      <x:c r="G178" s="83"/>
      <x:c r="H178" s="64"/>
      <x:c r="I178" s="59"/>
      <x:c r="J178" s="59"/>
      <x:c r="K178" s="59"/>
      <x:c r="L178" s="102"/>
      <x:c r="M178" s="1"/>
      <x:c r="N178" s="1"/>
      <x:c r="O178" s="1"/>
    </x:row>
    <x:row r="179">
      <x:c r="A179" s="101"/>
      <x:c r="B179" s="59"/>
      <x:c r="C179" s="59"/>
      <x:c r="D179" s="59"/>
      <x:c r="E179" s="59"/>
      <x:c r="F179" s="83"/>
      <x:c r="G179" s="83"/>
      <x:c r="H179" s="64"/>
      <x:c r="I179" s="59"/>
      <x:c r="J179" s="59"/>
      <x:c r="K179" s="59"/>
      <x:c r="L179" s="102"/>
      <x:c r="M179" s="1"/>
      <x:c r="N179" s="1"/>
      <x:c r="O179" s="1"/>
    </x:row>
    <x:row r="180">
      <x:c r="A180" s="101"/>
      <x:c r="B180" s="59"/>
      <x:c r="C180" s="59"/>
      <x:c r="D180" s="59"/>
      <x:c r="E180" s="59"/>
      <x:c r="F180" s="83"/>
      <x:c r="G180" s="83"/>
      <x:c r="H180" s="64"/>
      <x:c r="I180" s="59"/>
      <x:c r="J180" s="59"/>
      <x:c r="K180" s="59"/>
      <x:c r="L180" s="102"/>
      <x:c r="M180" s="1"/>
      <x:c r="N180" s="1"/>
      <x:c r="O180" s="1"/>
    </x:row>
    <x:row r="181">
      <x:c r="A181" s="101"/>
      <x:c r="B181" s="59"/>
      <x:c r="C181" s="59"/>
      <x:c r="D181" s="59"/>
      <x:c r="E181" s="59"/>
      <x:c r="F181" s="83"/>
      <x:c r="G181" s="83"/>
      <x:c r="H181" s="64"/>
      <x:c r="I181" s="59"/>
      <x:c r="J181" s="59"/>
      <x:c r="K181" s="59"/>
      <x:c r="L181" s="102"/>
      <x:c r="M181" s="1"/>
      <x:c r="N181" s="1"/>
      <x:c r="O181" s="1"/>
    </x:row>
    <x:row r="182">
      <x:c r="A182" s="101"/>
      <x:c r="B182" s="59"/>
      <x:c r="C182" s="59"/>
      <x:c r="D182" s="59"/>
      <x:c r="E182" s="59"/>
      <x:c r="F182" s="83"/>
      <x:c r="G182" s="83"/>
      <x:c r="H182" s="64"/>
      <x:c r="I182" s="59"/>
      <x:c r="J182" s="59"/>
      <x:c r="K182" s="59"/>
      <x:c r="L182" s="102"/>
      <x:c r="M182" s="1"/>
      <x:c r="N182" s="1"/>
      <x:c r="O182" s="1"/>
    </x:row>
    <x:row r="183">
      <x:c r="A183" s="101"/>
      <x:c r="B183" s="59"/>
      <x:c r="C183" s="59"/>
      <x:c r="D183" s="59"/>
      <x:c r="E183" s="59"/>
      <x:c r="F183" s="83"/>
      <x:c r="G183" s="83"/>
      <x:c r="H183" s="64"/>
      <x:c r="I183" s="59"/>
      <x:c r="J183" s="59"/>
      <x:c r="K183" s="59"/>
      <x:c r="L183" s="102"/>
      <x:c r="M183" s="1"/>
      <x:c r="N183" s="1"/>
      <x:c r="O183" s="1"/>
    </x:row>
    <x:row r="184">
      <x:c r="A184" s="101"/>
      <x:c r="B184" s="59"/>
      <x:c r="C184" s="59"/>
      <x:c r="D184" s="59"/>
      <x:c r="E184" s="59"/>
      <x:c r="F184" s="83"/>
      <x:c r="G184" s="83"/>
      <x:c r="H184" s="64"/>
      <x:c r="I184" s="59"/>
      <x:c r="J184" s="59"/>
      <x:c r="K184" s="59"/>
      <x:c r="L184" s="102"/>
      <x:c r="M184" s="1"/>
      <x:c r="N184" s="1"/>
      <x:c r="O184" s="1"/>
    </x:row>
    <x:row r="185">
      <x:c r="A185" s="101"/>
      <x:c r="B185" s="59"/>
      <x:c r="C185" s="59"/>
      <x:c r="D185" s="59"/>
      <x:c r="E185" s="59"/>
      <x:c r="F185" s="83"/>
      <x:c r="G185" s="83"/>
      <x:c r="H185" s="64"/>
      <x:c r="I185" s="59"/>
      <x:c r="J185" s="59"/>
      <x:c r="K185" s="59"/>
      <x:c r="L185" s="102"/>
      <x:c r="M185" s="1"/>
      <x:c r="N185" s="1"/>
      <x:c r="O185" s="1"/>
    </x:row>
    <x:row r="186">
      <x:c r="A186" s="101"/>
      <x:c r="B186" s="59"/>
      <x:c r="C186" s="59"/>
      <x:c r="D186" s="59"/>
      <x:c r="E186" s="59"/>
      <x:c r="F186" s="83"/>
      <x:c r="G186" s="83"/>
      <x:c r="H186" s="64"/>
      <x:c r="I186" s="59"/>
      <x:c r="J186" s="59"/>
      <x:c r="K186" s="59"/>
      <x:c r="L186" s="102"/>
      <x:c r="M186" s="1"/>
      <x:c r="N186" s="1"/>
      <x:c r="O186" s="1"/>
    </x:row>
    <x:row r="187">
      <x:c r="A187" s="101"/>
      <x:c r="B187" s="59"/>
      <x:c r="C187" s="59"/>
      <x:c r="D187" s="59"/>
      <x:c r="E187" s="59"/>
      <x:c r="F187" s="83"/>
      <x:c r="G187" s="83"/>
      <x:c r="H187" s="64"/>
      <x:c r="I187" s="59"/>
      <x:c r="J187" s="59"/>
      <x:c r="K187" s="59"/>
      <x:c r="L187" s="102"/>
      <x:c r="M187" s="1"/>
      <x:c r="N187" s="1"/>
      <x:c r="O187" s="1"/>
    </x:row>
    <x:row r="188">
      <x:c r="A188" s="101"/>
      <x:c r="B188" s="59"/>
      <x:c r="C188" s="59"/>
      <x:c r="D188" s="59"/>
      <x:c r="E188" s="59"/>
      <x:c r="F188" s="83"/>
      <x:c r="G188" s="83"/>
      <x:c r="H188" s="64"/>
      <x:c r="I188" s="59"/>
      <x:c r="J188" s="59"/>
      <x:c r="K188" s="59"/>
      <x:c r="L188" s="102"/>
      <x:c r="M188" s="1"/>
      <x:c r="N188" s="1"/>
      <x:c r="O188" s="1"/>
    </x:row>
    <x:row r="189">
      <x:c r="A189" s="101"/>
      <x:c r="B189" s="59"/>
      <x:c r="C189" s="59"/>
      <x:c r="D189" s="59"/>
      <x:c r="E189" s="59"/>
      <x:c r="F189" s="83"/>
      <x:c r="G189" s="83"/>
      <x:c r="H189" s="64"/>
      <x:c r="I189" s="59"/>
      <x:c r="J189" s="59"/>
      <x:c r="K189" s="59"/>
      <x:c r="L189" s="102"/>
      <x:c r="M189" s="1"/>
      <x:c r="N189" s="1"/>
      <x:c r="O189" s="1"/>
    </x:row>
    <x:row r="190">
      <x:c r="A190" s="101"/>
      <x:c r="B190" s="59"/>
      <x:c r="C190" s="59"/>
      <x:c r="D190" s="59"/>
      <x:c r="E190" s="59"/>
      <x:c r="F190" s="83"/>
      <x:c r="G190" s="83"/>
      <x:c r="H190" s="64"/>
      <x:c r="I190" s="59"/>
      <x:c r="J190" s="59"/>
      <x:c r="K190" s="59"/>
      <x:c r="L190" s="102"/>
      <x:c r="M190" s="1"/>
      <x:c r="N190" s="1"/>
      <x:c r="O190" s="1"/>
    </x:row>
    <x:row r="191">
      <x:c r="A191" s="101"/>
      <x:c r="B191" s="59"/>
      <x:c r="C191" s="59"/>
      <x:c r="D191" s="59"/>
      <x:c r="E191" s="59"/>
      <x:c r="F191" s="83"/>
      <x:c r="G191" s="83"/>
      <x:c r="H191" s="64"/>
      <x:c r="I191" s="59"/>
      <x:c r="J191" s="59"/>
      <x:c r="K191" s="59"/>
      <x:c r="L191" s="102"/>
      <x:c r="M191" s="1"/>
      <x:c r="N191" s="1"/>
      <x:c r="O191" s="1"/>
    </x:row>
    <x:row r="192">
      <x:c r="A192" s="101"/>
      <x:c r="B192" s="59"/>
      <x:c r="C192" s="59"/>
      <x:c r="D192" s="59"/>
      <x:c r="E192" s="59"/>
      <x:c r="F192" s="83"/>
      <x:c r="G192" s="83"/>
      <x:c r="H192" s="64"/>
      <x:c r="I192" s="59"/>
      <x:c r="J192" s="59"/>
      <x:c r="K192" s="59"/>
      <x:c r="L192" s="102"/>
      <x:c r="M192" s="1"/>
      <x:c r="N192" s="1"/>
      <x:c r="O192" s="1"/>
    </x:row>
    <x:row r="193">
      <x:c r="A193" s="101"/>
      <x:c r="B193" s="59"/>
      <x:c r="C193" s="59"/>
      <x:c r="D193" s="59"/>
      <x:c r="E193" s="59"/>
      <x:c r="F193" s="83"/>
      <x:c r="G193" s="83"/>
      <x:c r="H193" s="64"/>
      <x:c r="I193" s="59"/>
      <x:c r="J193" s="59"/>
      <x:c r="K193" s="59"/>
      <x:c r="L193" s="102"/>
      <x:c r="M193" s="1"/>
      <x:c r="N193" s="1"/>
      <x:c r="O193" s="1"/>
    </x:row>
    <x:row r="194">
      <x:c r="A194" s="101"/>
      <x:c r="B194" s="59"/>
      <x:c r="C194" s="59"/>
      <x:c r="D194" s="59"/>
      <x:c r="E194" s="59"/>
      <x:c r="F194" s="83"/>
      <x:c r="G194" s="83"/>
      <x:c r="H194" s="64"/>
      <x:c r="I194" s="59"/>
      <x:c r="J194" s="59"/>
      <x:c r="K194" s="59"/>
      <x:c r="L194" s="102"/>
      <x:c r="M194" s="1"/>
      <x:c r="N194" s="1"/>
      <x:c r="O194" s="1"/>
    </x:row>
    <x:row r="195">
      <x:c r="A195" s="101"/>
      <x:c r="B195" s="59"/>
      <x:c r="C195" s="59"/>
      <x:c r="D195" s="59"/>
      <x:c r="E195" s="59"/>
      <x:c r="F195" s="83"/>
      <x:c r="G195" s="83"/>
      <x:c r="H195" s="64"/>
      <x:c r="I195" s="59"/>
      <x:c r="J195" s="59"/>
      <x:c r="K195" s="59"/>
      <x:c r="L195" s="102"/>
      <x:c r="M195" s="1"/>
      <x:c r="N195" s="1"/>
      <x:c r="O195" s="1"/>
    </x:row>
    <x:row r="196">
      <x:c r="A196" s="101"/>
      <x:c r="B196" s="59"/>
      <x:c r="C196" s="59"/>
      <x:c r="D196" s="59"/>
      <x:c r="E196" s="59"/>
      <x:c r="F196" s="83"/>
      <x:c r="G196" s="83"/>
      <x:c r="H196" s="64"/>
      <x:c r="I196" s="59"/>
      <x:c r="J196" s="59"/>
      <x:c r="K196" s="59"/>
      <x:c r="L196" s="102"/>
      <x:c r="M196" s="1"/>
      <x:c r="N196" s="1"/>
      <x:c r="O196" s="1"/>
    </x:row>
    <x:row r="197">
      <x:c r="A197" s="101"/>
      <x:c r="B197" s="59"/>
      <x:c r="C197" s="59"/>
      <x:c r="D197" s="59"/>
      <x:c r="E197" s="59"/>
      <x:c r="F197" s="83"/>
      <x:c r="G197" s="83"/>
      <x:c r="H197" s="64"/>
      <x:c r="I197" s="59"/>
      <x:c r="J197" s="59"/>
      <x:c r="K197" s="59"/>
      <x:c r="L197" s="102"/>
      <x:c r="M197" s="1"/>
      <x:c r="N197" s="1"/>
      <x:c r="O197" s="1"/>
    </x:row>
    <x:row r="198">
      <x:c r="A198" s="101"/>
      <x:c r="B198" s="59"/>
      <x:c r="C198" s="59"/>
      <x:c r="D198" s="59"/>
      <x:c r="E198" s="59"/>
      <x:c r="F198" s="83"/>
      <x:c r="G198" s="83"/>
      <x:c r="H198" s="64"/>
      <x:c r="I198" s="59"/>
      <x:c r="J198" s="59"/>
      <x:c r="K198" s="59"/>
      <x:c r="L198" s="102"/>
      <x:c r="M198" s="1"/>
      <x:c r="N198" s="1"/>
      <x:c r="O198" s="1"/>
    </x:row>
    <x:row r="199">
      <x:c r="A199" s="101"/>
      <x:c r="B199" s="59"/>
      <x:c r="C199" s="59"/>
      <x:c r="D199" s="59"/>
      <x:c r="E199" s="59"/>
      <x:c r="F199" s="83"/>
      <x:c r="G199" s="83"/>
      <x:c r="H199" s="64"/>
      <x:c r="I199" s="59"/>
      <x:c r="J199" s="59"/>
      <x:c r="K199" s="59"/>
      <x:c r="L199" s="102"/>
      <x:c r="M199" s="1"/>
      <x:c r="N199" s="1"/>
      <x:c r="O199" s="1"/>
    </x:row>
    <x:row r="200">
      <x:c r="A200" s="101"/>
      <x:c r="B200" s="59"/>
      <x:c r="C200" s="59"/>
      <x:c r="D200" s="59"/>
      <x:c r="E200" s="59"/>
      <x:c r="F200" s="83"/>
      <x:c r="G200" s="83"/>
      <x:c r="H200" s="64"/>
      <x:c r="I200" s="59"/>
      <x:c r="J200" s="59"/>
      <x:c r="K200" s="59"/>
      <x:c r="L200" s="102"/>
      <x:c r="M200" s="1"/>
      <x:c r="N200" s="1"/>
      <x:c r="O200" s="1"/>
    </x:row>
    <x:row r="201">
      <x:c r="A201" s="101"/>
      <x:c r="B201" s="59"/>
      <x:c r="C201" s="59"/>
      <x:c r="D201" s="59"/>
      <x:c r="E201" s="59"/>
      <x:c r="F201" s="83"/>
      <x:c r="G201" s="83"/>
      <x:c r="H201" s="64"/>
      <x:c r="I201" s="59"/>
      <x:c r="J201" s="59"/>
      <x:c r="K201" s="59"/>
      <x:c r="L201" s="102"/>
      <x:c r="M201" s="1"/>
      <x:c r="N201" s="1"/>
      <x:c r="O201" s="1"/>
    </x:row>
    <x:row r="202">
      <x:c r="A202" s="103"/>
      <x:c r="B202" s="60"/>
      <x:c r="C202" s="60"/>
      <x:c r="D202" s="60"/>
      <x:c r="E202" s="60"/>
      <x:c r="F202" s="84"/>
      <x:c r="G202" s="84"/>
      <x:c r="H202" s="65"/>
      <x:c r="I202" s="60"/>
      <x:c r="J202" s="60"/>
      <x:c r="K202" s="60"/>
      <x:c r="L202" s="104"/>
      <x:c r="M202" s="1"/>
      <x:c r="N202" s="1"/>
      <x:c r="O202" s="1"/>
    </x:row>
    <x:row r="203">
      <x:c r="A203" s="103"/>
      <x:c r="B203" s="60"/>
      <x:c r="C203" s="60"/>
      <x:c r="D203" s="60"/>
      <x:c r="E203" s="60"/>
      <x:c r="F203" s="84"/>
      <x:c r="G203" s="84"/>
      <x:c r="H203" s="65"/>
      <x:c r="I203" s="60"/>
      <x:c r="J203" s="60"/>
      <x:c r="K203" s="60"/>
      <x:c r="L203" s="104"/>
      <x:c r="M203" s="1"/>
      <x:c r="N203" s="1"/>
      <x:c r="O203" s="1"/>
    </x:row>
    <x:row r="204">
      <x:c r="A204" s="103"/>
      <x:c r="B204" s="60"/>
      <x:c r="C204" s="60"/>
      <x:c r="D204" s="60"/>
      <x:c r="E204" s="60"/>
      <x:c r="F204" s="84"/>
      <x:c r="G204" s="84"/>
      <x:c r="H204" s="65"/>
      <x:c r="I204" s="60"/>
      <x:c r="J204" s="60"/>
      <x:c r="K204" s="60"/>
      <x:c r="L204" s="104"/>
      <x:c r="M204" s="1"/>
      <x:c r="N204" s="1"/>
      <x:c r="O204" s="1"/>
    </x:row>
    <x:row r="205">
      <x:c r="A205" s="103"/>
      <x:c r="B205" s="60"/>
      <x:c r="C205" s="60"/>
      <x:c r="D205" s="60"/>
      <x:c r="E205" s="60"/>
      <x:c r="F205" s="84"/>
      <x:c r="G205" s="84"/>
      <x:c r="H205" s="65"/>
      <x:c r="I205" s="60"/>
      <x:c r="J205" s="60"/>
      <x:c r="K205" s="60"/>
      <x:c r="L205" s="104"/>
      <x:c r="M205" s="1"/>
      <x:c r="N205" s="1"/>
      <x:c r="O205" s="1"/>
    </x:row>
    <x:row r="206">
      <x:c r="A206" s="103"/>
      <x:c r="B206" s="60"/>
      <x:c r="C206" s="60"/>
      <x:c r="D206" s="60"/>
      <x:c r="E206" s="60"/>
      <x:c r="F206" s="84"/>
      <x:c r="G206" s="84"/>
      <x:c r="H206" s="65"/>
      <x:c r="I206" s="60"/>
      <x:c r="J206" s="60"/>
      <x:c r="K206" s="60"/>
      <x:c r="L206" s="104"/>
      <x:c r="M206" s="1"/>
      <x:c r="N206" s="1"/>
      <x:c r="O206" s="1"/>
    </x:row>
    <x:row r="207">
      <x:c r="A207" s="103"/>
      <x:c r="B207" s="60"/>
      <x:c r="C207" s="60"/>
      <x:c r="D207" s="60"/>
      <x:c r="E207" s="60"/>
      <x:c r="F207" s="84"/>
      <x:c r="G207" s="84"/>
      <x:c r="H207" s="65"/>
      <x:c r="I207" s="60"/>
      <x:c r="J207" s="60"/>
      <x:c r="K207" s="60"/>
      <x:c r="L207" s="104"/>
      <x:c r="M207" s="1"/>
      <x:c r="N207" s="1"/>
      <x:c r="O207" s="1"/>
    </x:row>
    <x:row r="208">
      <x:c r="A208" s="103"/>
      <x:c r="B208" s="60"/>
      <x:c r="C208" s="60"/>
      <x:c r="D208" s="60"/>
      <x:c r="E208" s="60"/>
      <x:c r="F208" s="84"/>
      <x:c r="G208" s="84"/>
      <x:c r="H208" s="65"/>
      <x:c r="I208" s="60"/>
      <x:c r="J208" s="60"/>
      <x:c r="K208" s="60"/>
      <x:c r="L208" s="104"/>
      <x:c r="M208" s="1"/>
      <x:c r="N208" s="1"/>
      <x:c r="O208" s="1"/>
    </x:row>
    <x:row r="209">
      <x:c r="A209" s="103"/>
      <x:c r="B209" s="60"/>
      <x:c r="C209" s="60"/>
      <x:c r="D209" s="60"/>
      <x:c r="E209" s="60"/>
      <x:c r="F209" s="84"/>
      <x:c r="G209" s="84"/>
      <x:c r="H209" s="65"/>
      <x:c r="I209" s="60"/>
      <x:c r="J209" s="60"/>
      <x:c r="K209" s="60"/>
      <x:c r="L209" s="104"/>
      <x:c r="M209" s="1"/>
      <x:c r="N209" s="1"/>
      <x:c r="O209" s="1"/>
    </x:row>
    <x:row r="210">
      <x:c r="A210" s="103"/>
      <x:c r="B210" s="60"/>
      <x:c r="C210" s="60"/>
      <x:c r="D210" s="60"/>
      <x:c r="E210" s="60"/>
      <x:c r="F210" s="84"/>
      <x:c r="G210" s="84"/>
      <x:c r="H210" s="65"/>
      <x:c r="I210" s="60"/>
      <x:c r="J210" s="60"/>
      <x:c r="K210" s="60"/>
      <x:c r="L210" s="104"/>
      <x:c r="M210" s="1"/>
      <x:c r="N210" s="1"/>
      <x:c r="O210" s="1"/>
    </x:row>
    <x:row r="211">
      <x:c r="A211" s="103"/>
      <x:c r="B211" s="60"/>
      <x:c r="C211" s="60"/>
      <x:c r="D211" s="60"/>
      <x:c r="E211" s="60"/>
      <x:c r="F211" s="84"/>
      <x:c r="G211" s="84"/>
      <x:c r="H211" s="65"/>
      <x:c r="I211" s="60"/>
      <x:c r="J211" s="60"/>
      <x:c r="K211" s="60"/>
      <x:c r="L211" s="104"/>
      <x:c r="M211" s="1"/>
      <x:c r="N211" s="1"/>
      <x:c r="O211" s="1"/>
    </x:row>
    <x:row r="212">
      <x:c r="A212" s="103"/>
      <x:c r="B212" s="60"/>
      <x:c r="C212" s="60"/>
      <x:c r="D212" s="60"/>
      <x:c r="E212" s="60"/>
      <x:c r="F212" s="84"/>
      <x:c r="G212" s="84"/>
      <x:c r="H212" s="65"/>
      <x:c r="I212" s="60"/>
      <x:c r="J212" s="60"/>
      <x:c r="K212" s="60"/>
      <x:c r="L212" s="104"/>
      <x:c r="M212" s="1"/>
      <x:c r="N212" s="1"/>
      <x:c r="O212" s="1"/>
    </x:row>
    <x:row r="213">
      <x:c r="A213" s="103"/>
      <x:c r="B213" s="60"/>
      <x:c r="C213" s="60"/>
      <x:c r="D213" s="60"/>
      <x:c r="E213" s="60"/>
      <x:c r="F213" s="84"/>
      <x:c r="G213" s="84"/>
      <x:c r="H213" s="65"/>
      <x:c r="I213" s="60"/>
      <x:c r="J213" s="60"/>
      <x:c r="K213" s="60"/>
      <x:c r="L213" s="104"/>
      <x:c r="M213" s="1"/>
      <x:c r="N213" s="1"/>
      <x:c r="O213" s="1"/>
    </x:row>
    <x:row r="214">
      <x:c r="A214" s="103"/>
      <x:c r="B214" s="60"/>
      <x:c r="C214" s="60"/>
      <x:c r="D214" s="60"/>
      <x:c r="E214" s="60"/>
      <x:c r="F214" s="84"/>
      <x:c r="G214" s="84"/>
      <x:c r="H214" s="65"/>
      <x:c r="I214" s="60"/>
      <x:c r="J214" s="60"/>
      <x:c r="K214" s="60"/>
      <x:c r="L214" s="104"/>
      <x:c r="M214" s="1"/>
      <x:c r="N214" s="1"/>
      <x:c r="O214" s="1"/>
    </x:row>
    <x:row r="215">
      <x:c r="A215" s="103"/>
      <x:c r="B215" s="60"/>
      <x:c r="C215" s="60"/>
      <x:c r="D215" s="60"/>
      <x:c r="E215" s="60"/>
      <x:c r="F215" s="84"/>
      <x:c r="G215" s="84"/>
      <x:c r="H215" s="65"/>
      <x:c r="I215" s="60"/>
      <x:c r="J215" s="60"/>
      <x:c r="K215" s="60"/>
      <x:c r="L215" s="104"/>
      <x:c r="M215" s="1"/>
      <x:c r="N215" s="1"/>
      <x:c r="O215" s="1"/>
    </x:row>
    <x:row r="216">
      <x:c r="A216" s="103"/>
      <x:c r="B216" s="60"/>
      <x:c r="C216" s="60"/>
      <x:c r="D216" s="60"/>
      <x:c r="E216" s="60"/>
      <x:c r="F216" s="84"/>
      <x:c r="G216" s="84"/>
      <x:c r="H216" s="65"/>
      <x:c r="I216" s="60"/>
      <x:c r="J216" s="60"/>
      <x:c r="K216" s="60"/>
      <x:c r="L216" s="104"/>
      <x:c r="M216" s="1"/>
      <x:c r="N216" s="1"/>
      <x:c r="O216" s="1"/>
    </x:row>
    <x:row r="217">
      <x:c r="A217" s="103"/>
      <x:c r="B217" s="60"/>
      <x:c r="C217" s="60"/>
      <x:c r="D217" s="60"/>
      <x:c r="E217" s="60"/>
      <x:c r="F217" s="84"/>
      <x:c r="G217" s="84"/>
      <x:c r="H217" s="65"/>
      <x:c r="I217" s="60"/>
      <x:c r="J217" s="60"/>
      <x:c r="K217" s="60"/>
      <x:c r="L217" s="104"/>
      <x:c r="M217" s="1"/>
      <x:c r="N217" s="1"/>
      <x:c r="O217" s="1"/>
    </x:row>
    <x:row r="218">
      <x:c r="A218" s="103"/>
      <x:c r="B218" s="60"/>
      <x:c r="C218" s="60"/>
      <x:c r="D218" s="60"/>
      <x:c r="E218" s="60"/>
      <x:c r="F218" s="84"/>
      <x:c r="G218" s="84"/>
      <x:c r="H218" s="65"/>
      <x:c r="I218" s="60"/>
      <x:c r="J218" s="60"/>
      <x:c r="K218" s="60"/>
      <x:c r="L218" s="104"/>
      <x:c r="M218" s="1"/>
      <x:c r="N218" s="1"/>
      <x:c r="O218" s="1"/>
    </x:row>
    <x:row r="219">
      <x:c r="A219" s="103"/>
      <x:c r="B219" s="60"/>
      <x:c r="C219" s="60"/>
      <x:c r="D219" s="60"/>
      <x:c r="E219" s="60"/>
      <x:c r="F219" s="84"/>
      <x:c r="G219" s="84"/>
      <x:c r="H219" s="65"/>
      <x:c r="I219" s="60"/>
      <x:c r="J219" s="60"/>
      <x:c r="K219" s="60"/>
      <x:c r="L219" s="104"/>
      <x:c r="M219" s="1"/>
      <x:c r="N219" s="1"/>
      <x:c r="O219" s="1"/>
    </x:row>
    <x:row r="220">
      <x:c r="A220" s="103"/>
      <x:c r="B220" s="60"/>
      <x:c r="C220" s="60"/>
      <x:c r="D220" s="60"/>
      <x:c r="E220" s="60"/>
      <x:c r="F220" s="84"/>
      <x:c r="G220" s="84"/>
      <x:c r="H220" s="65"/>
      <x:c r="I220" s="60"/>
      <x:c r="J220" s="60"/>
      <x:c r="K220" s="60"/>
      <x:c r="L220" s="104"/>
      <x:c r="M220" s="1"/>
      <x:c r="N220" s="1"/>
      <x:c r="O220" s="1"/>
    </x:row>
    <x:row r="221">
      <x:c r="A221" s="103"/>
      <x:c r="B221" s="60"/>
      <x:c r="C221" s="60"/>
      <x:c r="D221" s="60"/>
      <x:c r="E221" s="60"/>
      <x:c r="F221" s="84"/>
      <x:c r="G221" s="84"/>
      <x:c r="H221" s="65"/>
      <x:c r="I221" s="60"/>
      <x:c r="J221" s="60"/>
      <x:c r="K221" s="60"/>
      <x:c r="L221" s="104"/>
      <x:c r="M221" s="1"/>
      <x:c r="N221" s="1"/>
      <x:c r="O221" s="1"/>
    </x:row>
    <x:row r="222">
      <x:c r="A222" s="103"/>
      <x:c r="B222" s="60"/>
      <x:c r="C222" s="60"/>
      <x:c r="D222" s="60"/>
      <x:c r="E222" s="60"/>
      <x:c r="F222" s="84"/>
      <x:c r="G222" s="84"/>
      <x:c r="H222" s="65"/>
      <x:c r="I222" s="60"/>
      <x:c r="J222" s="60"/>
      <x:c r="K222" s="60"/>
      <x:c r="L222" s="104"/>
      <x:c r="M222" s="1"/>
      <x:c r="N222" s="1"/>
      <x:c r="O222" s="1"/>
    </x:row>
    <x:row r="223">
      <x:c r="A223" s="103"/>
      <x:c r="B223" s="60"/>
      <x:c r="C223" s="60"/>
      <x:c r="D223" s="60"/>
      <x:c r="E223" s="60"/>
      <x:c r="F223" s="84"/>
      <x:c r="G223" s="84"/>
      <x:c r="H223" s="65"/>
      <x:c r="I223" s="60"/>
      <x:c r="J223" s="60"/>
      <x:c r="K223" s="60"/>
      <x:c r="L223" s="104"/>
      <x:c r="M223" s="1"/>
      <x:c r="N223" s="1"/>
      <x:c r="O223" s="1"/>
    </x:row>
    <x:row r="224">
      <x:c r="A224" s="103"/>
      <x:c r="B224" s="60"/>
      <x:c r="C224" s="60"/>
      <x:c r="D224" s="60"/>
      <x:c r="E224" s="60"/>
      <x:c r="F224" s="84"/>
      <x:c r="G224" s="84"/>
      <x:c r="H224" s="65"/>
      <x:c r="I224" s="60"/>
      <x:c r="J224" s="60"/>
      <x:c r="K224" s="60"/>
      <x:c r="L224" s="104"/>
      <x:c r="M224" s="1"/>
      <x:c r="N224" s="1"/>
      <x:c r="O224" s="1"/>
    </x:row>
    <x:row r="225">
      <x:c r="A225" s="103"/>
      <x:c r="B225" s="60"/>
      <x:c r="C225" s="60"/>
      <x:c r="D225" s="60"/>
      <x:c r="E225" s="60"/>
      <x:c r="F225" s="84"/>
      <x:c r="G225" s="84"/>
      <x:c r="H225" s="65"/>
      <x:c r="I225" s="60"/>
      <x:c r="J225" s="60"/>
      <x:c r="K225" s="60"/>
      <x:c r="L225" s="104"/>
      <x:c r="M225" s="1"/>
      <x:c r="N225" s="1"/>
      <x:c r="O225" s="1"/>
    </x:row>
    <x:row r="226">
      <x:c r="A226" s="103"/>
      <x:c r="B226" s="60"/>
      <x:c r="C226" s="60"/>
      <x:c r="D226" s="60"/>
      <x:c r="E226" s="60"/>
      <x:c r="F226" s="84"/>
      <x:c r="G226" s="84"/>
      <x:c r="H226" s="65"/>
      <x:c r="I226" s="60"/>
      <x:c r="J226" s="60"/>
      <x:c r="K226" s="60"/>
      <x:c r="L226" s="104"/>
      <x:c r="M226" s="1"/>
      <x:c r="N226" s="1"/>
      <x:c r="O226" s="1"/>
    </x:row>
    <x:row r="227">
      <x:c r="A227" s="103"/>
      <x:c r="B227" s="60"/>
      <x:c r="C227" s="60"/>
      <x:c r="D227" s="60"/>
      <x:c r="E227" s="60"/>
      <x:c r="F227" s="84"/>
      <x:c r="G227" s="84"/>
      <x:c r="H227" s="65"/>
      <x:c r="I227" s="60"/>
      <x:c r="J227" s="60"/>
      <x:c r="K227" s="60"/>
      <x:c r="L227" s="104"/>
      <x:c r="M227" s="1"/>
      <x:c r="N227" s="1"/>
      <x:c r="O227" s="1"/>
    </x:row>
    <x:row r="228">
      <x:c r="A228" s="103"/>
      <x:c r="B228" s="60"/>
      <x:c r="C228" s="60"/>
      <x:c r="D228" s="60"/>
      <x:c r="E228" s="60"/>
      <x:c r="F228" s="84"/>
      <x:c r="G228" s="84"/>
      <x:c r="H228" s="65"/>
      <x:c r="I228" s="60"/>
      <x:c r="J228" s="60"/>
      <x:c r="K228" s="60"/>
      <x:c r="L228" s="104"/>
      <x:c r="M228" s="1"/>
      <x:c r="N228" s="1"/>
      <x:c r="O228" s="1"/>
    </x:row>
    <x:row r="229">
      <x:c r="A229" s="103"/>
      <x:c r="B229" s="60"/>
      <x:c r="C229" s="60"/>
      <x:c r="D229" s="60"/>
      <x:c r="E229" s="60"/>
      <x:c r="F229" s="84"/>
      <x:c r="G229" s="84"/>
      <x:c r="H229" s="65"/>
      <x:c r="I229" s="60"/>
      <x:c r="J229" s="60"/>
      <x:c r="K229" s="60"/>
      <x:c r="L229" s="104"/>
      <x:c r="M229" s="1"/>
      <x:c r="N229" s="1"/>
      <x:c r="O229" s="1"/>
    </x:row>
    <x:row r="230">
      <x:c r="A230" s="103"/>
      <x:c r="B230" s="60"/>
      <x:c r="C230" s="60"/>
      <x:c r="D230" s="60"/>
      <x:c r="E230" s="60"/>
      <x:c r="F230" s="84"/>
      <x:c r="G230" s="84"/>
      <x:c r="H230" s="65"/>
      <x:c r="I230" s="60"/>
      <x:c r="J230" s="60"/>
      <x:c r="K230" s="60"/>
      <x:c r="L230" s="104"/>
      <x:c r="M230" s="1"/>
      <x:c r="N230" s="1"/>
      <x:c r="O230" s="1"/>
    </x:row>
    <x:row r="231">
      <x:c r="A231" s="103"/>
      <x:c r="B231" s="60"/>
      <x:c r="C231" s="60"/>
      <x:c r="D231" s="60"/>
      <x:c r="E231" s="60"/>
      <x:c r="F231" s="84"/>
      <x:c r="G231" s="84"/>
      <x:c r="H231" s="65"/>
      <x:c r="I231" s="60"/>
      <x:c r="J231" s="60"/>
      <x:c r="K231" s="60"/>
      <x:c r="L231" s="104"/>
      <x:c r="M231" s="1"/>
      <x:c r="N231" s="1"/>
      <x:c r="O231" s="1"/>
    </x:row>
    <x:row r="232">
      <x:c r="A232" s="103"/>
      <x:c r="B232" s="60"/>
      <x:c r="C232" s="60"/>
      <x:c r="D232" s="60"/>
      <x:c r="E232" s="60"/>
      <x:c r="F232" s="84"/>
      <x:c r="G232" s="84"/>
      <x:c r="H232" s="65"/>
      <x:c r="I232" s="60"/>
      <x:c r="J232" s="60"/>
      <x:c r="K232" s="60"/>
      <x:c r="L232" s="104"/>
      <x:c r="M232" s="1"/>
      <x:c r="N232" s="1"/>
      <x:c r="O232" s="1"/>
    </x:row>
    <x:row r="233">
      <x:c r="A233" s="103"/>
      <x:c r="B233" s="60"/>
      <x:c r="C233" s="60"/>
      <x:c r="D233" s="60"/>
      <x:c r="E233" s="60"/>
      <x:c r="F233" s="84"/>
      <x:c r="G233" s="84"/>
      <x:c r="H233" s="65"/>
      <x:c r="I233" s="60"/>
      <x:c r="J233" s="60"/>
      <x:c r="K233" s="60"/>
      <x:c r="L233" s="104"/>
      <x:c r="M233" s="1"/>
      <x:c r="N233" s="1"/>
      <x:c r="O233" s="1"/>
    </x:row>
    <x:row r="234">
      <x:c r="A234" s="103"/>
      <x:c r="B234" s="60"/>
      <x:c r="C234" s="60"/>
      <x:c r="D234" s="60"/>
      <x:c r="E234" s="60"/>
      <x:c r="F234" s="84"/>
      <x:c r="G234" s="84"/>
      <x:c r="H234" s="65"/>
      <x:c r="I234" s="60"/>
      <x:c r="J234" s="60"/>
      <x:c r="K234" s="60"/>
      <x:c r="L234" s="104"/>
      <x:c r="M234" s="1"/>
      <x:c r="N234" s="1"/>
      <x:c r="O234" s="1"/>
    </x:row>
    <x:row r="235">
      <x:c r="A235" s="103"/>
      <x:c r="B235" s="60"/>
      <x:c r="C235" s="60"/>
      <x:c r="D235" s="60"/>
      <x:c r="E235" s="60"/>
      <x:c r="F235" s="84"/>
      <x:c r="G235" s="84"/>
      <x:c r="H235" s="65"/>
      <x:c r="I235" s="60"/>
      <x:c r="J235" s="60"/>
      <x:c r="K235" s="60"/>
      <x:c r="L235" s="104"/>
      <x:c r="M235" s="1"/>
      <x:c r="N235" s="1"/>
      <x:c r="O235" s="1"/>
    </x:row>
    <x:row r="236">
      <x:c r="A236" s="103"/>
      <x:c r="B236" s="60"/>
      <x:c r="C236" s="60"/>
      <x:c r="D236" s="60"/>
      <x:c r="E236" s="60"/>
      <x:c r="F236" s="84"/>
      <x:c r="G236" s="84"/>
      <x:c r="H236" s="65"/>
      <x:c r="I236" s="60"/>
      <x:c r="J236" s="60"/>
      <x:c r="K236" s="60"/>
      <x:c r="L236" s="104"/>
      <x:c r="M236" s="1"/>
      <x:c r="N236" s="1"/>
      <x:c r="O236" s="1"/>
    </x:row>
    <x:row r="237">
      <x:c r="A237" s="103"/>
      <x:c r="B237" s="60"/>
      <x:c r="C237" s="60"/>
      <x:c r="D237" s="60"/>
      <x:c r="E237" s="60"/>
      <x:c r="F237" s="84"/>
      <x:c r="G237" s="84"/>
      <x:c r="H237" s="65"/>
      <x:c r="I237" s="60"/>
      <x:c r="J237" s="60"/>
      <x:c r="K237" s="60"/>
      <x:c r="L237" s="104"/>
      <x:c r="M237" s="1"/>
      <x:c r="N237" s="1"/>
      <x:c r="O237" s="1"/>
    </x:row>
    <x:row r="238">
      <x:c r="A238" s="103"/>
      <x:c r="B238" s="60"/>
      <x:c r="C238" s="60"/>
      <x:c r="D238" s="60"/>
      <x:c r="E238" s="60"/>
      <x:c r="F238" s="84"/>
      <x:c r="G238" s="84"/>
      <x:c r="H238" s="65"/>
      <x:c r="I238" s="60"/>
      <x:c r="J238" s="60"/>
      <x:c r="K238" s="60"/>
      <x:c r="L238" s="104"/>
      <x:c r="M238" s="1"/>
      <x:c r="N238" s="1"/>
      <x:c r="O238" s="1"/>
    </x:row>
    <x:row r="239">
      <x:c r="A239" s="103"/>
      <x:c r="B239" s="60"/>
      <x:c r="C239" s="60"/>
      <x:c r="D239" s="60"/>
      <x:c r="E239" s="60"/>
      <x:c r="F239" s="84"/>
      <x:c r="G239" s="84"/>
      <x:c r="H239" s="65"/>
      <x:c r="I239" s="60"/>
      <x:c r="J239" s="60"/>
      <x:c r="K239" s="60"/>
      <x:c r="L239" s="104"/>
      <x:c r="M239" s="1"/>
      <x:c r="N239" s="1"/>
      <x:c r="O239" s="1"/>
    </x:row>
    <x:row r="240">
      <x:c r="A240" s="103"/>
      <x:c r="B240" s="60"/>
      <x:c r="C240" s="60"/>
      <x:c r="D240" s="60"/>
      <x:c r="E240" s="60"/>
      <x:c r="F240" s="84"/>
      <x:c r="G240" s="84"/>
      <x:c r="H240" s="65"/>
      <x:c r="I240" s="60"/>
      <x:c r="J240" s="60"/>
      <x:c r="K240" s="60"/>
      <x:c r="L240" s="104"/>
      <x:c r="M240" s="1"/>
      <x:c r="N240" s="1"/>
      <x:c r="O240" s="1"/>
    </x:row>
    <x:row r="241">
      <x:c r="A241" s="103"/>
      <x:c r="B241" s="60"/>
      <x:c r="C241" s="60"/>
      <x:c r="D241" s="60"/>
      <x:c r="E241" s="60"/>
      <x:c r="F241" s="84"/>
      <x:c r="G241" s="84"/>
      <x:c r="H241" s="65"/>
      <x:c r="I241" s="60"/>
      <x:c r="J241" s="60"/>
      <x:c r="K241" s="60"/>
      <x:c r="L241" s="104"/>
      <x:c r="M241" s="1"/>
      <x:c r="N241" s="1"/>
      <x:c r="O241" s="1"/>
    </x:row>
    <x:row r="242">
      <x:c r="A242" s="103"/>
      <x:c r="B242" s="60"/>
      <x:c r="C242" s="60"/>
      <x:c r="D242" s="60"/>
      <x:c r="E242" s="60"/>
      <x:c r="F242" s="84"/>
      <x:c r="G242" s="84"/>
      <x:c r="H242" s="65"/>
      <x:c r="I242" s="60"/>
      <x:c r="J242" s="60"/>
      <x:c r="K242" s="60"/>
      <x:c r="L242" s="104"/>
      <x:c r="M242" s="1"/>
      <x:c r="N242" s="1"/>
      <x:c r="O242" s="1"/>
    </x:row>
    <x:row r="243">
      <x:c r="A243" s="103"/>
      <x:c r="B243" s="60"/>
      <x:c r="C243" s="60"/>
      <x:c r="D243" s="60"/>
      <x:c r="E243" s="60"/>
      <x:c r="F243" s="84"/>
      <x:c r="G243" s="84"/>
      <x:c r="H243" s="65"/>
      <x:c r="I243" s="60"/>
      <x:c r="J243" s="60"/>
      <x:c r="K243" s="60"/>
      <x:c r="L243" s="104"/>
      <x:c r="M243" s="1"/>
      <x:c r="N243" s="1"/>
      <x:c r="O243" s="1"/>
    </x:row>
    <x:row r="244">
      <x:c r="A244" s="103"/>
      <x:c r="B244" s="60"/>
      <x:c r="C244" s="60"/>
      <x:c r="D244" s="60"/>
      <x:c r="E244" s="60"/>
      <x:c r="F244" s="84"/>
      <x:c r="G244" s="84"/>
      <x:c r="H244" s="65"/>
      <x:c r="I244" s="60"/>
      <x:c r="J244" s="60"/>
      <x:c r="K244" s="60"/>
      <x:c r="L244" s="104"/>
      <x:c r="M244" s="1"/>
      <x:c r="N244" s="1"/>
      <x:c r="O244" s="1"/>
    </x:row>
    <x:row r="245">
      <x:c r="A245" s="103"/>
      <x:c r="B245" s="60"/>
      <x:c r="C245" s="60"/>
      <x:c r="D245" s="60"/>
      <x:c r="E245" s="60"/>
      <x:c r="F245" s="84"/>
      <x:c r="G245" s="84"/>
      <x:c r="H245" s="65"/>
      <x:c r="I245" s="60"/>
      <x:c r="J245" s="60"/>
      <x:c r="K245" s="60"/>
      <x:c r="L245" s="104"/>
      <x:c r="M245" s="1"/>
      <x:c r="N245" s="1"/>
      <x:c r="O245" s="1"/>
    </x:row>
    <x:row r="246">
      <x:c r="A246" s="103"/>
      <x:c r="B246" s="60"/>
      <x:c r="C246" s="60"/>
      <x:c r="D246" s="60"/>
      <x:c r="E246" s="60"/>
      <x:c r="F246" s="84"/>
      <x:c r="G246" s="84"/>
      <x:c r="H246" s="65"/>
      <x:c r="I246" s="60"/>
      <x:c r="J246" s="60"/>
      <x:c r="K246" s="60"/>
      <x:c r="L246" s="104"/>
      <x:c r="M246" s="1"/>
      <x:c r="N246" s="1"/>
      <x:c r="O246" s="1"/>
    </x:row>
    <x:row r="247">
      <x:c r="A247" s="103"/>
      <x:c r="B247" s="60"/>
      <x:c r="C247" s="60"/>
      <x:c r="D247" s="60"/>
      <x:c r="E247" s="60"/>
      <x:c r="F247" s="84"/>
      <x:c r="G247" s="84"/>
      <x:c r="H247" s="65"/>
      <x:c r="I247" s="60"/>
      <x:c r="J247" s="60"/>
      <x:c r="K247" s="60"/>
      <x:c r="L247" s="104"/>
      <x:c r="M247" s="1"/>
      <x:c r="N247" s="1"/>
      <x:c r="O247" s="1"/>
    </x:row>
    <x:row r="248">
      <x:c r="A248" s="103"/>
      <x:c r="B248" s="60"/>
      <x:c r="C248" s="60"/>
      <x:c r="D248" s="60"/>
      <x:c r="E248" s="60"/>
      <x:c r="F248" s="84"/>
      <x:c r="G248" s="84"/>
      <x:c r="H248" s="65"/>
      <x:c r="I248" s="60"/>
      <x:c r="J248" s="60"/>
      <x:c r="K248" s="60"/>
      <x:c r="L248" s="104"/>
      <x:c r="M248" s="1"/>
      <x:c r="N248" s="1"/>
      <x:c r="O248" s="1"/>
    </x:row>
    <x:row r="249">
      <x:c r="A249" s="103"/>
      <x:c r="B249" s="60"/>
      <x:c r="C249" s="60"/>
      <x:c r="D249" s="60"/>
      <x:c r="E249" s="60"/>
      <x:c r="F249" s="84"/>
      <x:c r="G249" s="84"/>
      <x:c r="H249" s="65"/>
      <x:c r="I249" s="60"/>
      <x:c r="J249" s="60"/>
      <x:c r="K249" s="60"/>
      <x:c r="L249" s="104"/>
      <x:c r="M249" s="1"/>
      <x:c r="N249" s="1"/>
      <x:c r="O249" s="1"/>
    </x:row>
    <x:row r="250">
      <x:c r="A250" s="103"/>
      <x:c r="B250" s="60"/>
      <x:c r="C250" s="60"/>
      <x:c r="D250" s="60"/>
      <x:c r="E250" s="60"/>
      <x:c r="F250" s="84"/>
      <x:c r="G250" s="84"/>
      <x:c r="H250" s="65"/>
      <x:c r="I250" s="60"/>
      <x:c r="J250" s="60"/>
      <x:c r="K250" s="60"/>
      <x:c r="L250" s="104"/>
      <x:c r="M250" s="1"/>
      <x:c r="N250" s="1"/>
      <x:c r="O250" s="1"/>
    </x:row>
    <x:row r="251">
      <x:c r="A251" s="103"/>
      <x:c r="B251" s="60"/>
      <x:c r="C251" s="60"/>
      <x:c r="D251" s="60"/>
      <x:c r="E251" s="60"/>
      <x:c r="F251" s="84"/>
      <x:c r="G251" s="84"/>
      <x:c r="H251" s="65"/>
      <x:c r="I251" s="60"/>
      <x:c r="J251" s="60"/>
      <x:c r="K251" s="60"/>
      <x:c r="L251" s="104"/>
      <x:c r="M251" s="1"/>
      <x:c r="N251" s="1"/>
      <x:c r="O251" s="1"/>
    </x:row>
    <x:row r="252">
      <x:c r="A252" s="103"/>
      <x:c r="B252" s="60"/>
      <x:c r="C252" s="60"/>
      <x:c r="D252" s="60"/>
      <x:c r="E252" s="60"/>
      <x:c r="F252" s="84"/>
      <x:c r="G252" s="84"/>
      <x:c r="H252" s="65"/>
      <x:c r="I252" s="60"/>
      <x:c r="J252" s="60"/>
      <x:c r="K252" s="60"/>
      <x:c r="L252" s="104"/>
      <x:c r="M252" s="1"/>
      <x:c r="N252" s="1"/>
      <x:c r="O252" s="1"/>
    </x:row>
    <x:row r="253">
      <x:c r="A253" s="103"/>
      <x:c r="B253" s="60"/>
      <x:c r="C253" s="60"/>
      <x:c r="D253" s="60"/>
      <x:c r="E253" s="60"/>
      <x:c r="F253" s="84"/>
      <x:c r="G253" s="84"/>
      <x:c r="H253" s="65"/>
      <x:c r="I253" s="60"/>
      <x:c r="J253" s="60"/>
      <x:c r="K253" s="60"/>
      <x:c r="L253" s="104"/>
      <x:c r="M253" s="1"/>
      <x:c r="N253" s="1"/>
      <x:c r="O253" s="1"/>
    </x:row>
    <x:row r="254">
      <x:c r="A254" s="103"/>
      <x:c r="B254" s="60"/>
      <x:c r="C254" s="60"/>
      <x:c r="D254" s="60"/>
      <x:c r="E254" s="60"/>
      <x:c r="F254" s="84"/>
      <x:c r="G254" s="84"/>
      <x:c r="H254" s="65"/>
      <x:c r="I254" s="60"/>
      <x:c r="J254" s="60"/>
      <x:c r="K254" s="60"/>
      <x:c r="L254" s="104"/>
      <x:c r="M254" s="1"/>
      <x:c r="N254" s="1"/>
      <x:c r="O254" s="1"/>
    </x:row>
    <x:row r="255">
      <x:c r="A255" s="103"/>
      <x:c r="B255" s="60"/>
      <x:c r="C255" s="60"/>
      <x:c r="D255" s="60"/>
      <x:c r="E255" s="60"/>
      <x:c r="F255" s="84"/>
      <x:c r="G255" s="84"/>
      <x:c r="H255" s="65"/>
      <x:c r="I255" s="60"/>
      <x:c r="J255" s="60"/>
      <x:c r="K255" s="60"/>
      <x:c r="L255" s="104"/>
      <x:c r="M255" s="1"/>
      <x:c r="N255" s="1"/>
      <x:c r="O255" s="1"/>
    </x:row>
    <x:row r="256">
      <x:c r="A256" s="103"/>
      <x:c r="B256" s="60"/>
      <x:c r="C256" s="60"/>
      <x:c r="D256" s="60"/>
      <x:c r="E256" s="60"/>
      <x:c r="F256" s="84"/>
      <x:c r="G256" s="84"/>
      <x:c r="H256" s="65"/>
      <x:c r="I256" s="60"/>
      <x:c r="J256" s="60"/>
      <x:c r="K256" s="60"/>
      <x:c r="L256" s="104"/>
      <x:c r="M256" s="1"/>
      <x:c r="N256" s="1"/>
      <x:c r="O256" s="1"/>
    </x:row>
    <x:row r="257">
      <x:c r="A257" s="103"/>
      <x:c r="B257" s="60"/>
      <x:c r="C257" s="60"/>
      <x:c r="D257" s="60"/>
      <x:c r="E257" s="60"/>
      <x:c r="F257" s="84"/>
      <x:c r="G257" s="84"/>
      <x:c r="H257" s="65"/>
      <x:c r="I257" s="60"/>
      <x:c r="J257" s="60"/>
      <x:c r="K257" s="60"/>
      <x:c r="L257" s="104"/>
      <x:c r="M257" s="1"/>
      <x:c r="N257" s="1"/>
      <x:c r="O257" s="1"/>
    </x:row>
    <x:row r="258">
      <x:c r="A258" s="103"/>
      <x:c r="B258" s="60"/>
      <x:c r="C258" s="60"/>
      <x:c r="D258" s="60"/>
      <x:c r="E258" s="60"/>
      <x:c r="F258" s="84"/>
      <x:c r="G258" s="84"/>
      <x:c r="H258" s="65"/>
      <x:c r="I258" s="60"/>
      <x:c r="J258" s="60"/>
      <x:c r="K258" s="60"/>
      <x:c r="L258" s="104"/>
      <x:c r="M258" s="1"/>
      <x:c r="N258" s="1"/>
      <x:c r="O258" s="1"/>
    </x:row>
    <x:row r="259">
      <x:c r="A259" s="103"/>
      <x:c r="B259" s="60"/>
      <x:c r="C259" s="60"/>
      <x:c r="D259" s="60"/>
      <x:c r="E259" s="60"/>
      <x:c r="F259" s="84"/>
      <x:c r="G259" s="84"/>
      <x:c r="H259" s="65"/>
      <x:c r="I259" s="60"/>
      <x:c r="J259" s="60"/>
      <x:c r="K259" s="60"/>
      <x:c r="L259" s="104"/>
      <x:c r="M259" s="1"/>
      <x:c r="N259" s="1"/>
      <x:c r="O259" s="1"/>
    </x:row>
    <x:row r="260">
      <x:c r="A260" s="103"/>
      <x:c r="B260" s="60"/>
      <x:c r="C260" s="60"/>
      <x:c r="D260" s="60"/>
      <x:c r="E260" s="60"/>
      <x:c r="F260" s="84"/>
      <x:c r="G260" s="84"/>
      <x:c r="H260" s="65"/>
      <x:c r="I260" s="60"/>
      <x:c r="J260" s="60"/>
      <x:c r="K260" s="60"/>
      <x:c r="L260" s="104"/>
      <x:c r="M260" s="1"/>
      <x:c r="N260" s="1"/>
      <x:c r="O260" s="1"/>
    </x:row>
    <x:row r="261">
      <x:c r="A261" s="103"/>
      <x:c r="B261" s="60"/>
      <x:c r="C261" s="60"/>
      <x:c r="D261" s="60"/>
      <x:c r="E261" s="60"/>
      <x:c r="F261" s="84"/>
      <x:c r="G261" s="84"/>
      <x:c r="H261" s="65"/>
      <x:c r="I261" s="60"/>
      <x:c r="J261" s="60"/>
      <x:c r="K261" s="60"/>
      <x:c r="L261" s="104"/>
      <x:c r="M261" s="1"/>
      <x:c r="N261" s="1"/>
      <x:c r="O261" s="1"/>
    </x:row>
    <x:row r="262">
      <x:c r="A262" s="103"/>
      <x:c r="B262" s="60"/>
      <x:c r="C262" s="60"/>
      <x:c r="D262" s="60"/>
      <x:c r="E262" s="60"/>
      <x:c r="F262" s="84"/>
      <x:c r="G262" s="84"/>
      <x:c r="H262" s="65"/>
      <x:c r="I262" s="60"/>
      <x:c r="J262" s="60"/>
      <x:c r="K262" s="60"/>
      <x:c r="L262" s="104"/>
      <x:c r="M262" s="1"/>
      <x:c r="N262" s="1"/>
      <x:c r="O262" s="1"/>
    </x:row>
    <x:row r="263">
      <x:c r="A263" s="103"/>
      <x:c r="B263" s="60"/>
      <x:c r="C263" s="60"/>
      <x:c r="D263" s="60"/>
      <x:c r="E263" s="60"/>
      <x:c r="F263" s="84"/>
      <x:c r="G263" s="84"/>
      <x:c r="H263" s="65"/>
      <x:c r="I263" s="60"/>
      <x:c r="J263" s="60"/>
      <x:c r="K263" s="60"/>
      <x:c r="L263" s="104"/>
      <x:c r="M263" s="1"/>
      <x:c r="N263" s="1"/>
      <x:c r="O263" s="1"/>
    </x:row>
    <x:row r="264">
      <x:c r="A264" s="103"/>
      <x:c r="B264" s="60"/>
      <x:c r="C264" s="60"/>
      <x:c r="D264" s="60"/>
      <x:c r="E264" s="60"/>
      <x:c r="F264" s="84"/>
      <x:c r="G264" s="84"/>
      <x:c r="H264" s="65"/>
      <x:c r="I264" s="60"/>
      <x:c r="J264" s="60"/>
      <x:c r="K264" s="60"/>
      <x:c r="L264" s="104"/>
      <x:c r="M264" s="1"/>
      <x:c r="N264" s="1"/>
      <x:c r="O264" s="1"/>
    </x:row>
    <x:row r="265">
      <x:c r="A265" s="103"/>
      <x:c r="B265" s="60"/>
      <x:c r="C265" s="60"/>
      <x:c r="D265" s="60"/>
      <x:c r="E265" s="60"/>
      <x:c r="F265" s="84"/>
      <x:c r="G265" s="84"/>
      <x:c r="H265" s="65"/>
      <x:c r="I265" s="60"/>
      <x:c r="J265" s="60"/>
      <x:c r="K265" s="60"/>
      <x:c r="L265" s="104"/>
      <x:c r="M265" s="1"/>
      <x:c r="N265" s="1"/>
      <x:c r="O265" s="1"/>
    </x:row>
    <x:row r="266">
      <x:c r="A266" s="103"/>
      <x:c r="B266" s="60"/>
      <x:c r="C266" s="60"/>
      <x:c r="D266" s="60"/>
      <x:c r="E266" s="60"/>
      <x:c r="F266" s="84"/>
      <x:c r="G266" s="84"/>
      <x:c r="H266" s="65"/>
      <x:c r="I266" s="60"/>
      <x:c r="J266" s="60"/>
      <x:c r="K266" s="60"/>
      <x:c r="L266" s="104"/>
      <x:c r="M266" s="1"/>
      <x:c r="N266" s="1"/>
      <x:c r="O266" s="1"/>
    </x:row>
    <x:row r="267">
      <x:c r="A267" s="103"/>
      <x:c r="B267" s="60"/>
      <x:c r="C267" s="60"/>
      <x:c r="D267" s="60"/>
      <x:c r="E267" s="60"/>
      <x:c r="F267" s="84"/>
      <x:c r="G267" s="84"/>
      <x:c r="H267" s="65"/>
      <x:c r="I267" s="60"/>
      <x:c r="J267" s="60"/>
      <x:c r="K267" s="60"/>
      <x:c r="L267" s="104"/>
      <x:c r="M267" s="1"/>
      <x:c r="N267" s="1"/>
      <x:c r="O267" s="1"/>
    </x:row>
    <x:row r="268">
      <x:c r="A268" s="103"/>
      <x:c r="B268" s="60"/>
      <x:c r="C268" s="60"/>
      <x:c r="D268" s="60"/>
      <x:c r="E268" s="60"/>
      <x:c r="F268" s="84"/>
      <x:c r="G268" s="84"/>
      <x:c r="H268" s="65"/>
      <x:c r="I268" s="60"/>
      <x:c r="J268" s="60"/>
      <x:c r="K268" s="60"/>
      <x:c r="L268" s="104"/>
      <x:c r="M268" s="1"/>
      <x:c r="N268" s="1"/>
      <x:c r="O268" s="1"/>
    </x:row>
    <x:row r="269">
      <x:c r="A269" s="103"/>
      <x:c r="B269" s="60"/>
      <x:c r="C269" s="60"/>
      <x:c r="D269" s="60"/>
      <x:c r="E269" s="60"/>
      <x:c r="F269" s="84"/>
      <x:c r="G269" s="84"/>
      <x:c r="H269" s="65"/>
      <x:c r="I269" s="60"/>
      <x:c r="J269" s="60"/>
      <x:c r="K269" s="60"/>
      <x:c r="L269" s="104"/>
      <x:c r="M269" s="1"/>
      <x:c r="N269" s="1"/>
      <x:c r="O269" s="1"/>
    </x:row>
    <x:row r="270">
      <x:c r="A270" s="103"/>
      <x:c r="B270" s="60"/>
      <x:c r="C270" s="60"/>
      <x:c r="D270" s="60"/>
      <x:c r="E270" s="60"/>
      <x:c r="F270" s="84"/>
      <x:c r="G270" s="84"/>
      <x:c r="H270" s="65"/>
      <x:c r="I270" s="60"/>
      <x:c r="J270" s="60"/>
      <x:c r="K270" s="60"/>
      <x:c r="L270" s="104"/>
      <x:c r="M270" s="1"/>
      <x:c r="N270" s="1"/>
      <x:c r="O270" s="1"/>
    </x:row>
    <x:row r="271">
      <x:c r="A271" s="103"/>
      <x:c r="B271" s="60"/>
      <x:c r="C271" s="60"/>
      <x:c r="D271" s="60"/>
      <x:c r="E271" s="60"/>
      <x:c r="F271" s="84"/>
      <x:c r="G271" s="84"/>
      <x:c r="H271" s="65"/>
      <x:c r="I271" s="60"/>
      <x:c r="J271" s="60"/>
      <x:c r="K271" s="60"/>
      <x:c r="L271" s="104"/>
      <x:c r="M271" s="1"/>
      <x:c r="N271" s="1"/>
      <x:c r="O271" s="1"/>
    </x:row>
    <x:row r="272">
      <x:c r="A272" s="103"/>
      <x:c r="B272" s="60"/>
      <x:c r="C272" s="60"/>
      <x:c r="D272" s="60"/>
      <x:c r="E272" s="60"/>
      <x:c r="F272" s="84"/>
      <x:c r="G272" s="84"/>
      <x:c r="H272" s="65"/>
      <x:c r="I272" s="60"/>
      <x:c r="J272" s="60"/>
      <x:c r="K272" s="60"/>
      <x:c r="L272" s="104"/>
      <x:c r="M272" s="1"/>
      <x:c r="N272" s="1"/>
      <x:c r="O272" s="1"/>
    </x:row>
    <x:row r="273">
      <x:c r="A273" s="103"/>
      <x:c r="B273" s="60"/>
      <x:c r="C273" s="60"/>
      <x:c r="D273" s="60"/>
      <x:c r="E273" s="60"/>
      <x:c r="F273" s="84"/>
      <x:c r="G273" s="84"/>
      <x:c r="H273" s="65"/>
      <x:c r="I273" s="60"/>
      <x:c r="J273" s="60"/>
      <x:c r="K273" s="60"/>
      <x:c r="L273" s="104"/>
      <x:c r="M273" s="1"/>
      <x:c r="N273" s="1"/>
      <x:c r="O273" s="1"/>
    </x:row>
    <x:row r="274">
      <x:c r="A274" s="103"/>
      <x:c r="B274" s="60"/>
      <x:c r="C274" s="60"/>
      <x:c r="D274" s="60"/>
      <x:c r="E274" s="60"/>
      <x:c r="F274" s="84"/>
      <x:c r="G274" s="84"/>
      <x:c r="H274" s="65"/>
      <x:c r="I274" s="60"/>
      <x:c r="J274" s="60"/>
      <x:c r="K274" s="60"/>
      <x:c r="L274" s="104"/>
      <x:c r="M274" s="1"/>
      <x:c r="N274" s="1"/>
      <x:c r="O274" s="1"/>
    </x:row>
    <x:row r="275">
      <x:c r="A275" s="103"/>
      <x:c r="B275" s="60"/>
      <x:c r="C275" s="60"/>
      <x:c r="D275" s="60"/>
      <x:c r="E275" s="60"/>
      <x:c r="F275" s="84"/>
      <x:c r="G275" s="84"/>
      <x:c r="H275" s="65"/>
      <x:c r="I275" s="60"/>
      <x:c r="J275" s="60"/>
      <x:c r="K275" s="60"/>
      <x:c r="L275" s="104"/>
      <x:c r="M275" s="1"/>
      <x:c r="N275" s="1"/>
      <x:c r="O275" s="1"/>
    </x:row>
    <x:row r="276">
      <x:c r="A276" s="103"/>
      <x:c r="B276" s="60"/>
      <x:c r="C276" s="60"/>
      <x:c r="D276" s="60"/>
      <x:c r="E276" s="60"/>
      <x:c r="F276" s="84"/>
      <x:c r="G276" s="84"/>
      <x:c r="H276" s="65"/>
      <x:c r="I276" s="60"/>
      <x:c r="J276" s="60"/>
      <x:c r="K276" s="60"/>
      <x:c r="L276" s="104"/>
      <x:c r="M276" s="1"/>
      <x:c r="N276" s="1"/>
      <x:c r="O276" s="1"/>
    </x:row>
    <x:row r="277">
      <x:c r="A277" s="103"/>
      <x:c r="B277" s="60"/>
      <x:c r="C277" s="60"/>
      <x:c r="D277" s="60"/>
      <x:c r="E277" s="60"/>
      <x:c r="F277" s="84"/>
      <x:c r="G277" s="84"/>
      <x:c r="H277" s="65"/>
      <x:c r="I277" s="60"/>
      <x:c r="J277" s="60"/>
      <x:c r="K277" s="60"/>
      <x:c r="L277" s="104"/>
      <x:c r="M277" s="1"/>
      <x:c r="N277" s="1"/>
      <x:c r="O277" s="1"/>
    </x:row>
    <x:row r="278">
      <x:c r="A278" s="103"/>
      <x:c r="B278" s="60"/>
      <x:c r="C278" s="60"/>
      <x:c r="D278" s="60"/>
      <x:c r="E278" s="60"/>
      <x:c r="F278" s="84"/>
      <x:c r="G278" s="84"/>
      <x:c r="H278" s="65"/>
      <x:c r="I278" s="60"/>
      <x:c r="J278" s="60"/>
      <x:c r="K278" s="60"/>
      <x:c r="L278" s="104"/>
      <x:c r="M278" s="1"/>
      <x:c r="N278" s="1"/>
      <x:c r="O278" s="1"/>
    </x:row>
    <x:row r="279">
      <x:c r="A279" s="103"/>
      <x:c r="B279" s="60"/>
      <x:c r="C279" s="60"/>
      <x:c r="D279" s="60"/>
      <x:c r="E279" s="60"/>
      <x:c r="F279" s="84"/>
      <x:c r="G279" s="84"/>
      <x:c r="H279" s="65"/>
      <x:c r="I279" s="60"/>
      <x:c r="J279" s="60"/>
      <x:c r="K279" s="60"/>
      <x:c r="L279" s="104"/>
      <x:c r="M279" s="1"/>
      <x:c r="N279" s="1"/>
      <x:c r="O279" s="1"/>
    </x:row>
    <x:row r="280">
      <x:c r="A280" s="103"/>
      <x:c r="B280" s="60"/>
      <x:c r="C280" s="60"/>
      <x:c r="D280" s="60"/>
      <x:c r="E280" s="60"/>
      <x:c r="F280" s="84"/>
      <x:c r="G280" s="84"/>
      <x:c r="H280" s="65"/>
      <x:c r="I280" s="60"/>
      <x:c r="J280" s="60"/>
      <x:c r="K280" s="60"/>
      <x:c r="L280" s="104"/>
      <x:c r="M280" s="1"/>
      <x:c r="N280" s="1"/>
      <x:c r="O280" s="1"/>
    </x:row>
    <x:row r="281">
      <x:c r="A281" s="103"/>
      <x:c r="B281" s="60"/>
      <x:c r="C281" s="60"/>
      <x:c r="D281" s="60"/>
      <x:c r="E281" s="60"/>
      <x:c r="F281" s="84"/>
      <x:c r="G281" s="84"/>
      <x:c r="H281" s="65"/>
      <x:c r="I281" s="60"/>
      <x:c r="J281" s="60"/>
      <x:c r="K281" s="60"/>
      <x:c r="L281" s="104"/>
      <x:c r="M281" s="1"/>
      <x:c r="N281" s="1"/>
      <x:c r="O281" s="1"/>
    </x:row>
    <x:row r="282">
      <x:c r="A282" s="103"/>
      <x:c r="B282" s="60"/>
      <x:c r="C282" s="60"/>
      <x:c r="D282" s="60"/>
      <x:c r="E282" s="60"/>
      <x:c r="F282" s="84"/>
      <x:c r="G282" s="84"/>
      <x:c r="H282" s="65"/>
      <x:c r="I282" s="60"/>
      <x:c r="J282" s="60"/>
      <x:c r="K282" s="60"/>
      <x:c r="L282" s="104"/>
      <x:c r="M282" s="1"/>
      <x:c r="N282" s="1"/>
      <x:c r="O282" s="1"/>
    </x:row>
    <x:row r="283">
      <x:c r="A283" s="103"/>
      <x:c r="B283" s="60"/>
      <x:c r="C283" s="60"/>
      <x:c r="D283" s="60"/>
      <x:c r="E283" s="60"/>
      <x:c r="F283" s="84"/>
      <x:c r="G283" s="84"/>
      <x:c r="H283" s="65"/>
      <x:c r="I283" s="60"/>
      <x:c r="J283" s="60"/>
      <x:c r="K283" s="60"/>
      <x:c r="L283" s="104"/>
      <x:c r="M283" s="1"/>
      <x:c r="N283" s="1"/>
      <x:c r="O283" s="1"/>
    </x:row>
    <x:row r="284">
      <x:c r="A284" s="103"/>
      <x:c r="B284" s="60"/>
      <x:c r="C284" s="60"/>
      <x:c r="D284" s="60"/>
      <x:c r="E284" s="60"/>
      <x:c r="F284" s="84"/>
      <x:c r="G284" s="84"/>
      <x:c r="H284" s="65"/>
      <x:c r="I284" s="60"/>
      <x:c r="J284" s="60"/>
      <x:c r="K284" s="60"/>
      <x:c r="L284" s="104"/>
      <x:c r="M284" s="1"/>
      <x:c r="N284" s="1"/>
      <x:c r="O284" s="1"/>
    </x:row>
    <x:row r="285">
      <x:c r="A285" s="103"/>
      <x:c r="B285" s="60"/>
      <x:c r="C285" s="60"/>
      <x:c r="D285" s="60"/>
      <x:c r="E285" s="60"/>
      <x:c r="F285" s="84"/>
      <x:c r="G285" s="84"/>
      <x:c r="H285" s="65"/>
      <x:c r="I285" s="60"/>
      <x:c r="J285" s="60"/>
      <x:c r="K285" s="60"/>
      <x:c r="L285" s="104"/>
      <x:c r="M285" s="1"/>
      <x:c r="N285" s="1"/>
      <x:c r="O285" s="1"/>
    </x:row>
    <x:row r="286">
      <x:c r="A286" s="103"/>
      <x:c r="B286" s="60"/>
      <x:c r="C286" s="60"/>
      <x:c r="D286" s="60"/>
      <x:c r="E286" s="60"/>
      <x:c r="F286" s="84"/>
      <x:c r="G286" s="84"/>
      <x:c r="H286" s="65"/>
      <x:c r="I286" s="60"/>
      <x:c r="J286" s="60"/>
      <x:c r="K286" s="60"/>
      <x:c r="L286" s="104"/>
      <x:c r="M286" s="1"/>
      <x:c r="N286" s="1"/>
      <x:c r="O286" s="1"/>
    </x:row>
    <x:row r="287">
      <x:c r="A287" s="103"/>
      <x:c r="B287" s="60"/>
      <x:c r="C287" s="60"/>
      <x:c r="D287" s="60"/>
      <x:c r="E287" s="60"/>
      <x:c r="F287" s="84"/>
      <x:c r="G287" s="84"/>
      <x:c r="H287" s="65"/>
      <x:c r="I287" s="60"/>
      <x:c r="J287" s="60"/>
      <x:c r="K287" s="60"/>
      <x:c r="L287" s="104"/>
      <x:c r="M287" s="1"/>
      <x:c r="N287" s="1"/>
      <x:c r="O287" s="1"/>
    </x:row>
    <x:row r="288">
      <x:c r="A288" s="103"/>
      <x:c r="B288" s="60"/>
      <x:c r="C288" s="60"/>
      <x:c r="D288" s="60"/>
      <x:c r="E288" s="60"/>
      <x:c r="F288" s="84"/>
      <x:c r="G288" s="84"/>
      <x:c r="H288" s="65"/>
      <x:c r="I288" s="60"/>
      <x:c r="J288" s="60"/>
      <x:c r="K288" s="60"/>
      <x:c r="L288" s="104"/>
      <x:c r="M288" s="1"/>
      <x:c r="N288" s="1"/>
      <x:c r="O288" s="1"/>
    </x:row>
    <x:row r="289">
      <x:c r="A289" s="103"/>
      <x:c r="B289" s="60"/>
      <x:c r="C289" s="60"/>
      <x:c r="D289" s="60"/>
      <x:c r="E289" s="60"/>
      <x:c r="F289" s="84"/>
      <x:c r="G289" s="84"/>
      <x:c r="H289" s="65"/>
      <x:c r="I289" s="60"/>
      <x:c r="J289" s="60"/>
      <x:c r="K289" s="60"/>
      <x:c r="L289" s="104"/>
      <x:c r="M289" s="1"/>
      <x:c r="N289" s="1"/>
      <x:c r="O289" s="1"/>
    </x:row>
    <x:row r="290">
      <x:c r="A290" s="103"/>
      <x:c r="B290" s="60"/>
      <x:c r="C290" s="60"/>
      <x:c r="D290" s="60"/>
      <x:c r="E290" s="60"/>
      <x:c r="F290" s="84"/>
      <x:c r="G290" s="84"/>
      <x:c r="H290" s="65"/>
      <x:c r="I290" s="60"/>
      <x:c r="J290" s="60"/>
      <x:c r="K290" s="60"/>
      <x:c r="L290" s="104"/>
      <x:c r="M290" s="1"/>
      <x:c r="N290" s="1"/>
      <x:c r="O290" s="1"/>
    </x:row>
    <x:row r="291">
      <x:c r="A291" s="103"/>
      <x:c r="B291" s="60"/>
      <x:c r="C291" s="60"/>
      <x:c r="D291" s="60"/>
      <x:c r="E291" s="60"/>
      <x:c r="F291" s="84"/>
      <x:c r="G291" s="84"/>
      <x:c r="H291" s="65"/>
      <x:c r="I291" s="60"/>
      <x:c r="J291" s="60"/>
      <x:c r="K291" s="60"/>
      <x:c r="L291" s="104"/>
      <x:c r="M291" s="1"/>
      <x:c r="N291" s="1"/>
      <x:c r="O291" s="1"/>
    </x:row>
    <x:row r="292">
      <x:c r="A292" s="103"/>
      <x:c r="B292" s="60"/>
      <x:c r="C292" s="60"/>
      <x:c r="D292" s="60"/>
      <x:c r="E292" s="60"/>
      <x:c r="F292" s="84"/>
      <x:c r="G292" s="84"/>
      <x:c r="H292" s="65"/>
      <x:c r="I292" s="60"/>
      <x:c r="J292" s="60"/>
      <x:c r="K292" s="60"/>
      <x:c r="L292" s="104"/>
      <x:c r="M292" s="1"/>
      <x:c r="N292" s="1"/>
      <x:c r="O292" s="1"/>
    </x:row>
    <x:row r="293">
      <x:c r="A293" s="103"/>
      <x:c r="B293" s="60"/>
      <x:c r="C293" s="60"/>
      <x:c r="D293" s="60"/>
      <x:c r="E293" s="60"/>
      <x:c r="F293" s="84"/>
      <x:c r="G293" s="84"/>
      <x:c r="H293" s="65"/>
      <x:c r="I293" s="60"/>
      <x:c r="J293" s="60"/>
      <x:c r="K293" s="60"/>
      <x:c r="L293" s="104"/>
      <x:c r="M293" s="1"/>
      <x:c r="N293" s="1"/>
      <x:c r="O293" s="1"/>
    </x:row>
    <x:row r="294">
      <x:c r="A294" s="103"/>
      <x:c r="B294" s="60"/>
      <x:c r="C294" s="60"/>
      <x:c r="D294" s="60"/>
      <x:c r="E294" s="60"/>
      <x:c r="F294" s="84"/>
      <x:c r="G294" s="84"/>
      <x:c r="H294" s="65"/>
      <x:c r="I294" s="60"/>
      <x:c r="J294" s="60"/>
      <x:c r="K294" s="60"/>
      <x:c r="L294" s="104"/>
      <x:c r="M294" s="1"/>
      <x:c r="N294" s="1"/>
      <x:c r="O294" s="1"/>
    </x:row>
    <x:row r="295">
      <x:c r="A295" s="103"/>
      <x:c r="B295" s="60"/>
      <x:c r="C295" s="60"/>
      <x:c r="D295" s="60"/>
      <x:c r="E295" s="60"/>
      <x:c r="F295" s="84"/>
      <x:c r="G295" s="84"/>
      <x:c r="H295" s="65"/>
      <x:c r="I295" s="60"/>
      <x:c r="J295" s="60"/>
      <x:c r="K295" s="60"/>
      <x:c r="L295" s="104"/>
      <x:c r="M295" s="1"/>
      <x:c r="N295" s="1"/>
      <x:c r="O295" s="1"/>
    </x:row>
    <x:row r="296">
      <x:c r="A296" s="103"/>
      <x:c r="B296" s="60"/>
      <x:c r="C296" s="60"/>
      <x:c r="D296" s="60"/>
      <x:c r="E296" s="60"/>
      <x:c r="F296" s="84"/>
      <x:c r="G296" s="84"/>
      <x:c r="H296" s="65"/>
      <x:c r="I296" s="60"/>
      <x:c r="J296" s="60"/>
      <x:c r="K296" s="60"/>
      <x:c r="L296" s="104"/>
      <x:c r="M296" s="1"/>
      <x:c r="N296" s="1"/>
      <x:c r="O296" s="1"/>
    </x:row>
    <x:row r="297">
      <x:c r="A297" s="103"/>
      <x:c r="B297" s="60"/>
      <x:c r="C297" s="60"/>
      <x:c r="D297" s="60"/>
      <x:c r="E297" s="60"/>
      <x:c r="F297" s="84"/>
      <x:c r="G297" s="84"/>
      <x:c r="H297" s="65"/>
      <x:c r="I297" s="60"/>
      <x:c r="J297" s="60"/>
      <x:c r="K297" s="60"/>
      <x:c r="L297" s="104"/>
      <x:c r="M297" s="1"/>
      <x:c r="N297" s="1"/>
      <x:c r="O297" s="1"/>
    </x:row>
    <x:row r="298">
      <x:c r="A298" s="103"/>
      <x:c r="B298" s="60"/>
      <x:c r="C298" s="60"/>
      <x:c r="D298" s="60"/>
      <x:c r="E298" s="60"/>
      <x:c r="F298" s="84"/>
      <x:c r="G298" s="84"/>
      <x:c r="H298" s="65"/>
      <x:c r="I298" s="60"/>
      <x:c r="J298" s="60"/>
      <x:c r="K298" s="60"/>
      <x:c r="L298" s="104"/>
      <x:c r="M298" s="1"/>
      <x:c r="N298" s="1"/>
      <x:c r="O298" s="1"/>
    </x:row>
    <x:row r="299">
      <x:c r="A299" s="103"/>
      <x:c r="B299" s="60"/>
      <x:c r="C299" s="60"/>
      <x:c r="D299" s="60"/>
      <x:c r="E299" s="60"/>
      <x:c r="F299" s="84"/>
      <x:c r="G299" s="84"/>
      <x:c r="H299" s="65"/>
      <x:c r="I299" s="60"/>
      <x:c r="J299" s="60"/>
      <x:c r="K299" s="60"/>
      <x:c r="L299" s="104"/>
      <x:c r="M299" s="1"/>
      <x:c r="N299" s="1"/>
      <x:c r="O299" s="1"/>
    </x:row>
    <x:row r="300">
      <x:c r="A300" s="103"/>
      <x:c r="B300" s="60"/>
      <x:c r="C300" s="60"/>
      <x:c r="D300" s="60"/>
      <x:c r="E300" s="60"/>
      <x:c r="F300" s="84"/>
      <x:c r="G300" s="84"/>
      <x:c r="H300" s="65"/>
      <x:c r="I300" s="60"/>
      <x:c r="J300" s="60"/>
      <x:c r="K300" s="60"/>
      <x:c r="L300" s="104"/>
      <x:c r="M300" s="1"/>
      <x:c r="N300" s="1"/>
      <x:c r="O300" s="1"/>
    </x:row>
    <x:row r="301">
      <x:c r="A301" s="103"/>
      <x:c r="B301" s="60"/>
      <x:c r="C301" s="60"/>
      <x:c r="D301" s="60"/>
      <x:c r="E301" s="60"/>
      <x:c r="F301" s="84"/>
      <x:c r="G301" s="84"/>
      <x:c r="H301" s="65"/>
      <x:c r="I301" s="60"/>
      <x:c r="J301" s="60"/>
      <x:c r="K301" s="60"/>
      <x:c r="L301" s="104"/>
      <x:c r="M301" s="1"/>
      <x:c r="N301" s="1"/>
      <x:c r="O301" s="1"/>
    </x:row>
    <x:row r="302">
      <x:c r="A302" s="103"/>
      <x:c r="B302" s="60"/>
      <x:c r="C302" s="60"/>
      <x:c r="D302" s="60"/>
      <x:c r="E302" s="60"/>
      <x:c r="F302" s="84"/>
      <x:c r="G302" s="84"/>
      <x:c r="H302" s="65"/>
      <x:c r="I302" s="60"/>
      <x:c r="J302" s="60"/>
      <x:c r="K302" s="60"/>
      <x:c r="L302" s="104"/>
      <x:c r="M302" s="1"/>
      <x:c r="N302" s="1"/>
      <x:c r="O302" s="1"/>
    </x:row>
    <x:row r="303">
      <x:c r="A303" s="103"/>
      <x:c r="B303" s="60"/>
      <x:c r="C303" s="60"/>
      <x:c r="D303" s="60"/>
      <x:c r="E303" s="60"/>
      <x:c r="F303" s="84"/>
      <x:c r="G303" s="84"/>
      <x:c r="H303" s="65"/>
      <x:c r="I303" s="60"/>
      <x:c r="J303" s="60"/>
      <x:c r="K303" s="60"/>
      <x:c r="L303" s="104"/>
      <x:c r="M303" s="1"/>
      <x:c r="N303" s="1"/>
      <x:c r="O303" s="1"/>
    </x:row>
    <x:row r="304">
      <x:c r="A304" s="103"/>
      <x:c r="B304" s="60"/>
      <x:c r="C304" s="60"/>
      <x:c r="D304" s="60"/>
      <x:c r="E304" s="60"/>
      <x:c r="F304" s="84"/>
      <x:c r="G304" s="84"/>
      <x:c r="H304" s="65"/>
      <x:c r="I304" s="60"/>
      <x:c r="J304" s="60"/>
      <x:c r="K304" s="60"/>
      <x:c r="L304" s="104"/>
      <x:c r="M304" s="1"/>
      <x:c r="N304" s="1"/>
      <x:c r="O304" s="1"/>
    </x:row>
    <x:row r="305">
      <x:c r="A305" s="103"/>
      <x:c r="B305" s="60"/>
      <x:c r="C305" s="60"/>
      <x:c r="D305" s="60"/>
      <x:c r="E305" s="60"/>
      <x:c r="F305" s="84"/>
      <x:c r="G305" s="84"/>
      <x:c r="H305" s="65"/>
      <x:c r="I305" s="60"/>
      <x:c r="J305" s="60"/>
      <x:c r="K305" s="60"/>
      <x:c r="L305" s="104"/>
      <x:c r="M305" s="1"/>
      <x:c r="N305" s="1"/>
      <x:c r="O305" s="1"/>
    </x:row>
    <x:row r="306">
      <x:c r="A306" s="103"/>
      <x:c r="B306" s="60"/>
      <x:c r="C306" s="60"/>
      <x:c r="D306" s="60"/>
      <x:c r="E306" s="60"/>
      <x:c r="F306" s="84"/>
      <x:c r="G306" s="84"/>
      <x:c r="H306" s="65"/>
      <x:c r="I306" s="60"/>
      <x:c r="J306" s="60"/>
      <x:c r="K306" s="60"/>
      <x:c r="L306" s="104"/>
      <x:c r="M306" s="1"/>
      <x:c r="N306" s="1"/>
      <x:c r="O306" s="1"/>
    </x:row>
    <x:row r="307">
      <x:c r="A307" s="103"/>
      <x:c r="B307" s="60"/>
      <x:c r="C307" s="60"/>
      <x:c r="D307" s="60"/>
      <x:c r="E307" s="60"/>
      <x:c r="F307" s="84"/>
      <x:c r="G307" s="84"/>
      <x:c r="H307" s="65"/>
      <x:c r="I307" s="60"/>
      <x:c r="J307" s="60"/>
      <x:c r="K307" s="60"/>
      <x:c r="L307" s="104"/>
      <x:c r="M307" s="1"/>
      <x:c r="N307" s="1"/>
      <x:c r="O307" s="1"/>
    </x:row>
    <x:row r="308">
      <x:c r="A308" s="103"/>
      <x:c r="B308" s="60"/>
      <x:c r="C308" s="60"/>
      <x:c r="D308" s="60"/>
      <x:c r="E308" s="60"/>
      <x:c r="F308" s="84"/>
      <x:c r="G308" s="84"/>
      <x:c r="H308" s="65"/>
      <x:c r="I308" s="60"/>
      <x:c r="J308" s="60"/>
      <x:c r="K308" s="60"/>
      <x:c r="L308" s="104"/>
      <x:c r="M308" s="1"/>
      <x:c r="N308" s="1"/>
      <x:c r="O308" s="1"/>
    </x:row>
    <x:row r="309">
      <x:c r="A309" s="103"/>
      <x:c r="B309" s="60"/>
      <x:c r="C309" s="60"/>
      <x:c r="D309" s="60"/>
      <x:c r="E309" s="60"/>
      <x:c r="F309" s="84"/>
      <x:c r="G309" s="84"/>
      <x:c r="H309" s="65"/>
      <x:c r="I309" s="60"/>
      <x:c r="J309" s="60"/>
      <x:c r="K309" s="60"/>
      <x:c r="L309" s="104"/>
      <x:c r="M309" s="1"/>
      <x:c r="N309" s="1"/>
      <x:c r="O309" s="1"/>
    </x:row>
    <x:row r="310">
      <x:c r="A310" s="103"/>
      <x:c r="B310" s="60"/>
      <x:c r="C310" s="60"/>
      <x:c r="D310" s="60"/>
      <x:c r="E310" s="60"/>
      <x:c r="F310" s="84"/>
      <x:c r="G310" s="84"/>
      <x:c r="H310" s="65"/>
      <x:c r="I310" s="60"/>
      <x:c r="J310" s="60"/>
      <x:c r="K310" s="60"/>
      <x:c r="L310" s="104"/>
      <x:c r="M310" s="1"/>
      <x:c r="N310" s="1"/>
      <x:c r="O310" s="1"/>
    </x:row>
    <x:row r="311">
      <x:c r="A311" s="103"/>
      <x:c r="B311" s="60"/>
      <x:c r="C311" s="60"/>
      <x:c r="D311" s="60"/>
      <x:c r="E311" s="60"/>
      <x:c r="F311" s="84"/>
      <x:c r="G311" s="84"/>
      <x:c r="H311" s="65"/>
      <x:c r="I311" s="60"/>
      <x:c r="J311" s="60"/>
      <x:c r="K311" s="60"/>
      <x:c r="L311" s="104"/>
      <x:c r="M311" s="1"/>
      <x:c r="N311" s="1"/>
      <x:c r="O311" s="1"/>
    </x:row>
    <x:row r="312">
      <x:c r="A312" s="103"/>
      <x:c r="B312" s="60"/>
      <x:c r="C312" s="60"/>
      <x:c r="D312" s="60"/>
      <x:c r="E312" s="60"/>
      <x:c r="F312" s="84"/>
      <x:c r="G312" s="84"/>
      <x:c r="H312" s="65"/>
      <x:c r="I312" s="60"/>
      <x:c r="J312" s="60"/>
      <x:c r="K312" s="60"/>
      <x:c r="L312" s="104"/>
      <x:c r="M312" s="1"/>
      <x:c r="N312" s="1"/>
      <x:c r="O312" s="1"/>
    </x:row>
    <x:row r="313">
      <x:c r="A313" s="103"/>
      <x:c r="B313" s="60"/>
      <x:c r="C313" s="60"/>
      <x:c r="D313" s="60"/>
      <x:c r="E313" s="60"/>
      <x:c r="F313" s="84"/>
      <x:c r="G313" s="84"/>
      <x:c r="H313" s="65"/>
      <x:c r="I313" s="60"/>
      <x:c r="J313" s="60"/>
      <x:c r="K313" s="60"/>
      <x:c r="L313" s="104"/>
      <x:c r="M313" s="1"/>
      <x:c r="N313" s="1"/>
      <x:c r="O313" s="1"/>
    </x:row>
    <x:row r="314">
      <x:c r="A314" s="103"/>
      <x:c r="B314" s="60"/>
      <x:c r="C314" s="60"/>
      <x:c r="D314" s="60"/>
      <x:c r="E314" s="60"/>
      <x:c r="F314" s="84"/>
      <x:c r="G314" s="84"/>
      <x:c r="H314" s="65"/>
      <x:c r="I314" s="60"/>
      <x:c r="J314" s="60"/>
      <x:c r="K314" s="60"/>
      <x:c r="L314" s="104"/>
      <x:c r="M314" s="1"/>
      <x:c r="N314" s="1"/>
      <x:c r="O314" s="1"/>
    </x:row>
    <x:row r="315">
      <x:c r="A315" s="103"/>
      <x:c r="B315" s="60"/>
      <x:c r="C315" s="60"/>
      <x:c r="D315" s="60"/>
      <x:c r="E315" s="60"/>
      <x:c r="F315" s="84"/>
      <x:c r="G315" s="84"/>
      <x:c r="H315" s="65"/>
      <x:c r="I315" s="60"/>
      <x:c r="J315" s="60"/>
      <x:c r="K315" s="60"/>
      <x:c r="L315" s="104"/>
      <x:c r="M315" s="1"/>
      <x:c r="N315" s="1"/>
      <x:c r="O315" s="1"/>
    </x:row>
    <x:row r="316">
      <x:c r="A316" s="103"/>
      <x:c r="B316" s="60"/>
      <x:c r="C316" s="60"/>
      <x:c r="D316" s="60"/>
      <x:c r="E316" s="60"/>
      <x:c r="F316" s="84"/>
      <x:c r="G316" s="84"/>
      <x:c r="H316" s="65"/>
      <x:c r="I316" s="60"/>
      <x:c r="J316" s="60"/>
      <x:c r="K316" s="60"/>
      <x:c r="L316" s="104"/>
      <x:c r="M316" s="1"/>
      <x:c r="N316" s="1"/>
      <x:c r="O316" s="1"/>
    </x:row>
    <x:row r="317">
      <x:c r="A317" s="103"/>
      <x:c r="B317" s="60"/>
      <x:c r="C317" s="60"/>
      <x:c r="D317" s="60"/>
      <x:c r="E317" s="60"/>
      <x:c r="F317" s="84"/>
      <x:c r="G317" s="84"/>
      <x:c r="H317" s="65"/>
      <x:c r="I317" s="60"/>
      <x:c r="J317" s="60"/>
      <x:c r="K317" s="60"/>
      <x:c r="L317" s="104"/>
      <x:c r="M317" s="1"/>
      <x:c r="N317" s="1"/>
      <x:c r="O317" s="1"/>
    </x:row>
    <x:row r="318">
      <x:c r="A318" s="103"/>
      <x:c r="B318" s="60"/>
      <x:c r="C318" s="60"/>
      <x:c r="D318" s="60"/>
      <x:c r="E318" s="60"/>
      <x:c r="F318" s="84"/>
      <x:c r="G318" s="84"/>
      <x:c r="H318" s="65"/>
      <x:c r="I318" s="60"/>
      <x:c r="J318" s="60"/>
      <x:c r="K318" s="60"/>
      <x:c r="L318" s="104"/>
      <x:c r="M318" s="1"/>
      <x:c r="N318" s="1"/>
      <x:c r="O318" s="1"/>
    </x:row>
    <x:row r="319">
      <x:c r="A319" s="103"/>
      <x:c r="B319" s="60"/>
      <x:c r="C319" s="60"/>
      <x:c r="D319" s="60"/>
      <x:c r="E319" s="60"/>
      <x:c r="F319" s="84"/>
      <x:c r="G319" s="84"/>
      <x:c r="H319" s="65"/>
      <x:c r="I319" s="60"/>
      <x:c r="J319" s="60"/>
      <x:c r="K319" s="60"/>
      <x:c r="L319" s="104"/>
      <x:c r="M319" s="1"/>
      <x:c r="N319" s="1"/>
      <x:c r="O319" s="1"/>
    </x:row>
    <x:row r="320">
      <x:c r="A320" s="103"/>
      <x:c r="B320" s="60"/>
      <x:c r="C320" s="60"/>
      <x:c r="D320" s="60"/>
      <x:c r="E320" s="60"/>
      <x:c r="F320" s="84"/>
      <x:c r="G320" s="84"/>
      <x:c r="H320" s="65"/>
      <x:c r="I320" s="60"/>
      <x:c r="J320" s="60"/>
      <x:c r="K320" s="60"/>
      <x:c r="L320" s="104"/>
      <x:c r="M320" s="1"/>
      <x:c r="N320" s="1"/>
      <x:c r="O320" s="1"/>
    </x:row>
    <x:row r="321">
      <x:c r="A321" s="105"/>
      <x:c r="B321" s="61"/>
      <x:c r="C321" s="61"/>
      <x:c r="D321" s="61"/>
      <x:c r="E321" s="61"/>
      <x:c r="F321" s="85"/>
      <x:c r="G321" s="85"/>
      <x:c r="H321" s="66"/>
      <x:c r="I321" s="61"/>
      <x:c r="J321" s="61"/>
      <x:c r="K321" s="61"/>
      <x:c r="L321" s="106"/>
    </x:row>
    <x:row r="322">
      <x:c r="A322" s="105"/>
      <x:c r="B322" s="61"/>
      <x:c r="C322" s="61"/>
      <x:c r="D322" s="61"/>
      <x:c r="E322" s="61"/>
      <x:c r="F322" s="85"/>
      <x:c r="G322" s="85"/>
      <x:c r="H322" s="66"/>
      <x:c r="I322" s="61"/>
      <x:c r="J322" s="61"/>
      <x:c r="K322" s="61"/>
      <x:c r="L322" s="106"/>
    </x:row>
    <x:row r="323">
      <x:c r="A323" s="105"/>
      <x:c r="B323" s="61"/>
      <x:c r="C323" s="61"/>
      <x:c r="D323" s="61"/>
      <x:c r="E323" s="61"/>
      <x:c r="F323" s="85"/>
      <x:c r="G323" s="85"/>
      <x:c r="H323" s="66"/>
      <x:c r="I323" s="61"/>
      <x:c r="J323" s="61"/>
      <x:c r="K323" s="61"/>
      <x:c r="L323" s="106"/>
    </x:row>
    <x:row r="324">
      <x:c r="A324" s="105"/>
      <x:c r="B324" s="61"/>
      <x:c r="C324" s="61"/>
      <x:c r="D324" s="61"/>
      <x:c r="E324" s="61"/>
      <x:c r="F324" s="85"/>
      <x:c r="G324" s="85"/>
      <x:c r="H324" s="66"/>
      <x:c r="I324" s="61"/>
      <x:c r="J324" s="61"/>
      <x:c r="K324" s="61"/>
      <x:c r="L324" s="106"/>
    </x:row>
    <x:row r="325">
      <x:c r="A325" s="105"/>
      <x:c r="B325" s="61"/>
      <x:c r="C325" s="61"/>
      <x:c r="D325" s="61"/>
      <x:c r="E325" s="61"/>
      <x:c r="F325" s="85"/>
      <x:c r="G325" s="85"/>
      <x:c r="H325" s="66"/>
      <x:c r="I325" s="61"/>
      <x:c r="J325" s="61"/>
      <x:c r="K325" s="61"/>
      <x:c r="L325" s="106"/>
    </x:row>
    <x:row r="326">
      <x:c r="A326" s="105"/>
      <x:c r="B326" s="61"/>
      <x:c r="C326" s="61"/>
      <x:c r="D326" s="61"/>
      <x:c r="E326" s="61"/>
      <x:c r="F326" s="85"/>
      <x:c r="G326" s="85"/>
      <x:c r="H326" s="66"/>
      <x:c r="I326" s="61"/>
      <x:c r="J326" s="61"/>
      <x:c r="K326" s="61"/>
      <x:c r="L326" s="106"/>
    </x:row>
    <x:row r="327">
      <x:c r="A327" s="105"/>
      <x:c r="B327" s="61"/>
      <x:c r="C327" s="61"/>
      <x:c r="D327" s="61"/>
      <x:c r="E327" s="61"/>
      <x:c r="F327" s="85"/>
      <x:c r="G327" s="85"/>
      <x:c r="H327" s="66"/>
      <x:c r="I327" s="61"/>
      <x:c r="J327" s="61"/>
      <x:c r="K327" s="61"/>
      <x:c r="L327" s="106"/>
    </x:row>
    <x:row r="328">
      <x:c r="A328" s="105"/>
      <x:c r="B328" s="61"/>
      <x:c r="C328" s="61"/>
      <x:c r="D328" s="61"/>
      <x:c r="E328" s="61"/>
      <x:c r="F328" s="85"/>
      <x:c r="G328" s="85"/>
      <x:c r="H328" s="66"/>
      <x:c r="I328" s="61"/>
      <x:c r="J328" s="61"/>
      <x:c r="K328" s="61"/>
      <x:c r="L328" s="106"/>
    </x:row>
    <x:row r="329">
      <x:c r="A329" s="105"/>
      <x:c r="B329" s="61"/>
      <x:c r="C329" s="61"/>
      <x:c r="D329" s="61"/>
      <x:c r="E329" s="61"/>
      <x:c r="F329" s="85"/>
      <x:c r="G329" s="85"/>
      <x:c r="H329" s="66"/>
      <x:c r="I329" s="61"/>
      <x:c r="J329" s="61"/>
      <x:c r="K329" s="61"/>
      <x:c r="L329" s="106"/>
    </x:row>
    <x:row r="330">
      <x:c r="A330" s="105"/>
      <x:c r="B330" s="61"/>
      <x:c r="C330" s="61"/>
      <x:c r="D330" s="61"/>
      <x:c r="E330" s="61"/>
      <x:c r="F330" s="85"/>
      <x:c r="G330" s="85"/>
      <x:c r="H330" s="66"/>
      <x:c r="I330" s="61"/>
      <x:c r="J330" s="61"/>
      <x:c r="K330" s="61"/>
      <x:c r="L330" s="106"/>
    </x:row>
    <x:row r="331">
      <x:c r="A331" s="105"/>
      <x:c r="B331" s="61"/>
      <x:c r="C331" s="61"/>
      <x:c r="D331" s="61"/>
      <x:c r="E331" s="61"/>
      <x:c r="F331" s="85"/>
      <x:c r="G331" s="85"/>
      <x:c r="H331" s="66"/>
      <x:c r="I331" s="61"/>
      <x:c r="J331" s="61"/>
      <x:c r="K331" s="61"/>
      <x:c r="L331" s="106"/>
    </x:row>
    <x:row r="332">
      <x:c r="A332" s="105"/>
      <x:c r="B332" s="61"/>
      <x:c r="C332" s="61"/>
      <x:c r="D332" s="61"/>
      <x:c r="E332" s="61"/>
      <x:c r="F332" s="85"/>
      <x:c r="G332" s="85"/>
      <x:c r="H332" s="66"/>
      <x:c r="I332" s="61"/>
      <x:c r="J332" s="61"/>
      <x:c r="K332" s="61"/>
      <x:c r="L332" s="106"/>
    </x:row>
    <x:row r="333">
      <x:c r="A333" s="105"/>
      <x:c r="B333" s="61"/>
      <x:c r="C333" s="61"/>
      <x:c r="D333" s="61"/>
      <x:c r="E333" s="61"/>
      <x:c r="F333" s="85"/>
      <x:c r="G333" s="85"/>
      <x:c r="H333" s="66"/>
      <x:c r="I333" s="61"/>
      <x:c r="J333" s="61"/>
      <x:c r="K333" s="61"/>
      <x:c r="L333" s="106"/>
    </x:row>
    <x:row r="334">
      <x:c r="A334" s="105"/>
      <x:c r="B334" s="61"/>
      <x:c r="C334" s="61"/>
      <x:c r="D334" s="61"/>
      <x:c r="E334" s="61"/>
      <x:c r="F334" s="85"/>
      <x:c r="G334" s="85"/>
      <x:c r="H334" s="66"/>
      <x:c r="I334" s="61"/>
      <x:c r="J334" s="61"/>
      <x:c r="K334" s="61"/>
      <x:c r="L334" s="106"/>
    </x:row>
    <x:row r="335">
      <x:c r="A335" s="105"/>
      <x:c r="B335" s="61"/>
      <x:c r="C335" s="61"/>
      <x:c r="D335" s="61"/>
      <x:c r="E335" s="61"/>
      <x:c r="F335" s="85"/>
      <x:c r="G335" s="85"/>
      <x:c r="H335" s="66"/>
      <x:c r="I335" s="61"/>
      <x:c r="J335" s="61"/>
      <x:c r="K335" s="61"/>
      <x:c r="L335" s="106"/>
    </x:row>
    <x:row r="336">
      <x:c r="A336" s="105"/>
      <x:c r="B336" s="61"/>
      <x:c r="C336" s="61"/>
      <x:c r="D336" s="61"/>
      <x:c r="E336" s="61"/>
      <x:c r="F336" s="85"/>
      <x:c r="G336" s="85"/>
      <x:c r="H336" s="66"/>
      <x:c r="I336" s="61"/>
      <x:c r="J336" s="61"/>
      <x:c r="K336" s="61"/>
      <x:c r="L336" s="106"/>
    </x:row>
    <x:row r="337">
      <x:c r="A337" s="105"/>
      <x:c r="B337" s="61"/>
      <x:c r="C337" s="61"/>
      <x:c r="D337" s="61"/>
      <x:c r="E337" s="61"/>
      <x:c r="F337" s="85"/>
      <x:c r="G337" s="85"/>
      <x:c r="H337" s="66"/>
      <x:c r="I337" s="61"/>
      <x:c r="J337" s="61"/>
      <x:c r="K337" s="61"/>
      <x:c r="L337" s="106"/>
    </x:row>
    <x:row r="338">
      <x:c r="A338" s="105"/>
      <x:c r="B338" s="61"/>
      <x:c r="C338" s="61"/>
      <x:c r="D338" s="61"/>
      <x:c r="E338" s="61"/>
      <x:c r="F338" s="85"/>
      <x:c r="G338" s="85"/>
      <x:c r="H338" s="66"/>
      <x:c r="I338" s="61"/>
      <x:c r="J338" s="61"/>
      <x:c r="K338" s="61"/>
      <x:c r="L338" s="106"/>
    </x:row>
    <x:row r="339">
      <x:c r="A339" s="105"/>
      <x:c r="B339" s="61"/>
      <x:c r="C339" s="61"/>
      <x:c r="D339" s="61"/>
      <x:c r="E339" s="61"/>
      <x:c r="F339" s="85"/>
      <x:c r="G339" s="85"/>
      <x:c r="H339" s="66"/>
      <x:c r="I339" s="61"/>
      <x:c r="J339" s="61"/>
      <x:c r="K339" s="61"/>
      <x:c r="L339" s="106"/>
    </x:row>
    <x:row r="340">
      <x:c r="A340" s="105"/>
      <x:c r="B340" s="61"/>
      <x:c r="C340" s="61"/>
      <x:c r="D340" s="61"/>
      <x:c r="E340" s="61"/>
      <x:c r="F340" s="85"/>
      <x:c r="G340" s="85"/>
      <x:c r="H340" s="66"/>
      <x:c r="I340" s="61"/>
      <x:c r="J340" s="61"/>
      <x:c r="K340" s="61"/>
      <x:c r="L340" s="106"/>
    </x:row>
    <x:row r="341">
      <x:c r="A341" s="105"/>
      <x:c r="B341" s="61"/>
      <x:c r="C341" s="61"/>
      <x:c r="D341" s="61"/>
      <x:c r="E341" s="61"/>
      <x:c r="F341" s="85"/>
      <x:c r="G341" s="85"/>
      <x:c r="H341" s="66"/>
      <x:c r="I341" s="61"/>
      <x:c r="J341" s="61"/>
      <x:c r="K341" s="61"/>
      <x:c r="L341" s="106"/>
    </x:row>
    <x:row r="342">
      <x:c r="A342" s="105"/>
      <x:c r="B342" s="61"/>
      <x:c r="C342" s="61"/>
      <x:c r="D342" s="61"/>
      <x:c r="E342" s="61"/>
      <x:c r="F342" s="85"/>
      <x:c r="G342" s="85"/>
      <x:c r="H342" s="66"/>
      <x:c r="I342" s="61"/>
      <x:c r="J342" s="61"/>
      <x:c r="K342" s="61"/>
      <x:c r="L342" s="106"/>
    </x:row>
    <x:row r="343">
      <x:c r="A343" s="105"/>
      <x:c r="B343" s="61"/>
      <x:c r="C343" s="61"/>
      <x:c r="D343" s="61"/>
      <x:c r="E343" s="61"/>
      <x:c r="F343" s="85"/>
      <x:c r="G343" s="85"/>
      <x:c r="H343" s="66"/>
      <x:c r="I343" s="61"/>
      <x:c r="J343" s="61"/>
      <x:c r="K343" s="61"/>
      <x:c r="L343" s="106"/>
    </x:row>
    <x:row r="344">
      <x:c r="A344" s="105"/>
      <x:c r="B344" s="61"/>
      <x:c r="C344" s="61"/>
      <x:c r="D344" s="61"/>
      <x:c r="E344" s="61"/>
      <x:c r="F344" s="85"/>
      <x:c r="G344" s="85"/>
      <x:c r="H344" s="66"/>
      <x:c r="I344" s="61"/>
      <x:c r="J344" s="61"/>
      <x:c r="K344" s="61"/>
      <x:c r="L344" s="106"/>
    </x:row>
    <x:row r="345">
      <x:c r="A345" s="105"/>
      <x:c r="B345" s="61"/>
      <x:c r="C345" s="61"/>
      <x:c r="D345" s="61"/>
      <x:c r="E345" s="61"/>
      <x:c r="F345" s="85"/>
      <x:c r="G345" s="85"/>
      <x:c r="H345" s="66"/>
      <x:c r="I345" s="61"/>
      <x:c r="J345" s="61"/>
      <x:c r="K345" s="61"/>
      <x:c r="L345" s="106"/>
    </x:row>
    <x:row r="346">
      <x:c r="A346" s="105"/>
      <x:c r="B346" s="61"/>
      <x:c r="C346" s="61"/>
      <x:c r="D346" s="61"/>
      <x:c r="E346" s="61"/>
      <x:c r="F346" s="85"/>
      <x:c r="G346" s="85"/>
      <x:c r="H346" s="66"/>
      <x:c r="I346" s="61"/>
      <x:c r="J346" s="61"/>
      <x:c r="K346" s="61"/>
      <x:c r="L346" s="106"/>
    </x:row>
    <x:row r="347">
      <x:c r="A347" s="105"/>
      <x:c r="B347" s="61"/>
      <x:c r="C347" s="61"/>
      <x:c r="D347" s="61"/>
      <x:c r="E347" s="61"/>
      <x:c r="F347" s="85"/>
      <x:c r="G347" s="85"/>
      <x:c r="H347" s="66"/>
      <x:c r="I347" s="61"/>
      <x:c r="J347" s="61"/>
      <x:c r="K347" s="61"/>
      <x:c r="L347" s="106"/>
    </x:row>
    <x:row r="348">
      <x:c r="A348" s="105"/>
      <x:c r="B348" s="61"/>
      <x:c r="C348" s="61"/>
      <x:c r="D348" s="61"/>
      <x:c r="E348" s="61"/>
      <x:c r="F348" s="85"/>
      <x:c r="G348" s="85"/>
      <x:c r="H348" s="66"/>
      <x:c r="I348" s="61"/>
      <x:c r="J348" s="61"/>
      <x:c r="K348" s="61"/>
      <x:c r="L348" s="106"/>
    </x:row>
    <x:row r="349">
      <x:c r="A349" s="105"/>
      <x:c r="B349" s="61"/>
      <x:c r="C349" s="61"/>
      <x:c r="D349" s="61"/>
      <x:c r="E349" s="61"/>
      <x:c r="F349" s="85"/>
      <x:c r="G349" s="85"/>
      <x:c r="H349" s="66"/>
      <x:c r="I349" s="61"/>
      <x:c r="J349" s="61"/>
      <x:c r="K349" s="61"/>
      <x:c r="L349" s="106"/>
    </x:row>
    <x:row r="350">
      <x:c r="A350" s="105"/>
      <x:c r="B350" s="61"/>
      <x:c r="C350" s="61"/>
      <x:c r="D350" s="61"/>
      <x:c r="E350" s="61"/>
      <x:c r="F350" s="85"/>
      <x:c r="G350" s="85"/>
      <x:c r="H350" s="66"/>
      <x:c r="I350" s="61"/>
      <x:c r="J350" s="61"/>
      <x:c r="K350" s="61"/>
      <x:c r="L350" s="106"/>
    </x:row>
    <x:row r="351">
      <x:c r="A351" s="105"/>
      <x:c r="B351" s="61"/>
      <x:c r="C351" s="61"/>
      <x:c r="D351" s="61"/>
      <x:c r="E351" s="61"/>
      <x:c r="F351" s="85"/>
      <x:c r="G351" s="85"/>
      <x:c r="H351" s="66"/>
      <x:c r="I351" s="61"/>
      <x:c r="J351" s="61"/>
      <x:c r="K351" s="61"/>
      <x:c r="L351" s="106"/>
    </x:row>
    <x:row r="352">
      <x:c r="A352" s="105"/>
      <x:c r="B352" s="61"/>
      <x:c r="C352" s="61"/>
      <x:c r="D352" s="61"/>
      <x:c r="E352" s="61"/>
      <x:c r="F352" s="85"/>
      <x:c r="G352" s="85"/>
      <x:c r="H352" s="66"/>
      <x:c r="I352" s="61"/>
      <x:c r="J352" s="61"/>
      <x:c r="K352" s="61"/>
      <x:c r="L352" s="106"/>
    </x:row>
    <x:row r="353">
      <x:c r="A353" s="105"/>
      <x:c r="B353" s="61"/>
      <x:c r="C353" s="61"/>
      <x:c r="D353" s="61"/>
      <x:c r="E353" s="61"/>
      <x:c r="F353" s="85"/>
      <x:c r="G353" s="85"/>
      <x:c r="H353" s="66"/>
      <x:c r="I353" s="61"/>
      <x:c r="J353" s="61"/>
      <x:c r="K353" s="61"/>
      <x:c r="L353" s="106"/>
    </x:row>
    <x:row r="354">
      <x:c r="A354" s="105"/>
      <x:c r="B354" s="61"/>
      <x:c r="C354" s="61"/>
      <x:c r="D354" s="61"/>
      <x:c r="E354" s="61"/>
      <x:c r="F354" s="85"/>
      <x:c r="G354" s="85"/>
      <x:c r="H354" s="66"/>
      <x:c r="I354" s="61"/>
      <x:c r="J354" s="61"/>
      <x:c r="K354" s="61"/>
      <x:c r="L354" s="106"/>
    </x:row>
    <x:row r="355">
      <x:c r="A355" s="105"/>
      <x:c r="B355" s="61"/>
      <x:c r="C355" s="61"/>
      <x:c r="D355" s="61"/>
      <x:c r="E355" s="61"/>
      <x:c r="F355" s="85"/>
      <x:c r="G355" s="85"/>
      <x:c r="H355" s="66"/>
      <x:c r="I355" s="61"/>
      <x:c r="J355" s="61"/>
      <x:c r="K355" s="61"/>
      <x:c r="L355" s="106"/>
    </x:row>
    <x:row r="356">
      <x:c r="A356" s="105"/>
      <x:c r="B356" s="61"/>
      <x:c r="C356" s="61"/>
      <x:c r="D356" s="61"/>
      <x:c r="E356" s="61"/>
      <x:c r="F356" s="85"/>
      <x:c r="G356" s="85"/>
      <x:c r="H356" s="66"/>
      <x:c r="I356" s="61"/>
      <x:c r="J356" s="61"/>
      <x:c r="K356" s="61"/>
      <x:c r="L356" s="106"/>
    </x:row>
    <x:row r="357">
      <x:c r="A357" s="105"/>
      <x:c r="B357" s="61"/>
      <x:c r="C357" s="61"/>
      <x:c r="D357" s="61"/>
      <x:c r="E357" s="61"/>
      <x:c r="F357" s="85"/>
      <x:c r="G357" s="85"/>
      <x:c r="H357" s="66"/>
      <x:c r="I357" s="61"/>
      <x:c r="J357" s="61"/>
      <x:c r="K357" s="61"/>
      <x:c r="L357" s="106"/>
    </x:row>
    <x:row r="358">
      <x:c r="A358" s="105"/>
      <x:c r="B358" s="61"/>
      <x:c r="C358" s="61"/>
      <x:c r="D358" s="61"/>
      <x:c r="E358" s="61"/>
      <x:c r="F358" s="85"/>
      <x:c r="G358" s="85"/>
      <x:c r="H358" s="66"/>
      <x:c r="I358" s="61"/>
      <x:c r="J358" s="61"/>
      <x:c r="K358" s="61"/>
      <x:c r="L358" s="106"/>
    </x:row>
    <x:row r="359">
      <x:c r="A359" s="105"/>
      <x:c r="B359" s="61"/>
      <x:c r="C359" s="61"/>
      <x:c r="D359" s="61"/>
      <x:c r="E359" s="61"/>
      <x:c r="F359" s="85"/>
      <x:c r="G359" s="85"/>
      <x:c r="H359" s="66"/>
      <x:c r="I359" s="61"/>
      <x:c r="J359" s="61"/>
      <x:c r="K359" s="61"/>
      <x:c r="L359" s="106"/>
    </x:row>
    <x:row r="360">
      <x:c r="A360" s="105"/>
      <x:c r="B360" s="61"/>
      <x:c r="C360" s="61"/>
      <x:c r="D360" s="61"/>
      <x:c r="E360" s="61"/>
      <x:c r="F360" s="85"/>
      <x:c r="G360" s="85"/>
      <x:c r="H360" s="66"/>
      <x:c r="I360" s="61"/>
      <x:c r="J360" s="61"/>
      <x:c r="K360" s="61"/>
      <x:c r="L360" s="106"/>
    </x:row>
    <x:row r="361">
      <x:c r="A361" s="105"/>
      <x:c r="B361" s="61"/>
      <x:c r="C361" s="61"/>
      <x:c r="D361" s="61"/>
      <x:c r="E361" s="61"/>
      <x:c r="F361" s="85"/>
      <x:c r="G361" s="85"/>
      <x:c r="H361" s="66"/>
      <x:c r="I361" s="61"/>
      <x:c r="J361" s="61"/>
      <x:c r="K361" s="61"/>
      <x:c r="L361" s="106"/>
    </x:row>
    <x:row r="362">
      <x:c r="A362" s="105"/>
      <x:c r="B362" s="61"/>
      <x:c r="C362" s="61"/>
      <x:c r="D362" s="61"/>
      <x:c r="E362" s="61"/>
      <x:c r="F362" s="85"/>
      <x:c r="G362" s="85"/>
      <x:c r="H362" s="66"/>
      <x:c r="I362" s="61"/>
      <x:c r="J362" s="61"/>
      <x:c r="K362" s="61"/>
      <x:c r="L362" s="106"/>
    </x:row>
    <x:row r="363">
      <x:c r="A363" s="105"/>
      <x:c r="B363" s="61"/>
      <x:c r="C363" s="61"/>
      <x:c r="D363" s="61"/>
      <x:c r="E363" s="61"/>
      <x:c r="F363" s="85"/>
      <x:c r="G363" s="85"/>
      <x:c r="H363" s="66"/>
      <x:c r="I363" s="61"/>
      <x:c r="J363" s="61"/>
      <x:c r="K363" s="61"/>
      <x:c r="L363" s="106"/>
    </x:row>
    <x:row r="364">
      <x:c r="A364" s="105"/>
      <x:c r="B364" s="61"/>
      <x:c r="C364" s="61"/>
      <x:c r="D364" s="61"/>
      <x:c r="E364" s="61"/>
      <x:c r="F364" s="85"/>
      <x:c r="G364" s="85"/>
      <x:c r="H364" s="66"/>
      <x:c r="I364" s="61"/>
      <x:c r="J364" s="61"/>
      <x:c r="K364" s="61"/>
      <x:c r="L364" s="106"/>
    </x:row>
    <x:row r="365">
      <x:c r="A365" s="105"/>
      <x:c r="B365" s="61"/>
      <x:c r="C365" s="61"/>
      <x:c r="D365" s="61"/>
      <x:c r="E365" s="61"/>
      <x:c r="F365" s="85"/>
      <x:c r="G365" s="85"/>
      <x:c r="H365" s="66"/>
      <x:c r="I365" s="61"/>
      <x:c r="J365" s="61"/>
      <x:c r="K365" s="61"/>
      <x:c r="L365" s="106"/>
    </x:row>
    <x:row r="366">
      <x:c r="A366" s="105"/>
      <x:c r="B366" s="61"/>
      <x:c r="C366" s="61"/>
      <x:c r="D366" s="61"/>
      <x:c r="E366" s="61"/>
      <x:c r="F366" s="85"/>
      <x:c r="G366" s="85"/>
      <x:c r="H366" s="66"/>
      <x:c r="I366" s="61"/>
      <x:c r="J366" s="61"/>
      <x:c r="K366" s="61"/>
      <x:c r="L366" s="106"/>
    </x:row>
    <x:row r="367">
      <x:c r="A367" s="105"/>
      <x:c r="B367" s="61"/>
      <x:c r="C367" s="61"/>
      <x:c r="D367" s="61"/>
      <x:c r="E367" s="61"/>
      <x:c r="F367" s="85"/>
      <x:c r="G367" s="85"/>
      <x:c r="H367" s="66"/>
      <x:c r="I367" s="61"/>
      <x:c r="J367" s="61"/>
      <x:c r="K367" s="61"/>
      <x:c r="L367" s="106"/>
    </x:row>
    <x:row r="368">
      <x:c r="A368" s="105"/>
      <x:c r="B368" s="61"/>
      <x:c r="C368" s="61"/>
      <x:c r="D368" s="61"/>
      <x:c r="E368" s="61"/>
      <x:c r="F368" s="85"/>
      <x:c r="G368" s="85"/>
      <x:c r="H368" s="66"/>
      <x:c r="I368" s="61"/>
      <x:c r="J368" s="61"/>
      <x:c r="K368" s="61"/>
      <x:c r="L368" s="106"/>
    </x:row>
    <x:row r="369">
      <x:c r="A369" s="105"/>
      <x:c r="B369" s="61"/>
      <x:c r="C369" s="61"/>
      <x:c r="D369" s="61"/>
      <x:c r="E369" s="61"/>
      <x:c r="F369" s="85"/>
      <x:c r="G369" s="85"/>
      <x:c r="H369" s="66"/>
      <x:c r="I369" s="61"/>
      <x:c r="J369" s="61"/>
      <x:c r="K369" s="61"/>
      <x:c r="L369" s="106"/>
    </x:row>
    <x:row r="370">
      <x:c r="A370" s="105"/>
      <x:c r="B370" s="61"/>
      <x:c r="C370" s="61"/>
      <x:c r="D370" s="61"/>
      <x:c r="E370" s="61"/>
      <x:c r="F370" s="85"/>
      <x:c r="G370" s="85"/>
      <x:c r="H370" s="66"/>
      <x:c r="I370" s="61"/>
      <x:c r="J370" s="61"/>
      <x:c r="K370" s="61"/>
      <x:c r="L370" s="106"/>
    </x:row>
    <x:row r="371">
      <x:c r="A371" s="105"/>
      <x:c r="B371" s="61"/>
      <x:c r="C371" s="61"/>
      <x:c r="D371" s="61"/>
      <x:c r="E371" s="61"/>
      <x:c r="F371" s="85"/>
      <x:c r="G371" s="85"/>
      <x:c r="H371" s="66"/>
      <x:c r="I371" s="61"/>
      <x:c r="J371" s="61"/>
      <x:c r="K371" s="61"/>
      <x:c r="L371" s="106"/>
    </x:row>
    <x:row r="372">
      <x:c r="A372" s="105"/>
      <x:c r="B372" s="61"/>
      <x:c r="C372" s="61"/>
      <x:c r="D372" s="61"/>
      <x:c r="E372" s="61"/>
      <x:c r="F372" s="85"/>
      <x:c r="G372" s="85"/>
      <x:c r="H372" s="66"/>
      <x:c r="I372" s="61"/>
      <x:c r="J372" s="61"/>
      <x:c r="K372" s="61"/>
      <x:c r="L372" s="106"/>
    </x:row>
    <x:row r="373">
      <x:c r="A373" s="105"/>
      <x:c r="B373" s="61"/>
      <x:c r="C373" s="61"/>
      <x:c r="D373" s="61"/>
      <x:c r="E373" s="61"/>
      <x:c r="F373" s="85"/>
      <x:c r="G373" s="85"/>
      <x:c r="H373" s="66"/>
      <x:c r="I373" s="61"/>
      <x:c r="J373" s="61"/>
      <x:c r="K373" s="61"/>
      <x:c r="L373" s="106"/>
    </x:row>
    <x:row r="374">
      <x:c r="A374" s="105"/>
      <x:c r="B374" s="61"/>
      <x:c r="C374" s="61"/>
      <x:c r="D374" s="61"/>
      <x:c r="E374" s="61"/>
      <x:c r="F374" s="85"/>
      <x:c r="G374" s="85"/>
      <x:c r="H374" s="66"/>
      <x:c r="I374" s="61"/>
      <x:c r="J374" s="61"/>
      <x:c r="K374" s="61"/>
      <x:c r="L374" s="106"/>
    </x:row>
    <x:row r="375">
      <x:c r="A375" s="105"/>
      <x:c r="B375" s="61"/>
      <x:c r="C375" s="61"/>
      <x:c r="D375" s="61"/>
      <x:c r="E375" s="61"/>
      <x:c r="F375" s="85"/>
      <x:c r="G375" s="85"/>
      <x:c r="H375" s="66"/>
      <x:c r="I375" s="61"/>
      <x:c r="J375" s="61"/>
      <x:c r="K375" s="61"/>
      <x:c r="L375" s="106"/>
    </x:row>
    <x:row r="376">
      <x:c r="A376" s="105"/>
      <x:c r="B376" s="61"/>
      <x:c r="C376" s="61"/>
      <x:c r="D376" s="61"/>
      <x:c r="E376" s="61"/>
      <x:c r="F376" s="85"/>
      <x:c r="G376" s="85"/>
      <x:c r="H376" s="66"/>
      <x:c r="I376" s="61"/>
      <x:c r="J376" s="61"/>
      <x:c r="K376" s="61"/>
      <x:c r="L376" s="106"/>
    </x:row>
    <x:row r="377">
      <x:c r="A377" s="105"/>
      <x:c r="B377" s="61"/>
      <x:c r="C377" s="61"/>
      <x:c r="D377" s="61"/>
      <x:c r="E377" s="61"/>
      <x:c r="F377" s="85"/>
      <x:c r="G377" s="85"/>
      <x:c r="H377" s="66"/>
      <x:c r="I377" s="61"/>
      <x:c r="J377" s="61"/>
      <x:c r="K377" s="61"/>
      <x:c r="L377" s="106"/>
    </x:row>
    <x:row r="378">
      <x:c r="A378" s="105"/>
      <x:c r="B378" s="61"/>
      <x:c r="C378" s="61"/>
      <x:c r="D378" s="61"/>
      <x:c r="E378" s="61"/>
      <x:c r="F378" s="85"/>
      <x:c r="G378" s="85"/>
      <x:c r="H378" s="66"/>
      <x:c r="I378" s="61"/>
      <x:c r="J378" s="61"/>
      <x:c r="K378" s="61"/>
      <x:c r="L378" s="106"/>
    </x:row>
    <x:row r="379">
      <x:c r="A379" s="105"/>
      <x:c r="B379" s="61"/>
      <x:c r="C379" s="61"/>
      <x:c r="D379" s="61"/>
      <x:c r="E379" s="61"/>
      <x:c r="F379" s="85"/>
      <x:c r="G379" s="85"/>
      <x:c r="H379" s="66"/>
      <x:c r="I379" s="61"/>
      <x:c r="J379" s="61"/>
      <x:c r="K379" s="61"/>
      <x:c r="L379" s="106"/>
    </x:row>
    <x:row r="380">
      <x:c r="A380" s="105"/>
      <x:c r="B380" s="61"/>
      <x:c r="C380" s="61"/>
      <x:c r="D380" s="61"/>
      <x:c r="E380" s="61"/>
      <x:c r="F380" s="85"/>
      <x:c r="G380" s="85"/>
      <x:c r="H380" s="66"/>
      <x:c r="I380" s="61"/>
      <x:c r="J380" s="61"/>
      <x:c r="K380" s="61"/>
      <x:c r="L380" s="106"/>
    </x:row>
    <x:row r="381">
      <x:c r="A381" s="105"/>
      <x:c r="B381" s="61"/>
      <x:c r="C381" s="61"/>
      <x:c r="D381" s="61"/>
      <x:c r="E381" s="61"/>
      <x:c r="F381" s="85"/>
      <x:c r="G381" s="85"/>
      <x:c r="H381" s="66"/>
      <x:c r="I381" s="61"/>
      <x:c r="J381" s="61"/>
      <x:c r="K381" s="61"/>
      <x:c r="L381" s="106"/>
    </x:row>
    <x:row r="382">
      <x:c r="A382" s="105"/>
      <x:c r="B382" s="61"/>
      <x:c r="C382" s="61"/>
      <x:c r="D382" s="61"/>
      <x:c r="E382" s="61"/>
      <x:c r="F382" s="85"/>
      <x:c r="G382" s="85"/>
      <x:c r="H382" s="66"/>
      <x:c r="I382" s="61"/>
      <x:c r="J382" s="61"/>
      <x:c r="K382" s="61"/>
      <x:c r="L382" s="106"/>
    </x:row>
    <x:row r="383">
      <x:c r="A383" s="105"/>
      <x:c r="B383" s="61"/>
      <x:c r="C383" s="61"/>
      <x:c r="D383" s="61"/>
      <x:c r="E383" s="61"/>
      <x:c r="F383" s="85"/>
      <x:c r="G383" s="85"/>
      <x:c r="H383" s="66"/>
      <x:c r="I383" s="61"/>
      <x:c r="J383" s="61"/>
      <x:c r="K383" s="61"/>
      <x:c r="L383" s="106"/>
    </x:row>
    <x:row r="384">
      <x:c r="A384" s="105"/>
      <x:c r="B384" s="61"/>
      <x:c r="C384" s="61"/>
      <x:c r="D384" s="61"/>
      <x:c r="E384" s="61"/>
      <x:c r="F384" s="85"/>
      <x:c r="G384" s="85"/>
      <x:c r="H384" s="66"/>
      <x:c r="I384" s="61"/>
      <x:c r="J384" s="61"/>
      <x:c r="K384" s="61"/>
      <x:c r="L384" s="106"/>
    </x:row>
    <x:row r="385">
      <x:c r="A385" s="105"/>
      <x:c r="B385" s="61"/>
      <x:c r="C385" s="61"/>
      <x:c r="D385" s="61"/>
      <x:c r="E385" s="61"/>
      <x:c r="F385" s="85"/>
      <x:c r="G385" s="85"/>
      <x:c r="H385" s="66"/>
      <x:c r="I385" s="61"/>
      <x:c r="J385" s="61"/>
      <x:c r="K385" s="61"/>
      <x:c r="L385" s="106"/>
    </x:row>
    <x:row r="386">
      <x:c r="A386" s="105"/>
      <x:c r="B386" s="61"/>
      <x:c r="C386" s="61"/>
      <x:c r="D386" s="61"/>
      <x:c r="E386" s="61"/>
      <x:c r="F386" s="85"/>
      <x:c r="G386" s="85"/>
      <x:c r="H386" s="66"/>
      <x:c r="I386" s="61"/>
      <x:c r="J386" s="61"/>
      <x:c r="K386" s="61"/>
      <x:c r="L386" s="106"/>
    </x:row>
    <x:row r="387">
      <x:c r="A387" s="105"/>
      <x:c r="B387" s="61"/>
      <x:c r="C387" s="61"/>
      <x:c r="D387" s="61"/>
      <x:c r="E387" s="61"/>
      <x:c r="F387" s="85"/>
      <x:c r="G387" s="85"/>
      <x:c r="H387" s="66"/>
      <x:c r="I387" s="61"/>
      <x:c r="J387" s="61"/>
      <x:c r="K387" s="61"/>
      <x:c r="L387" s="106"/>
    </x:row>
    <x:row r="388">
      <x:c r="A388" s="105"/>
      <x:c r="B388" s="61"/>
      <x:c r="C388" s="61"/>
      <x:c r="D388" s="61"/>
      <x:c r="E388" s="61"/>
      <x:c r="F388" s="85"/>
      <x:c r="G388" s="85"/>
      <x:c r="H388" s="66"/>
      <x:c r="I388" s="61"/>
      <x:c r="J388" s="61"/>
      <x:c r="K388" s="61"/>
      <x:c r="L388" s="106"/>
    </x:row>
    <x:row r="389">
      <x:c r="A389" s="105"/>
      <x:c r="B389" s="61"/>
      <x:c r="C389" s="61"/>
      <x:c r="D389" s="61"/>
      <x:c r="E389" s="61"/>
      <x:c r="F389" s="85"/>
      <x:c r="G389" s="85"/>
      <x:c r="H389" s="66"/>
      <x:c r="I389" s="61"/>
      <x:c r="J389" s="61"/>
      <x:c r="K389" s="61"/>
      <x:c r="L389" s="106"/>
    </x:row>
    <x:row r="390">
      <x:c r="A390" s="105"/>
      <x:c r="B390" s="61"/>
      <x:c r="C390" s="61"/>
      <x:c r="D390" s="61"/>
      <x:c r="E390" s="61"/>
      <x:c r="F390" s="85"/>
      <x:c r="G390" s="85"/>
      <x:c r="H390" s="66"/>
      <x:c r="I390" s="61"/>
      <x:c r="J390" s="61"/>
      <x:c r="K390" s="61"/>
      <x:c r="L390" s="106"/>
    </x:row>
    <x:row r="391">
      <x:c r="A391" s="105"/>
      <x:c r="B391" s="61"/>
      <x:c r="C391" s="61"/>
      <x:c r="D391" s="61"/>
      <x:c r="E391" s="61"/>
      <x:c r="F391" s="85"/>
      <x:c r="G391" s="85"/>
      <x:c r="H391" s="66"/>
      <x:c r="I391" s="61"/>
      <x:c r="J391" s="61"/>
      <x:c r="K391" s="61"/>
      <x:c r="L391" s="106"/>
    </x:row>
    <x:row r="392">
      <x:c r="A392" s="105"/>
      <x:c r="B392" s="61"/>
      <x:c r="C392" s="61"/>
      <x:c r="D392" s="61"/>
      <x:c r="E392" s="61"/>
      <x:c r="F392" s="85"/>
      <x:c r="G392" s="85"/>
      <x:c r="H392" s="66"/>
      <x:c r="I392" s="61"/>
      <x:c r="J392" s="61"/>
      <x:c r="K392" s="61"/>
      <x:c r="L392" s="106"/>
    </x:row>
    <x:row r="393">
      <x:c r="A393" s="105"/>
      <x:c r="B393" s="61"/>
      <x:c r="C393" s="61"/>
      <x:c r="D393" s="61"/>
      <x:c r="E393" s="61"/>
      <x:c r="F393" s="85"/>
      <x:c r="G393" s="85"/>
      <x:c r="H393" s="66"/>
      <x:c r="I393" s="61"/>
      <x:c r="J393" s="61"/>
      <x:c r="K393" s="61"/>
      <x:c r="L393" s="106"/>
    </x:row>
    <x:row r="394">
      <x:c r="A394" s="105"/>
      <x:c r="B394" s="61"/>
      <x:c r="C394" s="61"/>
      <x:c r="D394" s="61"/>
      <x:c r="E394" s="61"/>
      <x:c r="F394" s="85"/>
      <x:c r="G394" s="85"/>
      <x:c r="H394" s="66"/>
      <x:c r="I394" s="61"/>
      <x:c r="J394" s="61"/>
      <x:c r="K394" s="61"/>
      <x:c r="L394" s="106"/>
    </x:row>
    <x:row r="395">
      <x:c r="A395" s="105"/>
      <x:c r="B395" s="61"/>
      <x:c r="C395" s="61"/>
      <x:c r="D395" s="61"/>
      <x:c r="E395" s="61"/>
      <x:c r="F395" s="85"/>
      <x:c r="G395" s="85"/>
      <x:c r="H395" s="66"/>
      <x:c r="I395" s="61"/>
      <x:c r="J395" s="61"/>
      <x:c r="K395" s="61"/>
      <x:c r="L395" s="106"/>
    </x:row>
    <x:row r="396">
      <x:c r="A396" s="105"/>
      <x:c r="B396" s="61"/>
      <x:c r="C396" s="61"/>
      <x:c r="D396" s="61"/>
      <x:c r="E396" s="61"/>
      <x:c r="F396" s="85"/>
      <x:c r="G396" s="85"/>
      <x:c r="H396" s="66"/>
      <x:c r="I396" s="61"/>
      <x:c r="J396" s="61"/>
      <x:c r="K396" s="61"/>
      <x:c r="L396" s="106"/>
    </x:row>
    <x:row r="397">
      <x:c r="A397" s="105"/>
      <x:c r="B397" s="61"/>
      <x:c r="C397" s="61"/>
      <x:c r="D397" s="61"/>
      <x:c r="E397" s="61"/>
      <x:c r="F397" s="85"/>
      <x:c r="G397" s="85"/>
      <x:c r="H397" s="66"/>
      <x:c r="I397" s="61"/>
      <x:c r="J397" s="61"/>
      <x:c r="K397" s="61"/>
      <x:c r="L397" s="106"/>
    </x:row>
    <x:row r="398">
      <x:c r="A398" s="105"/>
      <x:c r="B398" s="61"/>
      <x:c r="C398" s="61"/>
      <x:c r="D398" s="61"/>
      <x:c r="E398" s="61"/>
      <x:c r="F398" s="85"/>
      <x:c r="G398" s="85"/>
      <x:c r="H398" s="66"/>
      <x:c r="I398" s="61"/>
      <x:c r="J398" s="61"/>
      <x:c r="K398" s="61"/>
      <x:c r="L398" s="106"/>
    </x:row>
    <x:row r="399">
      <x:c r="A399" s="105"/>
      <x:c r="B399" s="61"/>
      <x:c r="C399" s="61"/>
      <x:c r="D399" s="61"/>
      <x:c r="E399" s="61"/>
      <x:c r="F399" s="85"/>
      <x:c r="G399" s="85"/>
      <x:c r="H399" s="66"/>
      <x:c r="I399" s="61"/>
      <x:c r="J399" s="61"/>
      <x:c r="K399" s="61"/>
      <x:c r="L399" s="106"/>
    </x:row>
    <x:row r="400">
      <x:c r="A400" s="105"/>
      <x:c r="B400" s="61"/>
      <x:c r="C400" s="61"/>
      <x:c r="D400" s="61"/>
      <x:c r="E400" s="61"/>
      <x:c r="F400" s="85"/>
      <x:c r="G400" s="85"/>
      <x:c r="H400" s="66"/>
      <x:c r="I400" s="61"/>
      <x:c r="J400" s="61"/>
      <x:c r="K400" s="61"/>
      <x:c r="L400" s="106"/>
    </x:row>
    <x:row r="401">
      <x:c r="A401" s="105"/>
      <x:c r="B401" s="61"/>
      <x:c r="C401" s="61"/>
      <x:c r="D401" s="61"/>
      <x:c r="E401" s="61"/>
      <x:c r="F401" s="85"/>
      <x:c r="G401" s="85"/>
      <x:c r="H401" s="66"/>
      <x:c r="I401" s="61"/>
      <x:c r="J401" s="61"/>
      <x:c r="K401" s="61"/>
      <x:c r="L401" s="106"/>
    </x:row>
    <x:row r="402">
      <x:c r="A402" s="105"/>
      <x:c r="B402" s="61"/>
      <x:c r="C402" s="61"/>
      <x:c r="D402" s="61"/>
      <x:c r="E402" s="61"/>
      <x:c r="F402" s="85"/>
      <x:c r="G402" s="85"/>
      <x:c r="H402" s="66"/>
      <x:c r="I402" s="61"/>
      <x:c r="J402" s="61"/>
      <x:c r="K402" s="61"/>
      <x:c r="L402" s="106"/>
    </x:row>
    <x:row r="403">
      <x:c r="A403" s="105"/>
      <x:c r="B403" s="61"/>
      <x:c r="C403" s="61"/>
      <x:c r="D403" s="61"/>
      <x:c r="E403" s="61"/>
      <x:c r="F403" s="85"/>
      <x:c r="G403" s="85"/>
      <x:c r="H403" s="66"/>
      <x:c r="I403" s="61"/>
      <x:c r="J403" s="61"/>
      <x:c r="K403" s="61"/>
      <x:c r="L403" s="106"/>
    </x:row>
    <x:row r="404">
      <x:c r="A404" s="105"/>
      <x:c r="B404" s="61"/>
      <x:c r="C404" s="61"/>
      <x:c r="D404" s="61"/>
      <x:c r="E404" s="61"/>
      <x:c r="F404" s="85"/>
      <x:c r="G404" s="85"/>
      <x:c r="H404" s="66"/>
      <x:c r="I404" s="61"/>
      <x:c r="J404" s="61"/>
      <x:c r="K404" s="61"/>
      <x:c r="L404" s="106"/>
    </x:row>
    <x:row r="405">
      <x:c r="A405" s="105"/>
      <x:c r="B405" s="61"/>
      <x:c r="C405" s="61"/>
      <x:c r="D405" s="61"/>
      <x:c r="E405" s="61"/>
      <x:c r="F405" s="85"/>
      <x:c r="G405" s="85"/>
      <x:c r="H405" s="66"/>
      <x:c r="I405" s="61"/>
      <x:c r="J405" s="61"/>
      <x:c r="K405" s="61"/>
      <x:c r="L405" s="106"/>
    </x:row>
    <x:row r="406">
      <x:c r="A406" s="105"/>
      <x:c r="B406" s="61"/>
      <x:c r="C406" s="61"/>
      <x:c r="D406" s="61"/>
      <x:c r="E406" s="61"/>
      <x:c r="F406" s="85"/>
      <x:c r="G406" s="85"/>
      <x:c r="H406" s="66"/>
      <x:c r="I406" s="61"/>
      <x:c r="J406" s="61"/>
      <x:c r="K406" s="61"/>
      <x:c r="L406" s="106"/>
    </x:row>
    <x:row r="407">
      <x:c r="A407" s="105"/>
      <x:c r="B407" s="61"/>
      <x:c r="C407" s="61"/>
      <x:c r="D407" s="61"/>
      <x:c r="E407" s="61"/>
      <x:c r="F407" s="85"/>
      <x:c r="G407" s="85"/>
      <x:c r="H407" s="66"/>
      <x:c r="I407" s="61"/>
      <x:c r="J407" s="61"/>
      <x:c r="K407" s="61"/>
      <x:c r="L407" s="106"/>
    </x:row>
    <x:row r="408">
      <x:c r="A408" s="105"/>
      <x:c r="B408" s="61"/>
      <x:c r="C408" s="61"/>
      <x:c r="D408" s="61"/>
      <x:c r="E408" s="61"/>
      <x:c r="F408" s="85"/>
      <x:c r="G408" s="85"/>
      <x:c r="H408" s="66"/>
      <x:c r="I408" s="61"/>
      <x:c r="J408" s="61"/>
      <x:c r="K408" s="61"/>
      <x:c r="L408" s="106"/>
    </x:row>
    <x:row r="409">
      <x:c r="A409" s="105"/>
      <x:c r="B409" s="61"/>
      <x:c r="C409" s="61"/>
      <x:c r="D409" s="61"/>
      <x:c r="E409" s="61"/>
      <x:c r="F409" s="85"/>
      <x:c r="G409" s="85"/>
      <x:c r="H409" s="66"/>
      <x:c r="I409" s="61"/>
      <x:c r="J409" s="61"/>
      <x:c r="K409" s="61"/>
      <x:c r="L409" s="106"/>
    </x:row>
    <x:row r="410">
      <x:c r="A410" s="105"/>
      <x:c r="B410" s="61"/>
      <x:c r="C410" s="61"/>
      <x:c r="D410" s="61"/>
      <x:c r="E410" s="61"/>
      <x:c r="F410" s="85"/>
      <x:c r="G410" s="85"/>
      <x:c r="H410" s="66"/>
      <x:c r="I410" s="61"/>
      <x:c r="J410" s="61"/>
      <x:c r="K410" s="61"/>
      <x:c r="L410" s="106"/>
    </x:row>
    <x:row r="411">
      <x:c r="A411" s="105"/>
      <x:c r="B411" s="61"/>
      <x:c r="C411" s="61"/>
      <x:c r="D411" s="61"/>
      <x:c r="E411" s="61"/>
      <x:c r="F411" s="85"/>
      <x:c r="G411" s="85"/>
      <x:c r="H411" s="66"/>
      <x:c r="I411" s="61"/>
      <x:c r="J411" s="61"/>
      <x:c r="K411" s="61"/>
      <x:c r="L411" s="106"/>
    </x:row>
    <x:row r="412">
      <x:c r="A412" s="105"/>
      <x:c r="B412" s="61"/>
      <x:c r="C412" s="61"/>
      <x:c r="D412" s="61"/>
      <x:c r="E412" s="61"/>
      <x:c r="F412" s="85"/>
      <x:c r="G412" s="85"/>
      <x:c r="H412" s="66"/>
      <x:c r="I412" s="61"/>
      <x:c r="J412" s="61"/>
      <x:c r="K412" s="61"/>
      <x:c r="L412" s="106"/>
    </x:row>
    <x:row r="413">
      <x:c r="A413" s="105"/>
      <x:c r="B413" s="61"/>
      <x:c r="C413" s="61"/>
      <x:c r="D413" s="61"/>
      <x:c r="E413" s="61"/>
      <x:c r="F413" s="85"/>
      <x:c r="G413" s="85"/>
      <x:c r="H413" s="66"/>
      <x:c r="I413" s="61"/>
      <x:c r="J413" s="61"/>
      <x:c r="K413" s="61"/>
      <x:c r="L413" s="106"/>
    </x:row>
    <x:row r="414">
      <x:c r="A414" s="105"/>
      <x:c r="B414" s="61"/>
      <x:c r="C414" s="61"/>
      <x:c r="D414" s="61"/>
      <x:c r="E414" s="61"/>
      <x:c r="F414" s="85"/>
      <x:c r="G414" s="85"/>
      <x:c r="H414" s="66"/>
      <x:c r="I414" s="61"/>
      <x:c r="J414" s="61"/>
      <x:c r="K414" s="61"/>
      <x:c r="L414" s="106"/>
    </x:row>
    <x:row r="415">
      <x:c r="A415" s="105"/>
      <x:c r="B415" s="61"/>
      <x:c r="C415" s="61"/>
      <x:c r="D415" s="61"/>
      <x:c r="E415" s="61"/>
      <x:c r="F415" s="85"/>
      <x:c r="G415" s="85"/>
      <x:c r="H415" s="66"/>
      <x:c r="I415" s="61"/>
      <x:c r="J415" s="61"/>
      <x:c r="K415" s="61"/>
      <x:c r="L415" s="106"/>
    </x:row>
    <x:row r="416">
      <x:c r="A416" s="105"/>
      <x:c r="B416" s="61"/>
      <x:c r="C416" s="61"/>
      <x:c r="D416" s="61"/>
      <x:c r="E416" s="61"/>
      <x:c r="F416" s="85"/>
      <x:c r="G416" s="85"/>
      <x:c r="H416" s="66"/>
      <x:c r="I416" s="61"/>
      <x:c r="J416" s="61"/>
      <x:c r="K416" s="61"/>
      <x:c r="L416" s="106"/>
    </x:row>
    <x:row r="417">
      <x:c r="A417" s="105"/>
      <x:c r="B417" s="61"/>
      <x:c r="C417" s="61"/>
      <x:c r="D417" s="61"/>
      <x:c r="E417" s="61"/>
      <x:c r="F417" s="85"/>
      <x:c r="G417" s="85"/>
      <x:c r="H417" s="66"/>
      <x:c r="I417" s="61"/>
      <x:c r="J417" s="61"/>
      <x:c r="K417" s="61"/>
      <x:c r="L417" s="106"/>
    </x:row>
    <x:row r="418">
      <x:c r="A418" s="105"/>
      <x:c r="B418" s="61"/>
      <x:c r="C418" s="61"/>
      <x:c r="D418" s="61"/>
      <x:c r="E418" s="61"/>
      <x:c r="F418" s="85"/>
      <x:c r="G418" s="85"/>
      <x:c r="H418" s="66"/>
      <x:c r="I418" s="61"/>
      <x:c r="J418" s="61"/>
      <x:c r="K418" s="61"/>
      <x:c r="L418" s="106"/>
    </x:row>
    <x:row r="419">
      <x:c r="A419" s="105"/>
      <x:c r="B419" s="61"/>
      <x:c r="C419" s="61"/>
      <x:c r="D419" s="61"/>
      <x:c r="E419" s="61"/>
      <x:c r="F419" s="85"/>
      <x:c r="G419" s="85"/>
      <x:c r="H419" s="66"/>
      <x:c r="I419" s="61"/>
      <x:c r="J419" s="61"/>
      <x:c r="K419" s="61"/>
      <x:c r="L419" s="106"/>
    </x:row>
    <x:row r="420">
      <x:c r="A420" s="105"/>
      <x:c r="B420" s="61"/>
      <x:c r="C420" s="61"/>
      <x:c r="D420" s="61"/>
      <x:c r="E420" s="61"/>
      <x:c r="F420" s="85"/>
      <x:c r="G420" s="85"/>
      <x:c r="H420" s="66"/>
      <x:c r="I420" s="61"/>
      <x:c r="J420" s="61"/>
      <x:c r="K420" s="61"/>
      <x:c r="L420" s="106"/>
    </x:row>
    <x:row r="421">
      <x:c r="A421" s="105"/>
      <x:c r="B421" s="61"/>
      <x:c r="C421" s="61"/>
      <x:c r="D421" s="61"/>
      <x:c r="E421" s="61"/>
      <x:c r="F421" s="85"/>
      <x:c r="G421" s="85"/>
      <x:c r="H421" s="66"/>
      <x:c r="I421" s="61"/>
      <x:c r="J421" s="61"/>
      <x:c r="K421" s="61"/>
      <x:c r="L421" s="106"/>
    </x:row>
    <x:row r="422">
      <x:c r="A422" s="105"/>
      <x:c r="B422" s="61"/>
      <x:c r="C422" s="61"/>
      <x:c r="D422" s="61"/>
      <x:c r="E422" s="61"/>
      <x:c r="F422" s="85"/>
      <x:c r="G422" s="85"/>
      <x:c r="H422" s="66"/>
      <x:c r="I422" s="61"/>
      <x:c r="J422" s="61"/>
      <x:c r="K422" s="61"/>
      <x:c r="L422" s="106"/>
    </x:row>
    <x:row r="423">
      <x:c r="A423" s="105"/>
      <x:c r="B423" s="61"/>
      <x:c r="C423" s="61"/>
      <x:c r="D423" s="61"/>
      <x:c r="E423" s="61"/>
      <x:c r="F423" s="85"/>
      <x:c r="G423" s="85"/>
      <x:c r="H423" s="66"/>
      <x:c r="I423" s="61"/>
      <x:c r="J423" s="61"/>
      <x:c r="K423" s="61"/>
      <x:c r="L423" s="106"/>
    </x:row>
    <x:row r="424">
      <x:c r="A424" s="105"/>
      <x:c r="B424" s="61"/>
      <x:c r="C424" s="61"/>
      <x:c r="D424" s="61"/>
      <x:c r="E424" s="61"/>
      <x:c r="F424" s="85"/>
      <x:c r="G424" s="85"/>
      <x:c r="H424" s="66"/>
      <x:c r="I424" s="61"/>
      <x:c r="J424" s="61"/>
      <x:c r="K424" s="61"/>
      <x:c r="L424" s="106"/>
    </x:row>
    <x:row r="425">
      <x:c r="A425" s="105"/>
      <x:c r="B425" s="61"/>
      <x:c r="C425" s="61"/>
      <x:c r="D425" s="61"/>
      <x:c r="E425" s="61"/>
      <x:c r="F425" s="85"/>
      <x:c r="G425" s="85"/>
      <x:c r="H425" s="66"/>
      <x:c r="I425" s="61"/>
      <x:c r="J425" s="61"/>
      <x:c r="K425" s="61"/>
      <x:c r="L425" s="106"/>
    </x:row>
    <x:row r="426">
      <x:c r="A426" s="105"/>
      <x:c r="B426" s="61"/>
      <x:c r="C426" s="61"/>
      <x:c r="D426" s="61"/>
      <x:c r="E426" s="61"/>
      <x:c r="F426" s="85"/>
      <x:c r="G426" s="85"/>
      <x:c r="H426" s="66"/>
      <x:c r="I426" s="61"/>
      <x:c r="J426" s="61"/>
      <x:c r="K426" s="61"/>
      <x:c r="L426" s="106"/>
    </x:row>
    <x:row r="427">
      <x:c r="A427" s="105"/>
      <x:c r="B427" s="61"/>
      <x:c r="C427" s="61"/>
      <x:c r="D427" s="61"/>
      <x:c r="E427" s="61"/>
      <x:c r="F427" s="85"/>
      <x:c r="G427" s="85"/>
      <x:c r="H427" s="66"/>
      <x:c r="I427" s="61"/>
      <x:c r="J427" s="61"/>
      <x:c r="K427" s="61"/>
      <x:c r="L427" s="106"/>
    </x:row>
    <x:row r="428">
      <x:c r="A428" s="105"/>
      <x:c r="B428" s="61"/>
      <x:c r="C428" s="61"/>
      <x:c r="D428" s="61"/>
      <x:c r="E428" s="61"/>
      <x:c r="F428" s="85"/>
      <x:c r="G428" s="85"/>
      <x:c r="H428" s="66"/>
      <x:c r="I428" s="61"/>
      <x:c r="J428" s="61"/>
      <x:c r="K428" s="61"/>
      <x:c r="L428" s="106"/>
    </x:row>
    <x:row r="429">
      <x:c r="A429" s="105"/>
      <x:c r="B429" s="61"/>
      <x:c r="C429" s="61"/>
      <x:c r="D429" s="61"/>
      <x:c r="E429" s="61"/>
      <x:c r="F429" s="85"/>
      <x:c r="G429" s="85"/>
      <x:c r="H429" s="66"/>
      <x:c r="I429" s="61"/>
      <x:c r="J429" s="61"/>
      <x:c r="K429" s="61"/>
      <x:c r="L429" s="106"/>
    </x:row>
    <x:row r="430">
      <x:c r="A430" s="105"/>
      <x:c r="B430" s="61"/>
      <x:c r="C430" s="61"/>
      <x:c r="D430" s="61"/>
      <x:c r="E430" s="61"/>
      <x:c r="F430" s="85"/>
      <x:c r="G430" s="85"/>
      <x:c r="H430" s="66"/>
      <x:c r="I430" s="61"/>
      <x:c r="J430" s="61"/>
      <x:c r="K430" s="61"/>
      <x:c r="L430" s="106"/>
    </x:row>
    <x:row r="431">
      <x:c r="A431" s="105"/>
      <x:c r="B431" s="61"/>
      <x:c r="C431" s="61"/>
      <x:c r="D431" s="61"/>
      <x:c r="E431" s="61"/>
      <x:c r="F431" s="85"/>
      <x:c r="G431" s="85"/>
      <x:c r="H431" s="66"/>
      <x:c r="I431" s="61"/>
      <x:c r="J431" s="61"/>
      <x:c r="K431" s="61"/>
      <x:c r="L431" s="106"/>
    </x:row>
    <x:row r="432">
      <x:c r="A432" s="105"/>
      <x:c r="B432" s="61"/>
      <x:c r="C432" s="61"/>
      <x:c r="D432" s="61"/>
      <x:c r="E432" s="61"/>
      <x:c r="F432" s="85"/>
      <x:c r="G432" s="85"/>
      <x:c r="H432" s="66"/>
      <x:c r="I432" s="61"/>
      <x:c r="J432" s="61"/>
      <x:c r="K432" s="61"/>
      <x:c r="L432" s="106"/>
    </x:row>
    <x:row r="433">
      <x:c r="A433" s="105"/>
      <x:c r="B433" s="61"/>
      <x:c r="C433" s="61"/>
      <x:c r="D433" s="61"/>
      <x:c r="E433" s="61"/>
      <x:c r="F433" s="85"/>
      <x:c r="G433" s="85"/>
      <x:c r="H433" s="66"/>
      <x:c r="I433" s="61"/>
      <x:c r="J433" s="61"/>
      <x:c r="K433" s="61"/>
      <x:c r="L433" s="106"/>
    </x:row>
    <x:row r="434">
      <x:c r="A434" s="105"/>
      <x:c r="B434" s="61"/>
      <x:c r="C434" s="61"/>
      <x:c r="D434" s="61"/>
      <x:c r="E434" s="61"/>
      <x:c r="F434" s="85"/>
      <x:c r="G434" s="85"/>
      <x:c r="H434" s="66"/>
      <x:c r="I434" s="61"/>
      <x:c r="J434" s="61"/>
      <x:c r="K434" s="61"/>
      <x:c r="L434" s="106"/>
    </x:row>
    <x:row r="435">
      <x:c r="A435" s="105"/>
      <x:c r="B435" s="61"/>
      <x:c r="C435" s="61"/>
      <x:c r="D435" s="61"/>
      <x:c r="E435" s="61"/>
      <x:c r="F435" s="85"/>
      <x:c r="G435" s="85"/>
      <x:c r="H435" s="66"/>
      <x:c r="I435" s="61"/>
      <x:c r="J435" s="61"/>
      <x:c r="K435" s="61"/>
      <x:c r="L435" s="106"/>
    </x:row>
    <x:row r="436">
      <x:c r="A436" s="105"/>
      <x:c r="B436" s="61"/>
      <x:c r="C436" s="61"/>
      <x:c r="D436" s="61"/>
      <x:c r="E436" s="61"/>
      <x:c r="F436" s="85"/>
      <x:c r="G436" s="85"/>
      <x:c r="H436" s="66"/>
      <x:c r="I436" s="61"/>
      <x:c r="J436" s="61"/>
      <x:c r="K436" s="61"/>
      <x:c r="L436" s="106"/>
    </x:row>
    <x:row r="437">
      <x:c r="A437" s="105"/>
      <x:c r="B437" s="61"/>
      <x:c r="C437" s="61"/>
      <x:c r="D437" s="61"/>
      <x:c r="E437" s="61"/>
      <x:c r="F437" s="85"/>
      <x:c r="G437" s="85"/>
      <x:c r="H437" s="66"/>
      <x:c r="I437" s="61"/>
      <x:c r="J437" s="61"/>
      <x:c r="K437" s="61"/>
      <x:c r="L437" s="106"/>
    </x:row>
    <x:row r="438">
      <x:c r="A438" s="105"/>
      <x:c r="B438" s="61"/>
      <x:c r="C438" s="61"/>
      <x:c r="D438" s="61"/>
      <x:c r="E438" s="61"/>
      <x:c r="F438" s="85"/>
      <x:c r="G438" s="85"/>
      <x:c r="H438" s="66"/>
      <x:c r="I438" s="61"/>
      <x:c r="J438" s="61"/>
      <x:c r="K438" s="61"/>
      <x:c r="L438" s="106"/>
    </x:row>
    <x:row r="439">
      <x:c r="A439" s="105"/>
      <x:c r="B439" s="61"/>
      <x:c r="C439" s="61"/>
      <x:c r="D439" s="61"/>
      <x:c r="E439" s="61"/>
      <x:c r="F439" s="85"/>
      <x:c r="G439" s="85"/>
      <x:c r="H439" s="66"/>
      <x:c r="I439" s="61"/>
      <x:c r="J439" s="61"/>
      <x:c r="K439" s="61"/>
      <x:c r="L439" s="106"/>
    </x:row>
    <x:row r="440">
      <x:c r="A440" s="105"/>
      <x:c r="B440" s="61"/>
      <x:c r="C440" s="61"/>
      <x:c r="D440" s="61"/>
      <x:c r="E440" s="61"/>
      <x:c r="F440" s="85"/>
      <x:c r="G440" s="85"/>
      <x:c r="H440" s="66"/>
      <x:c r="I440" s="61"/>
      <x:c r="J440" s="61"/>
      <x:c r="K440" s="61"/>
      <x:c r="L440" s="106"/>
    </x:row>
    <x:row r="441">
      <x:c r="A441" s="105"/>
      <x:c r="B441" s="61"/>
      <x:c r="C441" s="61"/>
      <x:c r="D441" s="61"/>
      <x:c r="E441" s="61"/>
      <x:c r="F441" s="85"/>
      <x:c r="G441" s="85"/>
      <x:c r="H441" s="66"/>
      <x:c r="I441" s="61"/>
      <x:c r="J441" s="61"/>
      <x:c r="K441" s="61"/>
      <x:c r="L441" s="106"/>
    </x:row>
    <x:row r="442">
      <x:c r="A442" s="105"/>
      <x:c r="B442" s="61"/>
      <x:c r="C442" s="61"/>
      <x:c r="D442" s="61"/>
      <x:c r="E442" s="61"/>
      <x:c r="F442" s="85"/>
      <x:c r="G442" s="85"/>
      <x:c r="H442" s="66"/>
      <x:c r="I442" s="61"/>
      <x:c r="J442" s="61"/>
      <x:c r="K442" s="61"/>
      <x:c r="L442" s="106"/>
    </x:row>
    <x:row r="443">
      <x:c r="A443" s="105"/>
      <x:c r="B443" s="61"/>
      <x:c r="C443" s="61"/>
      <x:c r="D443" s="61"/>
      <x:c r="E443" s="61"/>
      <x:c r="F443" s="85"/>
      <x:c r="G443" s="85"/>
      <x:c r="H443" s="66"/>
      <x:c r="I443" s="61"/>
      <x:c r="J443" s="61"/>
      <x:c r="K443" s="61"/>
      <x:c r="L443" s="106"/>
    </x:row>
    <x:row r="444">
      <x:c r="A444" s="105"/>
      <x:c r="B444" s="61"/>
      <x:c r="C444" s="61"/>
      <x:c r="D444" s="61"/>
      <x:c r="E444" s="61"/>
      <x:c r="F444" s="85"/>
      <x:c r="G444" s="85"/>
      <x:c r="H444" s="66"/>
      <x:c r="I444" s="61"/>
      <x:c r="J444" s="61"/>
      <x:c r="K444" s="61"/>
      <x:c r="L444" s="106"/>
    </x:row>
    <x:row r="445">
      <x:c r="A445" s="105"/>
      <x:c r="B445" s="61"/>
      <x:c r="C445" s="61"/>
      <x:c r="D445" s="61"/>
      <x:c r="E445" s="61"/>
      <x:c r="F445" s="85"/>
      <x:c r="G445" s="85"/>
      <x:c r="H445" s="66"/>
      <x:c r="I445" s="61"/>
      <x:c r="J445" s="61"/>
      <x:c r="K445" s="61"/>
      <x:c r="L445" s="106"/>
    </x:row>
    <x:row r="446">
      <x:c r="A446" s="105"/>
      <x:c r="B446" s="61"/>
      <x:c r="C446" s="61"/>
      <x:c r="D446" s="61"/>
      <x:c r="E446" s="61"/>
      <x:c r="F446" s="85"/>
      <x:c r="G446" s="85"/>
      <x:c r="H446" s="66"/>
      <x:c r="I446" s="61"/>
      <x:c r="J446" s="61"/>
      <x:c r="K446" s="61"/>
      <x:c r="L446" s="106"/>
    </x:row>
    <x:row r="447">
      <x:c r="A447" s="105"/>
      <x:c r="B447" s="61"/>
      <x:c r="C447" s="61"/>
      <x:c r="D447" s="61"/>
      <x:c r="E447" s="61"/>
      <x:c r="F447" s="85"/>
      <x:c r="G447" s="85"/>
      <x:c r="H447" s="66"/>
      <x:c r="I447" s="61"/>
      <x:c r="J447" s="61"/>
      <x:c r="K447" s="61"/>
      <x:c r="L447" s="106"/>
    </x:row>
    <x:row r="448">
      <x:c r="A448" s="105"/>
      <x:c r="B448" s="61"/>
      <x:c r="C448" s="61"/>
      <x:c r="D448" s="61"/>
      <x:c r="E448" s="61"/>
      <x:c r="F448" s="85"/>
      <x:c r="G448" s="85"/>
      <x:c r="H448" s="66"/>
      <x:c r="I448" s="61"/>
      <x:c r="J448" s="61"/>
      <x:c r="K448" s="61"/>
      <x:c r="L448" s="106"/>
    </x:row>
    <x:row r="449">
      <x:c r="A449" s="105"/>
      <x:c r="B449" s="61"/>
      <x:c r="C449" s="61"/>
      <x:c r="D449" s="61"/>
      <x:c r="E449" s="61"/>
      <x:c r="F449" s="85"/>
      <x:c r="G449" s="85"/>
      <x:c r="H449" s="66"/>
      <x:c r="I449" s="61"/>
      <x:c r="J449" s="61"/>
      <x:c r="K449" s="61"/>
      <x:c r="L449" s="106"/>
    </x:row>
    <x:row r="450">
      <x:c r="A450" s="105"/>
      <x:c r="B450" s="61"/>
      <x:c r="C450" s="61"/>
      <x:c r="D450" s="61"/>
      <x:c r="E450" s="61"/>
      <x:c r="F450" s="85"/>
      <x:c r="G450" s="85"/>
      <x:c r="H450" s="66"/>
      <x:c r="I450" s="61"/>
      <x:c r="J450" s="61"/>
      <x:c r="K450" s="61"/>
      <x:c r="L450" s="106"/>
    </x:row>
    <x:row r="451">
      <x:c r="A451" s="105"/>
      <x:c r="B451" s="61"/>
      <x:c r="C451" s="61"/>
      <x:c r="D451" s="61"/>
      <x:c r="E451" s="61"/>
      <x:c r="F451" s="85"/>
      <x:c r="G451" s="85"/>
      <x:c r="H451" s="66"/>
      <x:c r="I451" s="61"/>
      <x:c r="J451" s="61"/>
      <x:c r="K451" s="61"/>
      <x:c r="L451" s="106"/>
    </x:row>
    <x:row r="452">
      <x:c r="A452" s="105"/>
      <x:c r="B452" s="61"/>
      <x:c r="C452" s="61"/>
      <x:c r="D452" s="61"/>
      <x:c r="E452" s="61"/>
      <x:c r="F452" s="85"/>
      <x:c r="G452" s="85"/>
      <x:c r="H452" s="66"/>
      <x:c r="I452" s="61"/>
      <x:c r="J452" s="61"/>
      <x:c r="K452" s="61"/>
      <x:c r="L452" s="106"/>
    </x:row>
    <x:row r="453">
      <x:c r="A453" s="105"/>
      <x:c r="B453" s="61"/>
      <x:c r="C453" s="61"/>
      <x:c r="D453" s="61"/>
      <x:c r="E453" s="61"/>
      <x:c r="F453" s="85"/>
      <x:c r="G453" s="85"/>
      <x:c r="H453" s="66"/>
      <x:c r="I453" s="61"/>
      <x:c r="J453" s="61"/>
      <x:c r="K453" s="61"/>
      <x:c r="L453" s="106"/>
    </x:row>
    <x:row r="454">
      <x:c r="A454" s="105"/>
      <x:c r="B454" s="61"/>
      <x:c r="C454" s="61"/>
      <x:c r="D454" s="61"/>
      <x:c r="E454" s="61"/>
      <x:c r="F454" s="85"/>
      <x:c r="G454" s="85"/>
      <x:c r="H454" s="66"/>
      <x:c r="I454" s="61"/>
      <x:c r="J454" s="61"/>
      <x:c r="K454" s="61"/>
      <x:c r="L454" s="106"/>
    </x:row>
    <x:row r="455">
      <x:c r="A455" s="105"/>
      <x:c r="B455" s="61"/>
      <x:c r="C455" s="61"/>
      <x:c r="D455" s="61"/>
      <x:c r="E455" s="61"/>
      <x:c r="F455" s="85"/>
      <x:c r="G455" s="85"/>
      <x:c r="H455" s="66"/>
      <x:c r="I455" s="61"/>
      <x:c r="J455" s="61"/>
      <x:c r="K455" s="61"/>
      <x:c r="L455" s="106"/>
    </x:row>
    <x:row r="456">
      <x:c r="A456" s="105"/>
      <x:c r="B456" s="61"/>
      <x:c r="C456" s="61"/>
      <x:c r="D456" s="61"/>
      <x:c r="E456" s="61"/>
      <x:c r="F456" s="85"/>
      <x:c r="G456" s="85"/>
      <x:c r="H456" s="66"/>
      <x:c r="I456" s="61"/>
      <x:c r="J456" s="61"/>
      <x:c r="K456" s="61"/>
      <x:c r="L456" s="106"/>
    </x:row>
    <x:row r="457">
      <x:c r="A457" s="105"/>
      <x:c r="B457" s="61"/>
      <x:c r="C457" s="61"/>
      <x:c r="D457" s="61"/>
      <x:c r="E457" s="61"/>
      <x:c r="F457" s="85"/>
      <x:c r="G457" s="85"/>
      <x:c r="H457" s="66"/>
      <x:c r="I457" s="61"/>
      <x:c r="J457" s="61"/>
      <x:c r="K457" s="61"/>
      <x:c r="L457" s="106"/>
    </x:row>
    <x:row r="458">
      <x:c r="A458" s="105"/>
      <x:c r="B458" s="61"/>
      <x:c r="C458" s="61"/>
      <x:c r="D458" s="61"/>
      <x:c r="E458" s="61"/>
      <x:c r="F458" s="85"/>
      <x:c r="G458" s="85"/>
      <x:c r="H458" s="66"/>
      <x:c r="I458" s="61"/>
      <x:c r="J458" s="61"/>
      <x:c r="K458" s="61"/>
      <x:c r="L458" s="106"/>
    </x:row>
    <x:row r="459">
      <x:c r="A459" s="105"/>
      <x:c r="B459" s="61"/>
      <x:c r="C459" s="61"/>
      <x:c r="D459" s="61"/>
      <x:c r="E459" s="61"/>
      <x:c r="F459" s="85"/>
      <x:c r="G459" s="85"/>
      <x:c r="H459" s="66"/>
      <x:c r="I459" s="61"/>
      <x:c r="J459" s="61"/>
      <x:c r="K459" s="61"/>
      <x:c r="L459" s="106"/>
    </x:row>
    <x:row r="460">
      <x:c r="A460" s="105"/>
      <x:c r="B460" s="61"/>
      <x:c r="C460" s="61"/>
      <x:c r="D460" s="61"/>
      <x:c r="E460" s="61"/>
      <x:c r="F460" s="85"/>
      <x:c r="G460" s="85"/>
      <x:c r="H460" s="66"/>
      <x:c r="I460" s="61"/>
      <x:c r="J460" s="61"/>
      <x:c r="K460" s="61"/>
      <x:c r="L460" s="106"/>
    </x:row>
    <x:row r="461">
      <x:c r="A461" s="105"/>
      <x:c r="B461" s="61"/>
      <x:c r="C461" s="61"/>
      <x:c r="D461" s="61"/>
      <x:c r="E461" s="61"/>
      <x:c r="F461" s="85"/>
      <x:c r="G461" s="85"/>
      <x:c r="H461" s="66"/>
      <x:c r="I461" s="61"/>
      <x:c r="J461" s="61"/>
      <x:c r="K461" s="61"/>
      <x:c r="L461" s="106"/>
    </x:row>
    <x:row r="462">
      <x:c r="A462" s="105"/>
      <x:c r="B462" s="61"/>
      <x:c r="C462" s="61"/>
      <x:c r="D462" s="61"/>
      <x:c r="E462" s="61"/>
      <x:c r="F462" s="85"/>
      <x:c r="G462" s="85"/>
      <x:c r="H462" s="66"/>
      <x:c r="I462" s="61"/>
      <x:c r="J462" s="61"/>
      <x:c r="K462" s="61"/>
      <x:c r="L462" s="106"/>
    </x:row>
    <x:row r="463">
      <x:c r="A463" s="105"/>
      <x:c r="B463" s="61"/>
      <x:c r="C463" s="61"/>
      <x:c r="D463" s="61"/>
      <x:c r="E463" s="61"/>
      <x:c r="F463" s="85"/>
      <x:c r="G463" s="85"/>
      <x:c r="H463" s="66"/>
      <x:c r="I463" s="61"/>
      <x:c r="J463" s="61"/>
      <x:c r="K463" s="61"/>
      <x:c r="L463" s="106"/>
    </x:row>
    <x:row r="464">
      <x:c r="A464" s="105"/>
      <x:c r="B464" s="61"/>
      <x:c r="C464" s="61"/>
      <x:c r="D464" s="61"/>
      <x:c r="E464" s="61"/>
      <x:c r="F464" s="85"/>
      <x:c r="G464" s="85"/>
      <x:c r="H464" s="66"/>
      <x:c r="I464" s="61"/>
      <x:c r="J464" s="61"/>
      <x:c r="K464" s="61"/>
      <x:c r="L464" s="106"/>
    </x:row>
    <x:row r="465">
      <x:c r="A465" s="105"/>
      <x:c r="B465" s="61"/>
      <x:c r="C465" s="61"/>
      <x:c r="D465" s="61"/>
      <x:c r="E465" s="61"/>
      <x:c r="F465" s="85"/>
      <x:c r="G465" s="85"/>
      <x:c r="H465" s="66"/>
      <x:c r="I465" s="61"/>
      <x:c r="J465" s="61"/>
      <x:c r="K465" s="61"/>
      <x:c r="L465" s="106"/>
    </x:row>
    <x:row r="466">
      <x:c r="A466" s="105"/>
      <x:c r="B466" s="61"/>
      <x:c r="C466" s="61"/>
      <x:c r="D466" s="61"/>
      <x:c r="E466" s="61"/>
      <x:c r="F466" s="85"/>
      <x:c r="G466" s="85"/>
      <x:c r="H466" s="66"/>
      <x:c r="I466" s="61"/>
      <x:c r="J466" s="61"/>
      <x:c r="K466" s="61"/>
      <x:c r="L466" s="106"/>
    </x:row>
    <x:row r="467">
      <x:c r="A467" s="105"/>
      <x:c r="B467" s="61"/>
      <x:c r="C467" s="61"/>
      <x:c r="D467" s="61"/>
      <x:c r="E467" s="61"/>
      <x:c r="F467" s="85"/>
      <x:c r="G467" s="85"/>
      <x:c r="H467" s="66"/>
      <x:c r="I467" s="61"/>
      <x:c r="J467" s="61"/>
      <x:c r="K467" s="61"/>
      <x:c r="L467" s="106"/>
    </x:row>
    <x:row r="468">
      <x:c r="A468" s="105"/>
      <x:c r="B468" s="61"/>
      <x:c r="C468" s="61"/>
      <x:c r="D468" s="61"/>
      <x:c r="E468" s="61"/>
      <x:c r="F468" s="85"/>
      <x:c r="G468" s="85"/>
      <x:c r="H468" s="66"/>
      <x:c r="I468" s="61"/>
      <x:c r="J468" s="61"/>
      <x:c r="K468" s="61"/>
      <x:c r="L468" s="106"/>
    </x:row>
    <x:row r="469">
      <x:c r="A469" s="105"/>
      <x:c r="B469" s="61"/>
      <x:c r="C469" s="61"/>
      <x:c r="D469" s="61"/>
      <x:c r="E469" s="61"/>
      <x:c r="F469" s="85"/>
      <x:c r="G469" s="85"/>
      <x:c r="H469" s="66"/>
      <x:c r="I469" s="61"/>
      <x:c r="J469" s="61"/>
      <x:c r="K469" s="61"/>
      <x:c r="L469" s="106"/>
    </x:row>
    <x:row r="470">
      <x:c r="A470" s="105"/>
      <x:c r="B470" s="61"/>
      <x:c r="C470" s="61"/>
      <x:c r="D470" s="61"/>
      <x:c r="E470" s="61"/>
      <x:c r="F470" s="85"/>
      <x:c r="G470" s="85"/>
      <x:c r="H470" s="66"/>
      <x:c r="I470" s="61"/>
      <x:c r="J470" s="61"/>
      <x:c r="K470" s="61"/>
      <x:c r="L470" s="106"/>
    </x:row>
    <x:row r="471">
      <x:c r="A471" s="105"/>
      <x:c r="B471" s="61"/>
      <x:c r="C471" s="61"/>
      <x:c r="D471" s="61"/>
      <x:c r="E471" s="61"/>
      <x:c r="F471" s="85"/>
      <x:c r="G471" s="85"/>
      <x:c r="H471" s="66"/>
      <x:c r="I471" s="61"/>
      <x:c r="J471" s="61"/>
      <x:c r="K471" s="61"/>
      <x:c r="L471" s="106"/>
    </x:row>
    <x:row r="472">
      <x:c r="A472" s="105"/>
      <x:c r="B472" s="61"/>
      <x:c r="C472" s="61"/>
      <x:c r="D472" s="61"/>
      <x:c r="E472" s="61"/>
      <x:c r="F472" s="85"/>
      <x:c r="G472" s="85"/>
      <x:c r="H472" s="66"/>
      <x:c r="I472" s="61"/>
      <x:c r="J472" s="61"/>
      <x:c r="K472" s="61"/>
      <x:c r="L472" s="106"/>
    </x:row>
    <x:row r="473">
      <x:c r="A473" s="105"/>
      <x:c r="B473" s="61"/>
      <x:c r="C473" s="61"/>
      <x:c r="D473" s="61"/>
      <x:c r="E473" s="61"/>
      <x:c r="F473" s="85"/>
      <x:c r="G473" s="85"/>
      <x:c r="H473" s="66"/>
      <x:c r="I473" s="61"/>
      <x:c r="J473" s="61"/>
      <x:c r="K473" s="61"/>
      <x:c r="L473" s="106"/>
    </x:row>
    <x:row r="474">
      <x:c r="A474" s="105"/>
      <x:c r="B474" s="61"/>
      <x:c r="C474" s="61"/>
      <x:c r="D474" s="61"/>
      <x:c r="E474" s="61"/>
      <x:c r="F474" s="85"/>
      <x:c r="G474" s="85"/>
      <x:c r="H474" s="66"/>
      <x:c r="I474" s="61"/>
      <x:c r="J474" s="61"/>
      <x:c r="K474" s="61"/>
      <x:c r="L474" s="106"/>
    </x:row>
    <x:row r="475">
      <x:c r="A475" s="105"/>
      <x:c r="B475" s="61"/>
      <x:c r="C475" s="61"/>
      <x:c r="D475" s="61"/>
      <x:c r="E475" s="61"/>
      <x:c r="F475" s="85"/>
      <x:c r="G475" s="85"/>
      <x:c r="H475" s="66"/>
      <x:c r="I475" s="61"/>
      <x:c r="J475" s="61"/>
      <x:c r="K475" s="61"/>
      <x:c r="L475" s="106"/>
    </x:row>
    <x:row r="476">
      <x:c r="A476" s="105"/>
      <x:c r="B476" s="61"/>
      <x:c r="C476" s="61"/>
      <x:c r="D476" s="61"/>
      <x:c r="E476" s="61"/>
      <x:c r="F476" s="85"/>
      <x:c r="G476" s="85"/>
      <x:c r="H476" s="66"/>
      <x:c r="I476" s="61"/>
      <x:c r="J476" s="61"/>
      <x:c r="K476" s="61"/>
      <x:c r="L476" s="106"/>
    </x:row>
    <x:row r="477">
      <x:c r="A477" s="105"/>
      <x:c r="B477" s="61"/>
      <x:c r="C477" s="61"/>
      <x:c r="D477" s="61"/>
      <x:c r="E477" s="61"/>
      <x:c r="F477" s="85"/>
      <x:c r="G477" s="85"/>
      <x:c r="H477" s="66"/>
      <x:c r="I477" s="61"/>
      <x:c r="J477" s="61"/>
      <x:c r="K477" s="61"/>
      <x:c r="L477" s="106"/>
    </x:row>
    <x:row r="478">
      <x:c r="A478" s="105"/>
      <x:c r="B478" s="61"/>
      <x:c r="C478" s="61"/>
      <x:c r="D478" s="61"/>
      <x:c r="E478" s="61"/>
      <x:c r="F478" s="85"/>
      <x:c r="G478" s="85"/>
      <x:c r="H478" s="66"/>
      <x:c r="I478" s="61"/>
      <x:c r="J478" s="61"/>
      <x:c r="K478" s="61"/>
      <x:c r="L478" s="106"/>
    </x:row>
    <x:row r="479">
      <x:c r="A479" s="105"/>
      <x:c r="B479" s="61"/>
      <x:c r="C479" s="61"/>
      <x:c r="D479" s="61"/>
      <x:c r="E479" s="61"/>
      <x:c r="F479" s="85"/>
      <x:c r="G479" s="85"/>
      <x:c r="H479" s="66"/>
      <x:c r="I479" s="61"/>
      <x:c r="J479" s="61"/>
      <x:c r="K479" s="61"/>
      <x:c r="L479" s="106"/>
    </x:row>
    <x:row r="480">
      <x:c r="A480" s="105"/>
      <x:c r="B480" s="61"/>
      <x:c r="C480" s="61"/>
      <x:c r="D480" s="61"/>
      <x:c r="E480" s="61"/>
      <x:c r="F480" s="85"/>
      <x:c r="G480" s="85"/>
      <x:c r="H480" s="66"/>
      <x:c r="I480" s="61"/>
      <x:c r="J480" s="61"/>
      <x:c r="K480" s="61"/>
      <x:c r="L480" s="106"/>
    </x:row>
    <x:row r="481">
      <x:c r="A481" s="105"/>
      <x:c r="B481" s="61"/>
      <x:c r="C481" s="61"/>
      <x:c r="D481" s="61"/>
      <x:c r="E481" s="61"/>
      <x:c r="F481" s="85"/>
      <x:c r="G481" s="85"/>
      <x:c r="H481" s="66"/>
      <x:c r="I481" s="61"/>
      <x:c r="J481" s="61"/>
      <x:c r="K481" s="61"/>
      <x:c r="L481" s="106"/>
    </x:row>
    <x:row r="482">
      <x:c r="A482" s="105"/>
      <x:c r="B482" s="61"/>
      <x:c r="C482" s="61"/>
      <x:c r="D482" s="61"/>
      <x:c r="E482" s="61"/>
      <x:c r="F482" s="85"/>
      <x:c r="G482" s="85"/>
      <x:c r="H482" s="66"/>
      <x:c r="I482" s="61"/>
      <x:c r="J482" s="61"/>
      <x:c r="K482" s="61"/>
      <x:c r="L482" s="106"/>
    </x:row>
    <x:row r="483">
      <x:c r="A483" s="105"/>
      <x:c r="B483" s="61"/>
      <x:c r="C483" s="61"/>
      <x:c r="D483" s="61"/>
      <x:c r="E483" s="61"/>
      <x:c r="F483" s="85"/>
      <x:c r="G483" s="85"/>
      <x:c r="H483" s="66"/>
      <x:c r="I483" s="61"/>
      <x:c r="J483" s="61"/>
      <x:c r="K483" s="61"/>
      <x:c r="L483" s="106"/>
    </x:row>
    <x:row r="484">
      <x:c r="A484" s="105"/>
      <x:c r="B484" s="61"/>
      <x:c r="C484" s="61"/>
      <x:c r="D484" s="61"/>
      <x:c r="E484" s="61"/>
      <x:c r="F484" s="85"/>
      <x:c r="G484" s="85"/>
      <x:c r="H484" s="66"/>
      <x:c r="I484" s="61"/>
      <x:c r="J484" s="61"/>
      <x:c r="K484" s="61"/>
      <x:c r="L484" s="106"/>
    </x:row>
    <x:row r="485">
      <x:c r="A485" s="105"/>
      <x:c r="B485" s="61"/>
      <x:c r="C485" s="61"/>
      <x:c r="D485" s="61"/>
      <x:c r="E485" s="61"/>
      <x:c r="F485" s="85"/>
      <x:c r="G485" s="85"/>
      <x:c r="H485" s="66"/>
      <x:c r="I485" s="61"/>
      <x:c r="J485" s="61"/>
      <x:c r="K485" s="61"/>
      <x:c r="L485" s="106"/>
    </x:row>
    <x:row r="486">
      <x:c r="A486" s="105"/>
      <x:c r="B486" s="61"/>
      <x:c r="C486" s="61"/>
      <x:c r="D486" s="61"/>
      <x:c r="E486" s="61"/>
      <x:c r="F486" s="85"/>
      <x:c r="G486" s="85"/>
      <x:c r="H486" s="66"/>
      <x:c r="I486" s="61"/>
      <x:c r="J486" s="61"/>
      <x:c r="K486" s="61"/>
      <x:c r="L486" s="106"/>
    </x:row>
    <x:row r="487">
      <x:c r="A487" s="105"/>
      <x:c r="B487" s="61"/>
      <x:c r="C487" s="61"/>
      <x:c r="D487" s="61"/>
      <x:c r="E487" s="61"/>
      <x:c r="F487" s="85"/>
      <x:c r="G487" s="85"/>
      <x:c r="H487" s="66"/>
      <x:c r="I487" s="61"/>
      <x:c r="J487" s="61"/>
      <x:c r="K487" s="61"/>
      <x:c r="L487" s="106"/>
    </x:row>
    <x:row r="488">
      <x:c r="A488" s="105"/>
      <x:c r="B488" s="61"/>
      <x:c r="C488" s="61"/>
      <x:c r="D488" s="61"/>
      <x:c r="E488" s="61"/>
      <x:c r="F488" s="85"/>
      <x:c r="G488" s="85"/>
      <x:c r="H488" s="66"/>
      <x:c r="I488" s="61"/>
      <x:c r="J488" s="61"/>
      <x:c r="K488" s="61"/>
      <x:c r="L488" s="106"/>
    </x:row>
    <x:row r="489">
      <x:c r="A489" s="105"/>
      <x:c r="B489" s="61"/>
      <x:c r="C489" s="61"/>
      <x:c r="D489" s="61"/>
      <x:c r="E489" s="61"/>
      <x:c r="F489" s="85"/>
      <x:c r="G489" s="85"/>
      <x:c r="H489" s="66"/>
      <x:c r="I489" s="61"/>
      <x:c r="J489" s="61"/>
      <x:c r="K489" s="61"/>
      <x:c r="L489" s="106"/>
    </x:row>
    <x:row r="490">
      <x:c r="A490" s="105"/>
      <x:c r="B490" s="61"/>
      <x:c r="C490" s="61"/>
      <x:c r="D490" s="61"/>
      <x:c r="E490" s="61"/>
      <x:c r="F490" s="85"/>
      <x:c r="G490" s="85"/>
      <x:c r="H490" s="66"/>
      <x:c r="I490" s="61"/>
      <x:c r="J490" s="61"/>
      <x:c r="K490" s="61"/>
      <x:c r="L490" s="106"/>
    </x:row>
    <x:row r="491">
      <x:c r="A491" s="105"/>
      <x:c r="B491" s="61"/>
      <x:c r="C491" s="61"/>
      <x:c r="D491" s="61"/>
      <x:c r="E491" s="61"/>
      <x:c r="F491" s="85"/>
      <x:c r="G491" s="85"/>
      <x:c r="H491" s="66"/>
      <x:c r="I491" s="61"/>
      <x:c r="J491" s="61"/>
      <x:c r="K491" s="61"/>
      <x:c r="L491" s="106"/>
    </x:row>
    <x:row r="492">
      <x:c r="A492" s="105"/>
      <x:c r="B492" s="61"/>
      <x:c r="C492" s="61"/>
      <x:c r="D492" s="61"/>
      <x:c r="E492" s="61"/>
      <x:c r="F492" s="85"/>
      <x:c r="G492" s="85"/>
      <x:c r="H492" s="66"/>
      <x:c r="I492" s="61"/>
      <x:c r="J492" s="61"/>
      <x:c r="K492" s="61"/>
      <x:c r="L492" s="106"/>
    </x:row>
    <x:row r="493">
      <x:c r="A493" s="105"/>
      <x:c r="B493" s="61"/>
      <x:c r="C493" s="61"/>
      <x:c r="D493" s="61"/>
      <x:c r="E493" s="61"/>
      <x:c r="F493" s="85"/>
      <x:c r="G493" s="85"/>
      <x:c r="H493" s="66"/>
      <x:c r="I493" s="61"/>
      <x:c r="J493" s="61"/>
      <x:c r="K493" s="61"/>
      <x:c r="L493" s="106"/>
    </x:row>
    <x:row r="494">
      <x:c r="A494" s="105"/>
      <x:c r="B494" s="61"/>
      <x:c r="C494" s="61"/>
      <x:c r="D494" s="61"/>
      <x:c r="E494" s="61"/>
      <x:c r="F494" s="85"/>
      <x:c r="G494" s="85"/>
      <x:c r="H494" s="66"/>
      <x:c r="I494" s="61"/>
      <x:c r="J494" s="61"/>
      <x:c r="K494" s="61"/>
      <x:c r="L494" s="106"/>
    </x:row>
    <x:row r="495">
      <x:c r="A495" s="105"/>
      <x:c r="B495" s="61"/>
      <x:c r="C495" s="61"/>
      <x:c r="D495" s="61"/>
      <x:c r="E495" s="61"/>
      <x:c r="F495" s="85"/>
      <x:c r="G495" s="85"/>
      <x:c r="H495" s="66"/>
      <x:c r="I495" s="61"/>
      <x:c r="J495" s="61"/>
      <x:c r="K495" s="61"/>
      <x:c r="L495" s="106"/>
    </x:row>
    <x:row r="496">
      <x:c r="A496" s="105"/>
      <x:c r="B496" s="61"/>
      <x:c r="C496" s="61"/>
      <x:c r="D496" s="61"/>
      <x:c r="E496" s="61"/>
      <x:c r="F496" s="85"/>
      <x:c r="G496" s="85"/>
      <x:c r="H496" s="66"/>
      <x:c r="I496" s="61"/>
      <x:c r="J496" s="61"/>
      <x:c r="K496" s="61"/>
      <x:c r="L496" s="106"/>
    </x:row>
    <x:row r="497">
      <x:c r="A497" s="105"/>
      <x:c r="B497" s="61"/>
      <x:c r="C497" s="61"/>
      <x:c r="D497" s="61"/>
      <x:c r="E497" s="61"/>
      <x:c r="F497" s="85"/>
      <x:c r="G497" s="85"/>
      <x:c r="H497" s="66"/>
      <x:c r="I497" s="61"/>
      <x:c r="J497" s="61"/>
      <x:c r="K497" s="61"/>
      <x:c r="L497" s="106"/>
    </x:row>
    <x:row r="498">
      <x:c r="A498" s="105"/>
      <x:c r="B498" s="61"/>
      <x:c r="C498" s="61"/>
      <x:c r="D498" s="61"/>
      <x:c r="E498" s="61"/>
      <x:c r="F498" s="85"/>
      <x:c r="G498" s="85"/>
      <x:c r="H498" s="66"/>
      <x:c r="I498" s="61"/>
      <x:c r="J498" s="61"/>
      <x:c r="K498" s="61"/>
      <x:c r="L498" s="106"/>
    </x:row>
    <x:row r="499">
      <x:c r="A499" s="105"/>
      <x:c r="B499" s="61"/>
      <x:c r="C499" s="61"/>
      <x:c r="D499" s="61"/>
      <x:c r="E499" s="61"/>
      <x:c r="F499" s="85"/>
      <x:c r="G499" s="85"/>
      <x:c r="H499" s="66"/>
      <x:c r="I499" s="61"/>
      <x:c r="J499" s="61"/>
      <x:c r="K499" s="61"/>
      <x:c r="L499" s="106"/>
    </x:row>
    <x:row r="500">
      <x:c r="A500" s="107"/>
      <x:c r="B500" s="62"/>
      <x:c r="C500" s="62"/>
      <x:c r="D500" s="62"/>
      <x:c r="E500" s="62"/>
      <x:c r="F500" s="86"/>
      <x:c r="G500" s="86"/>
      <x:c r="H500" s="67"/>
      <x:c r="I500" s="62"/>
      <x:c r="J500" s="62"/>
      <x:c r="K500" s="62"/>
      <x:c r="L500" s="108"/>
    </x:row>
  </x:sheetData>
  <x:conditionalFormatting sqref="E2:E201">
    <x:cfRule type="expression" dxfId="30" priority="1">
      <x:formula>E2="Abgeschlossen"</x:formula>
    </x:cfRule>
    <x:cfRule type="expression" dxfId="29" priority="2">
      <x:formula>E2="Montage geplant"</x:formula>
    </x:cfRule>
    <x:cfRule type="expression" dxfId="28" priority="3">
      <x:formula>E2="Rechnung offen"</x:formula>
    </x:cfRule>
  </x:conditionalFormatting>
  <x:conditionalFormatting sqref="M2:M101">
    <x:cfRule type="dataBar" priority="4">
      <x:dataBar>
        <x:cfvo type="min"/>
        <x:cfvo type="max"/>
        <x:color rgb="FF5B9BD5"/>
      </x:dataBar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{CD1960D7-BCA7-51B5-EC5C-0703749780C1}</x14:id>
        </x:ext>
      </x:extLst>
    </x:cfRule>
  </x:conditionalFormatting>
  <x:conditionalFormatting sqref="T2:T101">
    <x:cfRule type="cellIs" dxfId="27" priority="5" operator="lessThan">
      <x:formula>0.25</x:formula>
    </x:cfRule>
    <x:cfRule type="cellIs" dxfId="26" priority="6" operator="greaterThanOrEqual">
      <x:formula>0.25</x:formula>
    </x:cfRule>
  </x:conditionalFormatting>
  <x:conditionalFormatting sqref="U2:U101">
    <x:cfRule type="expression" dxfId="25" priority="7">
      <x:formula>$U2="ÜBERFÄLLIG"</x:formula>
    </x:cfRule>
    <x:cfRule type="expression" dxfId="24" priority="8">
      <x:formula>$U2="BALD FÄLLIG"</x:formula>
    </x:cfRule>
    <x:cfRule type="expression" dxfId="23" priority="9">
      <x:formula>$U2="Im Plan"</x:formula>
    </x:cfRule>
  </x:conditionalFormatting>
  <x:dataValidations count="5">
    <x:dataValidation type="list" sqref="E2:E201">
      <x:formula1>"Lead,Angebot,Auftrag,Material bestellt,Montage geplant,Montage erledigt,Rechnung offen,Abgeschlossen"</x:formula1>
    </x:dataValidation>
    <x:dataValidation type="list" sqref="I2:J201">
      <x:formula1>"Ja,Nein"</x:formula1>
    </x:dataValidation>
    <x:dataValidation type="list" sqref="E2:E500">
      <x:formula1>"Lead,Angebot,Auftrag,Material bestellt,Montage geplant,Montiert,Abgerechnet,Abgeschlossen"</x:formula1>
    </x:dataValidation>
    <x:dataValidation type="list" sqref="I2:J500">
      <x:formula1>"Nein,Ja"</x:formula1>
    </x:dataValidation>
    <x:dataValidation type="list" sqref="K2:K101">
      <x:formula1>"Gökhan,Seda,Kayra,Montageteam"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5e414f618744a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CD1960D7-BCA7-51B5-EC5C-0703749780C1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M2:M101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796875" defaultRowHeight="13.800000190734863"/>
  <x:cols>
    <x:col min="1" max="1" width="15" customWidth="1"/>
    <x:col min="2" max="6" width="18" customWidth="1"/>
    <x:col min="7" max="7" width="15" customWidth="1"/>
    <x:col min="8" max="8" width="16" customWidth="1"/>
    <x:col min="9" max="9" width="17" customWidth="1"/>
    <x:col min="10" max="10" width="14" customWidth="1"/>
    <x:col min="11" max="12" width="16" customWidth="1"/>
    <x:col min="13" max="13" width="18" customWidth="1"/>
    <x:col min="14" max="14" width="14" customWidth="1"/>
    <x:col min="15" max="15" width="18" customWidth="1"/>
    <x:col min="18" max="18" width="18" customWidth="1"/>
  </x:cols>
  <x:sheetData>
    <x:row r="1" ht="24" customHeight="1">
      <x:c r="A1" s="8" t="s">
        <x:v>55</x:v>
      </x:c>
      <x:c r="B1" s="8" t="s">
        <x:v>163</x:v>
      </x:c>
      <x:c r="C1" s="8" t="s">
        <x:v>164</x:v>
      </x:c>
      <x:c r="D1" s="8" t="s">
        <x:v>165</x:v>
      </x:c>
      <x:c r="E1" s="8" t="s">
        <x:v>166</x:v>
      </x:c>
      <x:c r="F1" s="8" t="s">
        <x:v>167</x:v>
      </x:c>
      <x:c r="G1" s="8" t="s">
        <x:v>168</x:v>
      </x:c>
      <x:c r="H1" s="8" t="s">
        <x:v>169</x:v>
      </x:c>
      <x:c r="I1" s="8" t="s">
        <x:v>170</x:v>
      </x:c>
      <x:c r="J1" s="8" t="s">
        <x:v>171</x:v>
      </x:c>
      <x:c r="K1" s="8" t="s">
        <x:v>172</x:v>
      </x:c>
      <x:c r="L1" s="8" t="s">
        <x:v>173</x:v>
      </x:c>
      <x:c r="M1" s="8" t="s">
        <x:v>174</x:v>
      </x:c>
      <x:c r="N1" s="8" t="s">
        <x:v>175</x:v>
      </x:c>
      <x:c r="O1" s="1"/>
      <x:c r="P1" s="1"/>
      <x:c r="Q1" s="1"/>
      <x:c r="R1" s="1"/>
    </x:row>
    <x:row r="2">
      <x:c r="A2" s="189">
        <x:v>46204</x:v>
      </x:c>
      <x:c r="B2" s="190" t="n">
        <x:f>4000</x:f>
        <x:v>4000</x:v>
      </x:c>
      <x:c r="C2" s="190" t="n">
        <x:f>SUMIFS(Ausgangsrechnungen!$G$2:$G$301,Ausgangsrechnungen!$J$2:$J$301,"&gt;="&amp;A2,Ausgangsrechnungen!$J$2:$J$301,"&lt;"&amp;EDATE(A2,1))+SUMIFS(Ausgangsrechnungen!$H$2:$H$301,Ausgangsrechnungen!$E$2:$E$301,"&gt;="&amp;A2,Ausgangsrechnungen!$E$2:$E$301,"&lt;"&amp;EDATE(A2,1),Ausgangsrechnungen!$I$2:$I$301,"&lt;&gt;Bezahlt")</x:f>
        <x:v>319.1</x:v>
      </x:c>
      <x:c r="D2" s="191"/>
      <x:c r="E2" s="190" t="n">
        <x:f>SUMIFS(Eingangsrechnungen!$N$2:$N$301,Eingangsrechnungen!$J$2:$J$301,"&gt;="&amp;A2,Eingangsrechnungen!$J$2:$J$301,"&lt;"&amp;EDATE(A2,1))+SUMIFS(Eingangsrechnungen!$N$2:$N$301,Eingangsrechnungen!$E$2:$E$301,"&gt;="&amp;A2,Eingangsrechnungen!$E$2:$E$301,"&lt;"&amp;EDATE(A2,1),Eingangsrechnungen!$J$2:$J$301,"")</x:f>
        <x:v>0</x:v>
      </x:c>
      <x:c r="F2" s="190" t="n">
        <x:f>SUMIFS(Steuerkalender!$D$2:$D$100,Steuerkalender!$F$2:$F$100,"&gt;="&amp;A2,Steuerkalender!$F$2:$F$100,"&lt;"&amp;EDATE(A2,1))+SUMIFS(Steuerkalender!$D$2:$D$100,Steuerkalender!$B$2:$B$100,"&gt;="&amp;A2,Steuerkalender!$B$2:$B$100,"&lt;"&amp;EDATE(A2,1),Steuerkalender!$E$2:$E$100,"&lt;&gt;Bezahlt")+SUMIFS('USt-Monatsübersicht'!$F$2:$F$115,'USt-Monatsübersicht'!$H$2:$H$115,"&gt;="&amp;A2,'USt-Monatsübersicht'!$H$2:$H$115,"&lt;"&amp;EDATE(A2,1))+SUMIFS('USt-Monatsübersicht'!$F$2:$F$115,'USt-Monatsübersicht'!$B$2:$B$115,"&gt;="&amp;A2,'USt-Monatsübersicht'!$B$2:$B$115,"&lt;"&amp;EDATE(A2,1),'USt-Monatsübersicht'!$G$2:$G$115,"&lt;&gt;Bezahlt")</x:f>
        <x:v>0</x:v>
      </x:c>
      <x:c r="G2" s="191">
        <x:v>3000</x:v>
      </x:c>
      <x:c r="H2" s="191">
        <x:v>0</x:v>
      </x:c>
      <x:c r="I2" s="191">
        <x:v>480</x:v>
      </x:c>
      <x:c r="J2" s="191">
        <x:v>500</x:v>
      </x:c>
      <x:c r="K2" s="191">
        <x:v>0</x:v>
      </x:c>
      <x:c r="L2" s="191">
        <x:v>500</x:v>
      </x:c>
      <x:c r="M2" s="190" t="n">
        <x:f>B2+C2+D2-E2-F2-G2-H2-I2-J2-K2-L2</x:f>
        <x:v>-160.89999999999964</x:v>
      </x:c>
      <x:c r="N2" s="192" t="str">
        <x:f t="shared" ref="N2:N33" si="0">IF(M2&lt;0,"KRITISCH",IF(M2&lt;10000,"ACHTUNG","OK"))</x:f>
        <x:v>KRITISCH</x:v>
      </x:c>
      <x:c r="O2" s="1"/>
      <x:c r="P2" s="1"/>
      <x:c r="Q2" s="1"/>
      <x:c r="R2" s="1"/>
    </x:row>
    <x:row r="3">
      <x:c r="A3" s="189">
        <x:v>46235</x:v>
      </x:c>
      <x:c r="B3" s="190" t="n">
        <x:f t="shared" ref="B3:B19" si="1">M2</x:f>
        <x:v>-160.89999999999964</x:v>
      </x:c>
      <x:c r="C3" s="190" t="n">
        <x:f>SUMIFS(Ausgangsrechnungen!$G$2:$G$301,Ausgangsrechnungen!$J$2:$J$301,"&gt;="&amp;A3,Ausgangsrechnungen!$J$2:$J$301,"&lt;"&amp;EDATE(A3,1))+SUMIFS(Ausgangsrechnungen!$H$2:$H$301,Ausgangsrechnungen!$E$2:$E$301,"&gt;="&amp;A3,Ausgangsrechnungen!$E$2:$E$301,"&lt;"&amp;EDATE(A3,1),Ausgangsrechnungen!$I$2:$I$301,"&lt;&gt;Bezahlt")</x:f>
        <x:v>44227.83999998843</x:v>
      </x:c>
      <x:c r="D3" s="191"/>
      <x:c r="E3" s="190" t="n">
        <x:f>SUMIFS(Eingangsrechnungen!$N$2:$N$301,Eingangsrechnungen!$J$2:$J$301,"&gt;="&amp;A3,Eingangsrechnungen!$J$2:$J$301,"&lt;"&amp;EDATE(A3,1))+SUMIFS(Eingangsrechnungen!$N$2:$N$301,Eingangsrechnungen!$E$2:$E$301,"&gt;="&amp;A3,Eingangsrechnungen!$E$2:$E$301,"&lt;"&amp;EDATE(A3,1),Eingangsrechnungen!$J$2:$J$301,"")</x:f>
        <x:v>0</x:v>
      </x:c>
      <x:c r="F3" s="190" t="n">
        <x:f>SUMIFS(Steuerkalender!$D$2:$D$100,Steuerkalender!$F$2:$F$100,"&gt;="&amp;A3,Steuerkalender!$F$2:$F$100,"&lt;"&amp;EDATE(A3,1))+SUMIFS(Steuerkalender!$D$2:$D$100,Steuerkalender!$B$2:$B$100,"&gt;="&amp;A3,Steuerkalender!$B$2:$B$100,"&lt;"&amp;EDATE(A3,1),Steuerkalender!$E$2:$E$100,"&lt;&gt;Bezahlt")+SUMIFS('USt-Monatsübersicht'!$F$2:$F$115,'USt-Monatsübersicht'!$H$2:$H$115,"&gt;="&amp;A3,'USt-Monatsübersicht'!$H$2:$H$115,"&lt;"&amp;EDATE(A3,1))+SUMIFS('USt-Monatsübersicht'!$F$2:$F$115,'USt-Monatsübersicht'!$B$2:$B$115,"&gt;="&amp;A3,'USt-Monatsübersicht'!$B$2:$B$115,"&lt;"&amp;EDATE(A3,1),'USt-Monatsübersicht'!$G$2:$G$115,"&lt;&gt;Bezahlt")</x:f>
        <x:v>15138.48</x:v>
      </x:c>
      <x:c r="G3" s="191">
        <x:v>2000</x:v>
      </x:c>
      <x:c r="H3" s="191">
        <x:v>0</x:v>
      </x:c>
      <x:c r="I3" s="191">
        <x:v>480</x:v>
      </x:c>
      <x:c r="J3" s="191">
        <x:v>500</x:v>
      </x:c>
      <x:c r="K3" s="191"/>
      <x:c r="L3" s="191">
        <x:v>500</x:v>
      </x:c>
      <x:c r="M3" s="190" t="n">
        <x:f t="shared" ref="M3:M19" si="2">B3+C3+D3-E3-F3-G3-H3-I3-J3-K3-L3</x:f>
        <x:v>25448.459999999995</x:v>
      </x:c>
      <x:c r="N3" s="192" t="str">
        <x:f t="shared" si="0"/>
        <x:v>ACHTUNG</x:v>
      </x:c>
      <x:c r="O3" s="1"/>
      <x:c r="P3" s="1"/>
      <x:c r="Q3" s="1"/>
      <x:c r="R3" s="1"/>
    </x:row>
    <x:row r="4">
      <x:c r="A4" s="189">
        <x:v>46266</x:v>
      </x:c>
      <x:c r="B4" s="190">
        <x:f t="shared" si="1"/>
        <x:v>733.67999999999665</x:v>
      </x:c>
      <x:c r="C4" s="190" t="n">
        <x:f>SUMIFS(Ausgangsrechnungen!$G$2:$G$301,Ausgangsrechnungen!$J$2:$J$301,"&gt;="&amp;A4,Ausgangsrechnungen!$J$2:$J$301,"&lt;"&amp;EDATE(A4,1))+SUMIFS(Ausgangsrechnungen!$H$2:$H$301,Ausgangsrechnungen!$E$2:$E$301,"&gt;="&amp;A4,Ausgangsrechnungen!$E$2:$E$301,"&lt;"&amp;EDATE(A4,1),Ausgangsrechnungen!$I$2:$I$301,"&lt;&gt;Bezahlt")</x:f>
        <x:v>4292.75</x:v>
      </x:c>
      <x:c r="D4" s="191"/>
      <x:c r="E4" s="190" t="n">
        <x:f>SUMIFS(Eingangsrechnungen!$N$2:$N$301,Eingangsrechnungen!$J$2:$J$301,"&gt;="&amp;A4,Eingangsrechnungen!$J$2:$J$301,"&lt;"&amp;EDATE(A4,1))+SUMIFS(Eingangsrechnungen!$N$2:$N$301,Eingangsrechnungen!$E$2:$E$301,"&gt;="&amp;A4,Eingangsrechnungen!$E$2:$E$301,"&lt;"&amp;EDATE(A4,1),Eingangsrechnungen!$J$2:$J$301,"")</x:f>
        <x:v>0</x:v>
      </x:c>
      <x:c r="F4" s="190" t="n">
        <x:f>SUMIFS(Steuerkalender!$D$2:$D$100,Steuerkalender!$F$2:$F$100,"&gt;="&amp;A4,Steuerkalender!$F$2:$F$100,"&lt;"&amp;EDATE(A4,1))+SUMIFS(Steuerkalender!$D$2:$D$100,Steuerkalender!$B$2:$B$100,"&gt;="&amp;A4,Steuerkalender!$B$2:$B$100,"&lt;"&amp;EDATE(A4,1),Steuerkalender!$E$2:$E$100,"&lt;&gt;Bezahlt")+SUMIFS('USt-Monatsübersicht'!$F$2:$F$115,'USt-Monatsübersicht'!$H$2:$H$115,"&gt;="&amp;A4,'USt-Monatsübersicht'!$H$2:$H$115,"&lt;"&amp;EDATE(A4,1))+SUMIFS('USt-Monatsübersicht'!$F$2:$F$115,'USt-Monatsübersicht'!$B$2:$B$115,"&gt;="&amp;A4,'USt-Monatsübersicht'!$B$2:$B$115,"&lt;"&amp;EDATE(A4,1),'USt-Monatsübersicht'!$G$2:$G$115,"&lt;&gt;Bezahlt")</x:f>
        <x:v>11016.64</x:v>
      </x:c>
      <x:c r="G4" s="191">
        <x:v>2000</x:v>
      </x:c>
      <x:c r="H4" s="191"/>
      <x:c r="I4" s="191">
        <x:v>480</x:v>
      </x:c>
      <x:c r="J4" s="191">
        <x:v>500</x:v>
      </x:c>
      <x:c r="K4" s="191"/>
      <x:c r="L4" s="191">
        <x:v>500</x:v>
      </x:c>
      <x:c r="M4" s="190">
        <x:f t="shared" si="2"/>
        <x:v>-9470.2100000000028</x:v>
      </x:c>
      <x:c r="N4" s="192" t="str">
        <x:f t="shared" si="0"/>
        <x:v>KRITISCH</x:v>
      </x:c>
      <x:c r="O4" s="1"/>
      <x:c r="P4" s="1"/>
      <x:c r="Q4" s="1"/>
      <x:c r="R4" s="1"/>
    </x:row>
    <x:row r="5">
      <x:c r="A5" s="189">
        <x:v>46296</x:v>
      </x:c>
      <x:c r="B5" s="190">
        <x:f t="shared" si="1"/>
        <x:v>-9470.2100000000028</x:v>
      </x:c>
      <x:c r="C5" s="190" t="n">
        <x:f>SUMIFS(Ausgangsrechnungen!$G$2:$G$301,Ausgangsrechnungen!$J$2:$J$301,"&gt;="&amp;A5,Ausgangsrechnungen!$J$2:$J$301,"&lt;"&amp;EDATE(A5,1))+SUMIFS(Ausgangsrechnungen!$H$2:$H$301,Ausgangsrechnungen!$E$2:$E$301,"&gt;="&amp;A5,Ausgangsrechnungen!$E$2:$E$301,"&lt;"&amp;EDATE(A5,1),Ausgangsrechnungen!$I$2:$I$301,"&lt;&gt;Bezahlt")</x:f>
        <x:v>6116.6</x:v>
      </x:c>
      <x:c r="D5" s="191"/>
      <x:c r="E5" s="190" t="n">
        <x:f>SUMIFS(Eingangsrechnungen!$N$2:$N$301,Eingangsrechnungen!$J$2:$J$301,"&gt;="&amp;A5,Eingangsrechnungen!$J$2:$J$301,"&lt;"&amp;EDATE(A5,1))+SUMIFS(Eingangsrechnungen!$N$2:$N$301,Eingangsrechnungen!$E$2:$E$301,"&gt;="&amp;A5,Eingangsrechnungen!$E$2:$E$301,"&lt;"&amp;EDATE(A5,1),Eingangsrechnungen!$J$2:$J$301,"")</x:f>
        <x:v>0</x:v>
      </x:c>
      <x:c r="F5" s="190" t="n">
        <x:f>SUMIFS(Steuerkalender!$D$2:$D$100,Steuerkalender!$F$2:$F$100,"&gt;="&amp;A5,Steuerkalender!$F$2:$F$100,"&lt;"&amp;EDATE(A5,1))+SUMIFS(Steuerkalender!$D$2:$D$100,Steuerkalender!$B$2:$B$100,"&gt;="&amp;A5,Steuerkalender!$B$2:$B$100,"&lt;"&amp;EDATE(A5,1),Steuerkalender!$E$2:$E$100,"&lt;&gt;Bezahlt")+SUMIFS('USt-Monatsübersicht'!$F$2:$F$115,'USt-Monatsübersicht'!$H$2:$H$115,"&gt;="&amp;A5,'USt-Monatsübersicht'!$H$2:$H$115,"&lt;"&amp;EDATE(A5,1))+SUMIFS('USt-Monatsübersicht'!$F$2:$F$115,'USt-Monatsübersicht'!$B$2:$B$115,"&gt;="&amp;A5,'USt-Monatsübersicht'!$B$2:$B$115,"&lt;"&amp;EDATE(A5,1),'USt-Monatsübersicht'!$G$2:$G$115,"&lt;&gt;Bezahlt")</x:f>
        <x:v>1925</x:v>
      </x:c>
      <x:c r="G5" s="191">
        <x:v>2000</x:v>
      </x:c>
      <x:c r="H5" s="191"/>
      <x:c r="I5" s="191">
        <x:v>480</x:v>
      </x:c>
      <x:c r="J5" s="191">
        <x:v>500</x:v>
      </x:c>
      <x:c r="K5" s="191"/>
      <x:c r="L5" s="191">
        <x:v>500</x:v>
      </x:c>
      <x:c r="M5" s="190">
        <x:f t="shared" si="2"/>
        <x:v>-8758.6100000000024</x:v>
      </x:c>
      <x:c r="N5" s="192" t="str">
        <x:f t="shared" si="0"/>
        <x:v>KRITISCH</x:v>
      </x:c>
      <x:c r="O5" s="1"/>
      <x:c r="P5" s="1"/>
      <x:c r="Q5" s="1"/>
      <x:c r="R5" s="1"/>
    </x:row>
    <x:row r="6">
      <x:c r="A6" s="189">
        <x:v>46327</x:v>
      </x:c>
      <x:c r="B6" s="190">
        <x:f t="shared" si="1"/>
        <x:v>-8758.6100000000024</x:v>
      </x:c>
      <x:c r="C6" s="190" t="n">
        <x:f>SUMIFS(Ausgangsrechnungen!$G$2:$G$301,Ausgangsrechnungen!$J$2:$J$301,"&gt;="&amp;A6,Ausgangsrechnungen!$J$2:$J$301,"&lt;"&amp;EDATE(A6,1))+SUMIFS(Ausgangsrechnungen!$H$2:$H$301,Ausgangsrechnungen!$E$2:$E$301,"&gt;="&amp;A6,Ausgangsrechnungen!$E$2:$E$301,"&lt;"&amp;EDATE(A6,1),Ausgangsrechnungen!$I$2:$I$301,"&lt;&gt;Bezahlt")</x:f>
        <x:v>0</x:v>
      </x:c>
      <x:c r="D6" s="191"/>
      <x:c r="E6" s="190" t="n">
        <x:f>SUMIFS(Eingangsrechnungen!$N$2:$N$301,Eingangsrechnungen!$J$2:$J$301,"&gt;="&amp;A6,Eingangsrechnungen!$J$2:$J$301,"&lt;"&amp;EDATE(A6,1))+SUMIFS(Eingangsrechnungen!$N$2:$N$301,Eingangsrechnungen!$E$2:$E$301,"&gt;="&amp;A6,Eingangsrechnungen!$E$2:$E$301,"&lt;"&amp;EDATE(A6,1),Eingangsrechnungen!$J$2:$J$301,"")</x:f>
        <x:v>0</x:v>
      </x:c>
      <x:c r="F6" s="190" t="n">
        <x:f>SUMIFS(Steuerkalender!$D$2:$D$100,Steuerkalender!$F$2:$F$100,"&gt;="&amp;A6,Steuerkalender!$F$2:$F$100,"&lt;"&amp;EDATE(A6,1))+SUMIFS(Steuerkalender!$D$2:$D$100,Steuerkalender!$B$2:$B$100,"&gt;="&amp;A6,Steuerkalender!$B$2:$B$100,"&lt;"&amp;EDATE(A6,1),Steuerkalender!$E$2:$E$100,"&lt;&gt;Bezahlt")+SUMIFS('USt-Monatsübersicht'!$F$2:$F$115,'USt-Monatsübersicht'!$H$2:$H$115,"&gt;="&amp;A6,'USt-Monatsübersicht'!$H$2:$H$115,"&lt;"&amp;EDATE(A6,1))+SUMIFS('USt-Monatsübersicht'!$F$2:$F$115,'USt-Monatsübersicht'!$B$2:$B$115,"&gt;="&amp;A6,'USt-Monatsübersicht'!$B$2:$B$115,"&lt;"&amp;EDATE(A6,1),'USt-Monatsübersicht'!$G$2:$G$115,"&lt;&gt;Bezahlt")</x:f>
        <x:v>2360</x:v>
      </x:c>
      <x:c r="G6" s="191">
        <x:v>2000</x:v>
      </x:c>
      <x:c r="H6" s="191"/>
      <x:c r="I6" s="191">
        <x:v>480</x:v>
      </x:c>
      <x:c r="J6" s="191">
        <x:v>500</x:v>
      </x:c>
      <x:c r="K6" s="191"/>
      <x:c r="L6" s="191">
        <x:v>500</x:v>
      </x:c>
      <x:c r="M6" s="190">
        <x:f t="shared" si="2"/>
        <x:v>-14598.610000000002</x:v>
      </x:c>
      <x:c r="N6" s="192" t="str">
        <x:f t="shared" si="0"/>
        <x:v>KRITISCH</x:v>
      </x:c>
      <x:c r="O6" s="1"/>
      <x:c r="P6" s="1"/>
      <x:c r="Q6" s="1"/>
      <x:c r="R6" s="1"/>
    </x:row>
    <x:row r="7">
      <x:c r="A7" s="189">
        <x:v>46357</x:v>
      </x:c>
      <x:c r="B7" s="190">
        <x:f t="shared" si="1"/>
        <x:v>-14598.610000000002</x:v>
      </x:c>
      <x:c r="C7" s="190" t="n">
        <x:f>SUMIFS(Ausgangsrechnungen!$G$2:$G$301,Ausgangsrechnungen!$J$2:$J$301,"&gt;="&amp;A7,Ausgangsrechnungen!$J$2:$J$301,"&lt;"&amp;EDATE(A7,1))+SUMIFS(Ausgangsrechnungen!$H$2:$H$301,Ausgangsrechnungen!$E$2:$E$301,"&gt;="&amp;A7,Ausgangsrechnungen!$E$2:$E$301,"&lt;"&amp;EDATE(A7,1),Ausgangsrechnungen!$I$2:$I$301,"&lt;&gt;Bezahlt")</x:f>
        <x:v>0</x:v>
      </x:c>
      <x:c r="D7" s="191"/>
      <x:c r="E7" s="190" t="n">
        <x:f>SUMIFS(Eingangsrechnungen!$N$2:$N$301,Eingangsrechnungen!$J$2:$J$301,"&gt;="&amp;A7,Eingangsrechnungen!$J$2:$J$301,"&lt;"&amp;EDATE(A7,1))+SUMIFS(Eingangsrechnungen!$N$2:$N$301,Eingangsrechnungen!$E$2:$E$301,"&gt;="&amp;A7,Eingangsrechnungen!$E$2:$E$301,"&lt;"&amp;EDATE(A7,1),Eingangsrechnungen!$J$2:$J$301,"")</x:f>
        <x:v>0</x:v>
      </x:c>
      <x:c r="F7" s="190" t="n">
        <x:f>SUMIFS(Steuerkalender!$D$2:$D$100,Steuerkalender!$F$2:$F$100,"&gt;="&amp;A7,Steuerkalender!$F$2:$F$100,"&lt;"&amp;EDATE(A7,1))+SUMIFS(Steuerkalender!$D$2:$D$100,Steuerkalender!$B$2:$B$100,"&gt;="&amp;A7,Steuerkalender!$B$2:$B$100,"&lt;"&amp;EDATE(A7,1),Steuerkalender!$E$2:$E$100,"&lt;&gt;Bezahlt")+SUMIFS('USt-Monatsübersicht'!$F$2:$F$115,'USt-Monatsübersicht'!$H$2:$H$115,"&gt;="&amp;A7,'USt-Monatsübersicht'!$H$2:$H$115,"&lt;"&amp;EDATE(A7,1))+SUMIFS('USt-Monatsübersicht'!$F$2:$F$115,'USt-Monatsübersicht'!$B$2:$B$115,"&gt;="&amp;A7,'USt-Monatsübersicht'!$B$2:$B$115,"&lt;"&amp;EDATE(A7,1),'USt-Monatsübersicht'!$G$2:$G$115,"&lt;&gt;Bezahlt")</x:f>
        <x:v>7656</x:v>
      </x:c>
      <x:c r="G7" s="191">
        <x:v>2000</x:v>
      </x:c>
      <x:c r="H7" s="191"/>
      <x:c r="I7" s="191">
        <x:v>480</x:v>
      </x:c>
      <x:c r="J7" s="191">
        <x:v>500</x:v>
      </x:c>
      <x:c r="K7" s="191"/>
      <x:c r="L7" s="191">
        <x:v>500</x:v>
      </x:c>
      <x:c r="M7" s="190">
        <x:f t="shared" si="2"/>
        <x:v>-25734.61</x:v>
      </x:c>
      <x:c r="N7" s="192" t="str">
        <x:f t="shared" si="0"/>
        <x:v>KRITISCH</x:v>
      </x:c>
      <x:c r="O7" s="1"/>
      <x:c r="P7" s="1"/>
      <x:c r="Q7" s="1"/>
      <x:c r="R7" s="1"/>
    </x:row>
    <x:row r="8">
      <x:c r="A8" s="189">
        <x:v>46388</x:v>
      </x:c>
      <x:c r="B8" s="190">
        <x:f t="shared" si="1"/>
        <x:v>-25734.61</x:v>
      </x:c>
      <x:c r="C8" s="190" t="n">
        <x:f>SUMIFS(Ausgangsrechnungen!$G$2:$G$301,Ausgangsrechnungen!$J$2:$J$301,"&gt;="&amp;A8,Ausgangsrechnungen!$J$2:$J$301,"&lt;"&amp;EDATE(A8,1))+SUMIFS(Ausgangsrechnungen!$H$2:$H$301,Ausgangsrechnungen!$E$2:$E$301,"&gt;="&amp;A8,Ausgangsrechnungen!$E$2:$E$301,"&lt;"&amp;EDATE(A8,1),Ausgangsrechnungen!$I$2:$I$301,"&lt;&gt;Bezahlt")</x:f>
        <x:v>0</x:v>
      </x:c>
      <x:c r="D8" s="191"/>
      <x:c r="E8" s="190" t="n">
        <x:f>SUMIFS(Eingangsrechnungen!$N$2:$N$301,Eingangsrechnungen!$J$2:$J$301,"&gt;="&amp;A8,Eingangsrechnungen!$J$2:$J$301,"&lt;"&amp;EDATE(A8,1))+SUMIFS(Eingangsrechnungen!$N$2:$N$301,Eingangsrechnungen!$E$2:$E$301,"&gt;="&amp;A8,Eingangsrechnungen!$E$2:$E$301,"&lt;"&amp;EDATE(A8,1),Eingangsrechnungen!$J$2:$J$301,"")</x:f>
        <x:v>0</x:v>
      </x:c>
      <x:c r="F8" s="190" t="n">
        <x:f>SUMIFS(Steuerkalender!$D$2:$D$100,Steuerkalender!$F$2:$F$100,"&gt;="&amp;A8,Steuerkalender!$F$2:$F$100,"&lt;"&amp;EDATE(A8,1))+SUMIFS(Steuerkalender!$D$2:$D$100,Steuerkalender!$B$2:$B$100,"&gt;="&amp;A8,Steuerkalender!$B$2:$B$100,"&lt;"&amp;EDATE(A8,1),Steuerkalender!$E$2:$E$100,"&lt;&gt;Bezahlt")+SUMIFS('USt-Monatsübersicht'!$F$2:$F$115,'USt-Monatsübersicht'!$H$2:$H$115,"&gt;="&amp;A8,'USt-Monatsübersicht'!$H$2:$H$115,"&lt;"&amp;EDATE(A8,1))+SUMIFS('USt-Monatsübersicht'!$F$2:$F$115,'USt-Monatsübersicht'!$B$2:$B$115,"&gt;="&amp;A8,'USt-Monatsübersicht'!$B$2:$B$115,"&lt;"&amp;EDATE(A8,1),'USt-Monatsübersicht'!$G$2:$G$115,"&lt;&gt;Bezahlt")</x:f>
        <x:v>2058</x:v>
      </x:c>
      <x:c r="G8" s="191">
        <x:v>2000</x:v>
      </x:c>
      <x:c r="H8" s="191"/>
      <x:c r="I8" s="191">
        <x:v>480</x:v>
      </x:c>
      <x:c r="J8" s="191">
        <x:v>500</x:v>
      </x:c>
      <x:c r="K8" s="191"/>
      <x:c r="L8" s="191">
        <x:v>500</x:v>
      </x:c>
      <x:c r="M8" s="190">
        <x:f t="shared" si="2"/>
        <x:v>-31272.61</x:v>
      </x:c>
      <x:c r="N8" s="192" t="str">
        <x:f t="shared" si="0"/>
        <x:v>KRITISCH</x:v>
      </x:c>
      <x:c r="O8" s="1"/>
      <x:c r="P8" s="1"/>
      <x:c r="Q8" s="1"/>
      <x:c r="R8" s="1"/>
    </x:row>
    <x:row r="9">
      <x:c r="A9" s="189">
        <x:v>46419</x:v>
      </x:c>
      <x:c r="B9" s="190">
        <x:f t="shared" si="1"/>
        <x:v>-31272.61</x:v>
      </x:c>
      <x:c r="C9" s="190" t="n">
        <x:f>SUMIFS(Ausgangsrechnungen!$G$2:$G$301,Ausgangsrechnungen!$J$2:$J$301,"&gt;="&amp;A9,Ausgangsrechnungen!$J$2:$J$301,"&lt;"&amp;EDATE(A9,1))+SUMIFS(Ausgangsrechnungen!$H$2:$H$301,Ausgangsrechnungen!$E$2:$E$301,"&gt;="&amp;A9,Ausgangsrechnungen!$E$2:$E$301,"&lt;"&amp;EDATE(A9,1),Ausgangsrechnungen!$I$2:$I$301,"&lt;&gt;Bezahlt")</x:f>
        <x:v>0</x:v>
      </x:c>
      <x:c r="D9" s="191"/>
      <x:c r="E9" s="190" t="n">
        <x:f>SUMIFS(Eingangsrechnungen!$N$2:$N$301,Eingangsrechnungen!$J$2:$J$301,"&gt;="&amp;A9,Eingangsrechnungen!$J$2:$J$301,"&lt;"&amp;EDATE(A9,1))+SUMIFS(Eingangsrechnungen!$N$2:$N$301,Eingangsrechnungen!$E$2:$E$301,"&gt;="&amp;A9,Eingangsrechnungen!$E$2:$E$301,"&lt;"&amp;EDATE(A9,1),Eingangsrechnungen!$J$2:$J$301,"")</x:f>
        <x:v>0</x:v>
      </x:c>
      <x:c r="F9" s="190" t="n">
        <x:f>SUMIFS(Steuerkalender!$D$2:$D$100,Steuerkalender!$F$2:$F$100,"&gt;="&amp;A9,Steuerkalender!$F$2:$F$100,"&lt;"&amp;EDATE(A9,1))+SUMIFS(Steuerkalender!$D$2:$D$100,Steuerkalender!$B$2:$B$100,"&gt;="&amp;A9,Steuerkalender!$B$2:$B$100,"&lt;"&amp;EDATE(A9,1),Steuerkalender!$E$2:$E$100,"&lt;&gt;Bezahlt")+SUMIFS('USt-Monatsübersicht'!$F$2:$F$115,'USt-Monatsübersicht'!$H$2:$H$115,"&gt;="&amp;A9,'USt-Monatsübersicht'!$H$2:$H$115,"&lt;"&amp;EDATE(A9,1))+SUMIFS('USt-Monatsübersicht'!$F$2:$F$115,'USt-Monatsübersicht'!$B$2:$B$115,"&gt;="&amp;A9,'USt-Monatsübersicht'!$B$2:$B$115,"&lt;"&amp;EDATE(A9,1),'USt-Monatsübersicht'!$G$2:$G$115,"&lt;&gt;Bezahlt")</x:f>
        <x:v>0</x:v>
      </x:c>
      <x:c r="G9" s="191">
        <x:v>2000</x:v>
      </x:c>
      <x:c r="H9" s="191"/>
      <x:c r="I9" s="191">
        <x:v>480</x:v>
      </x:c>
      <x:c r="J9" s="191">
        <x:v>500</x:v>
      </x:c>
      <x:c r="K9" s="191"/>
      <x:c r="L9" s="191">
        <x:v>500</x:v>
      </x:c>
      <x:c r="M9" s="190">
        <x:f t="shared" si="2"/>
        <x:v>-34752.61</x:v>
      </x:c>
      <x:c r="N9" s="192" t="str">
        <x:f t="shared" si="0"/>
        <x:v>KRITISCH</x:v>
      </x:c>
      <x:c r="O9" s="1"/>
      <x:c r="P9" s="1"/>
      <x:c r="Q9" s="1"/>
      <x:c r="R9" s="1"/>
    </x:row>
    <x:row r="10">
      <x:c r="A10" s="189">
        <x:v>46447</x:v>
      </x:c>
      <x:c r="B10" s="190">
        <x:f t="shared" si="1"/>
        <x:v>-34752.61</x:v>
      </x:c>
      <x:c r="C10" s="190" t="n">
        <x:f>SUMIFS(Ausgangsrechnungen!$G$2:$G$301,Ausgangsrechnungen!$J$2:$J$301,"&gt;="&amp;A10,Ausgangsrechnungen!$J$2:$J$301,"&lt;"&amp;EDATE(A10,1))+SUMIFS(Ausgangsrechnungen!$H$2:$H$301,Ausgangsrechnungen!$E$2:$E$301,"&gt;="&amp;A10,Ausgangsrechnungen!$E$2:$E$301,"&lt;"&amp;EDATE(A10,1),Ausgangsrechnungen!$I$2:$I$301,"&lt;&gt;Bezahlt")</x:f>
        <x:v>0</x:v>
      </x:c>
      <x:c r="D10" s="191"/>
      <x:c r="E10" s="190" t="n">
        <x:f>SUMIFS(Eingangsrechnungen!$N$2:$N$301,Eingangsrechnungen!$J$2:$J$301,"&gt;="&amp;A10,Eingangsrechnungen!$J$2:$J$301,"&lt;"&amp;EDATE(A10,1))+SUMIFS(Eingangsrechnungen!$N$2:$N$301,Eingangsrechnungen!$E$2:$E$301,"&gt;="&amp;A10,Eingangsrechnungen!$E$2:$E$301,"&lt;"&amp;EDATE(A10,1),Eingangsrechnungen!$J$2:$J$301,"")</x:f>
        <x:v>0</x:v>
      </x:c>
      <x:c r="F10" s="190" t="n">
        <x:f>SUMIFS(Steuerkalender!$D$2:$D$100,Steuerkalender!$F$2:$F$100,"&gt;="&amp;A10,Steuerkalender!$F$2:$F$100,"&lt;"&amp;EDATE(A10,1))+SUMIFS(Steuerkalender!$D$2:$D$100,Steuerkalender!$B$2:$B$100,"&gt;="&amp;A10,Steuerkalender!$B$2:$B$100,"&lt;"&amp;EDATE(A10,1),Steuerkalender!$E$2:$E$100,"&lt;&gt;Bezahlt")+SUMIFS('USt-Monatsübersicht'!$F$2:$F$115,'USt-Monatsübersicht'!$H$2:$H$115,"&gt;="&amp;A10,'USt-Monatsübersicht'!$H$2:$H$115,"&lt;"&amp;EDATE(A10,1))+SUMIFS('USt-Monatsübersicht'!$F$2:$F$115,'USt-Monatsübersicht'!$B$2:$B$115,"&gt;="&amp;A10,'USt-Monatsübersicht'!$B$2:$B$115,"&lt;"&amp;EDATE(A10,1),'USt-Monatsübersicht'!$G$2:$G$115,"&lt;&gt;Bezahlt")</x:f>
        <x:v>2865</x:v>
      </x:c>
      <x:c r="G10" s="191">
        <x:v>2000</x:v>
      </x:c>
      <x:c r="H10" s="191"/>
      <x:c r="I10" s="191">
        <x:v>480</x:v>
      </x:c>
      <x:c r="J10" s="191">
        <x:v>500</x:v>
      </x:c>
      <x:c r="K10" s="191"/>
      <x:c r="L10" s="191">
        <x:v>500</x:v>
      </x:c>
      <x:c r="M10" s="190">
        <x:f t="shared" si="2"/>
        <x:v>-41097.61</x:v>
      </x:c>
      <x:c r="N10" s="192" t="str">
        <x:f t="shared" si="0"/>
        <x:v>KRITISCH</x:v>
      </x:c>
      <x:c r="O10" s="1"/>
      <x:c r="P10" s="1"/>
      <x:c r="Q10" s="1"/>
      <x:c r="R10" s="1"/>
    </x:row>
    <x:row r="11">
      <x:c r="A11" s="189">
        <x:v>46478</x:v>
      </x:c>
      <x:c r="B11" s="190">
        <x:f t="shared" si="1"/>
        <x:v>-41097.61</x:v>
      </x:c>
      <x:c r="C11" s="190" t="n">
        <x:f>SUMIFS(Ausgangsrechnungen!$G$2:$G$301,Ausgangsrechnungen!$J$2:$J$301,"&gt;="&amp;A11,Ausgangsrechnungen!$J$2:$J$301,"&lt;"&amp;EDATE(A11,1))+SUMIFS(Ausgangsrechnungen!$H$2:$H$301,Ausgangsrechnungen!$E$2:$E$301,"&gt;="&amp;A11,Ausgangsrechnungen!$E$2:$E$301,"&lt;"&amp;EDATE(A11,1),Ausgangsrechnungen!$I$2:$I$301,"&lt;&gt;Bezahlt")</x:f>
        <x:v>0</x:v>
      </x:c>
      <x:c r="D11" s="191"/>
      <x:c r="E11" s="190" t="n">
        <x:f>SUMIFS(Eingangsrechnungen!$N$2:$N$301,Eingangsrechnungen!$J$2:$J$301,"&gt;="&amp;A11,Eingangsrechnungen!$J$2:$J$301,"&lt;"&amp;EDATE(A11,1))+SUMIFS(Eingangsrechnungen!$N$2:$N$301,Eingangsrechnungen!$E$2:$E$301,"&gt;="&amp;A11,Eingangsrechnungen!$E$2:$E$301,"&lt;"&amp;EDATE(A11,1),Eingangsrechnungen!$J$2:$J$301,"")</x:f>
        <x:v>0</x:v>
      </x:c>
      <x:c r="F11" s="190" t="n">
        <x:f>SUMIFS(Steuerkalender!$D$2:$D$100,Steuerkalender!$F$2:$F$100,"&gt;="&amp;A11,Steuerkalender!$F$2:$F$100,"&lt;"&amp;EDATE(A11,1))+SUMIFS(Steuerkalender!$D$2:$D$100,Steuerkalender!$B$2:$B$100,"&gt;="&amp;A11,Steuerkalender!$B$2:$B$100,"&lt;"&amp;EDATE(A11,1),Steuerkalender!$E$2:$E$100,"&lt;&gt;Bezahlt")+SUMIFS('USt-Monatsübersicht'!$F$2:$F$115,'USt-Monatsübersicht'!$H$2:$H$115,"&gt;="&amp;A11,'USt-Monatsübersicht'!$H$2:$H$115,"&lt;"&amp;EDATE(A11,1))+SUMIFS('USt-Monatsübersicht'!$F$2:$F$115,'USt-Monatsübersicht'!$B$2:$B$115,"&gt;="&amp;A11,'USt-Monatsübersicht'!$B$2:$B$115,"&lt;"&amp;EDATE(A11,1),'USt-Monatsübersicht'!$G$2:$G$115,"&lt;&gt;Bezahlt")</x:f>
        <x:v>0</x:v>
      </x:c>
      <x:c r="G11" s="191">
        <x:v>2000</x:v>
      </x:c>
      <x:c r="H11" s="191"/>
      <x:c r="I11" s="191">
        <x:v>480</x:v>
      </x:c>
      <x:c r="J11" s="191">
        <x:v>500</x:v>
      </x:c>
      <x:c r="K11" s="191"/>
      <x:c r="L11" s="191">
        <x:v>500</x:v>
      </x:c>
      <x:c r="M11" s="190">
        <x:f t="shared" si="2"/>
        <x:v>-44577.61</x:v>
      </x:c>
      <x:c r="N11" s="192" t="str">
        <x:f t="shared" si="0"/>
        <x:v>KRITISCH</x:v>
      </x:c>
      <x:c r="O11" s="1"/>
      <x:c r="P11" s="1"/>
      <x:c r="Q11" s="1"/>
      <x:c r="R11" s="1"/>
    </x:row>
    <x:row r="12">
      <x:c r="A12" s="189">
        <x:v>46508</x:v>
      </x:c>
      <x:c r="B12" s="190">
        <x:f t="shared" si="1"/>
        <x:v>-44577.61</x:v>
      </x:c>
      <x:c r="C12" s="190" t="n">
        <x:f>SUMIFS(Ausgangsrechnungen!$G$2:$G$301,Ausgangsrechnungen!$J$2:$J$301,"&gt;="&amp;A12,Ausgangsrechnungen!$J$2:$J$301,"&lt;"&amp;EDATE(A12,1))+SUMIFS(Ausgangsrechnungen!$H$2:$H$301,Ausgangsrechnungen!$E$2:$E$301,"&gt;="&amp;A12,Ausgangsrechnungen!$E$2:$E$301,"&lt;"&amp;EDATE(A12,1),Ausgangsrechnungen!$I$2:$I$301,"&lt;&gt;Bezahlt")</x:f>
        <x:v>0</x:v>
      </x:c>
      <x:c r="D12" s="191"/>
      <x:c r="E12" s="190" t="n">
        <x:f>SUMIFS(Eingangsrechnungen!$N$2:$N$301,Eingangsrechnungen!$J$2:$J$301,"&gt;="&amp;A12,Eingangsrechnungen!$J$2:$J$301,"&lt;"&amp;EDATE(A12,1))+SUMIFS(Eingangsrechnungen!$N$2:$N$301,Eingangsrechnungen!$E$2:$E$301,"&gt;="&amp;A12,Eingangsrechnungen!$E$2:$E$301,"&lt;"&amp;EDATE(A12,1),Eingangsrechnungen!$J$2:$J$301,"")</x:f>
        <x:v>0</x:v>
      </x:c>
      <x:c r="F12" s="190" t="n">
        <x:f>SUMIFS(Steuerkalender!$D$2:$D$100,Steuerkalender!$F$2:$F$100,"&gt;="&amp;A12,Steuerkalender!$F$2:$F$100,"&lt;"&amp;EDATE(A12,1))+SUMIFS(Steuerkalender!$D$2:$D$100,Steuerkalender!$B$2:$B$100,"&gt;="&amp;A12,Steuerkalender!$B$2:$B$100,"&lt;"&amp;EDATE(A12,1),Steuerkalender!$E$2:$E$100,"&lt;&gt;Bezahlt")+SUMIFS('USt-Monatsübersicht'!$F$2:$F$115,'USt-Monatsübersicht'!$H$2:$H$115,"&gt;="&amp;A12,'USt-Monatsübersicht'!$H$2:$H$115,"&lt;"&amp;EDATE(A12,1))+SUMIFS('USt-Monatsübersicht'!$F$2:$F$115,'USt-Monatsübersicht'!$B$2:$B$115,"&gt;="&amp;A12,'USt-Monatsübersicht'!$B$2:$B$115,"&lt;"&amp;EDATE(A12,1),'USt-Monatsübersicht'!$G$2:$G$115,"&lt;&gt;Bezahlt")</x:f>
        <x:v>0</x:v>
      </x:c>
      <x:c r="G12" s="191">
        <x:v>2000</x:v>
      </x:c>
      <x:c r="H12" s="191"/>
      <x:c r="I12" s="191">
        <x:v>480</x:v>
      </x:c>
      <x:c r="J12" s="191">
        <x:v>500</x:v>
      </x:c>
      <x:c r="K12" s="191"/>
      <x:c r="L12" s="191">
        <x:v>500</x:v>
      </x:c>
      <x:c r="M12" s="190">
        <x:f t="shared" si="2"/>
        <x:v>-48057.61</x:v>
      </x:c>
      <x:c r="N12" s="192" t="str">
        <x:f t="shared" si="0"/>
        <x:v>KRITISCH</x:v>
      </x:c>
      <x:c r="O12" s="1"/>
      <x:c r="P12" s="1"/>
      <x:c r="Q12" s="1"/>
      <x:c r="R12" s="1"/>
    </x:row>
    <x:row r="13">
      <x:c r="A13" s="189">
        <x:v>46539</x:v>
      </x:c>
      <x:c r="B13" s="190">
        <x:f t="shared" si="1"/>
        <x:v>-48057.61</x:v>
      </x:c>
      <x:c r="C13" s="190" t="n">
        <x:f>SUMIFS(Ausgangsrechnungen!$G$2:$G$301,Ausgangsrechnungen!$J$2:$J$301,"&gt;="&amp;A13,Ausgangsrechnungen!$J$2:$J$301,"&lt;"&amp;EDATE(A13,1))+SUMIFS(Ausgangsrechnungen!$H$2:$H$301,Ausgangsrechnungen!$E$2:$E$301,"&gt;="&amp;A13,Ausgangsrechnungen!$E$2:$E$301,"&lt;"&amp;EDATE(A13,1),Ausgangsrechnungen!$I$2:$I$301,"&lt;&gt;Bezahlt")</x:f>
        <x:v>0</x:v>
      </x:c>
      <x:c r="D13" s="191"/>
      <x:c r="E13" s="190" t="n">
        <x:f>SUMIFS(Eingangsrechnungen!$N$2:$N$301,Eingangsrechnungen!$J$2:$J$301,"&gt;="&amp;A13,Eingangsrechnungen!$J$2:$J$301,"&lt;"&amp;EDATE(A13,1))+SUMIFS(Eingangsrechnungen!$N$2:$N$301,Eingangsrechnungen!$E$2:$E$301,"&gt;="&amp;A13,Eingangsrechnungen!$E$2:$E$301,"&lt;"&amp;EDATE(A13,1),Eingangsrechnungen!$J$2:$J$301,"")</x:f>
        <x:v>0</x:v>
      </x:c>
      <x:c r="F13" s="190" t="n">
        <x:f>SUMIFS(Steuerkalender!$D$2:$D$100,Steuerkalender!$F$2:$F$100,"&gt;="&amp;A13,Steuerkalender!$F$2:$F$100,"&lt;"&amp;EDATE(A13,1))+SUMIFS(Steuerkalender!$D$2:$D$100,Steuerkalender!$B$2:$B$100,"&gt;="&amp;A13,Steuerkalender!$B$2:$B$100,"&lt;"&amp;EDATE(A13,1),Steuerkalender!$E$2:$E$100,"&lt;&gt;Bezahlt")+SUMIFS('USt-Monatsübersicht'!$F$2:$F$115,'USt-Monatsübersicht'!$H$2:$H$115,"&gt;="&amp;A13,'USt-Monatsübersicht'!$H$2:$H$115,"&lt;"&amp;EDATE(A13,1))+SUMIFS('USt-Monatsübersicht'!$F$2:$F$115,'USt-Monatsübersicht'!$B$2:$B$115,"&gt;="&amp;A13,'USt-Monatsübersicht'!$B$2:$B$115,"&lt;"&amp;EDATE(A13,1),'USt-Monatsübersicht'!$G$2:$G$115,"&lt;&gt;Bezahlt")</x:f>
        <x:v>2865</x:v>
      </x:c>
      <x:c r="G13" s="191">
        <x:v>2000</x:v>
      </x:c>
      <x:c r="H13" s="191"/>
      <x:c r="I13" s="191">
        <x:v>480</x:v>
      </x:c>
      <x:c r="J13" s="191">
        <x:v>500</x:v>
      </x:c>
      <x:c r="K13" s="191"/>
      <x:c r="L13" s="191">
        <x:v>500</x:v>
      </x:c>
      <x:c r="M13" s="190">
        <x:f t="shared" si="2"/>
        <x:v>-54402.61</x:v>
      </x:c>
      <x:c r="N13" s="192" t="str">
        <x:f t="shared" si="0"/>
        <x:v>KRITISCH</x:v>
      </x:c>
      <x:c r="O13" s="1"/>
      <x:c r="P13" s="1"/>
      <x:c r="Q13" s="1"/>
      <x:c r="R13" s="1"/>
    </x:row>
    <x:row r="14">
      <x:c r="A14" s="189">
        <x:v>46569</x:v>
      </x:c>
      <x:c r="B14" s="190">
        <x:f t="shared" si="1"/>
        <x:v>-54402.61</x:v>
      </x:c>
      <x:c r="C14" s="190" t="n">
        <x:f>SUMIFS(Ausgangsrechnungen!$G$2:$G$301,Ausgangsrechnungen!$J$2:$J$301,"&gt;="&amp;A14,Ausgangsrechnungen!$J$2:$J$301,"&lt;"&amp;EDATE(A14,1))+SUMIFS(Ausgangsrechnungen!$H$2:$H$301,Ausgangsrechnungen!$E$2:$E$301,"&gt;="&amp;A14,Ausgangsrechnungen!$E$2:$E$301,"&lt;"&amp;EDATE(A14,1),Ausgangsrechnungen!$I$2:$I$301,"&lt;&gt;Bezahlt")</x:f>
        <x:v>0</x:v>
      </x:c>
      <x:c r="D14" s="191"/>
      <x:c r="E14" s="190" t="n">
        <x:f>SUMIFS(Eingangsrechnungen!$N$2:$N$301,Eingangsrechnungen!$J$2:$J$301,"&gt;="&amp;A14,Eingangsrechnungen!$J$2:$J$301,"&lt;"&amp;EDATE(A14,1))+SUMIFS(Eingangsrechnungen!$N$2:$N$301,Eingangsrechnungen!$E$2:$E$301,"&gt;="&amp;A14,Eingangsrechnungen!$E$2:$E$301,"&lt;"&amp;EDATE(A14,1),Eingangsrechnungen!$J$2:$J$301,"")</x:f>
        <x:v>0</x:v>
      </x:c>
      <x:c r="F14" s="190" t="n">
        <x:f>SUMIFS(Steuerkalender!$D$2:$D$100,Steuerkalender!$F$2:$F$100,"&gt;="&amp;A14,Steuerkalender!$F$2:$F$100,"&lt;"&amp;EDATE(A14,1))+SUMIFS(Steuerkalender!$D$2:$D$100,Steuerkalender!$B$2:$B$100,"&gt;="&amp;A14,Steuerkalender!$B$2:$B$100,"&lt;"&amp;EDATE(A14,1),Steuerkalender!$E$2:$E$100,"&lt;&gt;Bezahlt")+SUMIFS('USt-Monatsübersicht'!$F$2:$F$115,'USt-Monatsübersicht'!$H$2:$H$115,"&gt;="&amp;A14,'USt-Monatsübersicht'!$H$2:$H$115,"&lt;"&amp;EDATE(A14,1))+SUMIFS('USt-Monatsübersicht'!$F$2:$F$115,'USt-Monatsübersicht'!$B$2:$B$115,"&gt;="&amp;A14,'USt-Monatsübersicht'!$B$2:$B$115,"&lt;"&amp;EDATE(A14,1),'USt-Monatsübersicht'!$G$2:$G$115,"&lt;&gt;Bezahlt")</x:f>
        <x:v>0</x:v>
      </x:c>
      <x:c r="G14" s="191">
        <x:v>2000</x:v>
      </x:c>
      <x:c r="H14" s="191"/>
      <x:c r="I14" s="191">
        <x:v>480</x:v>
      </x:c>
      <x:c r="J14" s="191">
        <x:v>500</x:v>
      </x:c>
      <x:c r="K14" s="191"/>
      <x:c r="L14" s="191">
        <x:v>500</x:v>
      </x:c>
      <x:c r="M14" s="190">
        <x:f t="shared" si="2"/>
        <x:v>-57882.61</x:v>
      </x:c>
      <x:c r="N14" s="192" t="str">
        <x:f t="shared" si="0"/>
        <x:v>KRITISCH</x:v>
      </x:c>
      <x:c r="O14" s="1"/>
      <x:c r="P14" s="1"/>
      <x:c r="Q14" s="1"/>
      <x:c r="R14" s="1"/>
    </x:row>
    <x:row r="15">
      <x:c r="A15" s="189">
        <x:v>46600</x:v>
      </x:c>
      <x:c r="B15" s="190">
        <x:f t="shared" si="1"/>
        <x:v>-57882.61</x:v>
      </x:c>
      <x:c r="C15" s="190" t="n">
        <x:f>SUMIFS(Ausgangsrechnungen!$G$2:$G$301,Ausgangsrechnungen!$J$2:$J$301,"&gt;="&amp;A15,Ausgangsrechnungen!$J$2:$J$301,"&lt;"&amp;EDATE(A15,1))+SUMIFS(Ausgangsrechnungen!$H$2:$H$301,Ausgangsrechnungen!$E$2:$E$301,"&gt;="&amp;A15,Ausgangsrechnungen!$E$2:$E$301,"&lt;"&amp;EDATE(A15,1),Ausgangsrechnungen!$I$2:$I$301,"&lt;&gt;Bezahlt")</x:f>
        <x:v>0</x:v>
      </x:c>
      <x:c r="D15" s="191"/>
      <x:c r="E15" s="190" t="n">
        <x:f>SUMIFS(Eingangsrechnungen!$N$2:$N$301,Eingangsrechnungen!$J$2:$J$301,"&gt;="&amp;A15,Eingangsrechnungen!$J$2:$J$301,"&lt;"&amp;EDATE(A15,1))+SUMIFS(Eingangsrechnungen!$N$2:$N$301,Eingangsrechnungen!$E$2:$E$301,"&gt;="&amp;A15,Eingangsrechnungen!$E$2:$E$301,"&lt;"&amp;EDATE(A15,1),Eingangsrechnungen!$J$2:$J$301,"")</x:f>
        <x:v>0</x:v>
      </x:c>
      <x:c r="F15" s="190" t="n">
        <x:f>SUMIFS(Steuerkalender!$D$2:$D$100,Steuerkalender!$F$2:$F$100,"&gt;="&amp;A15,Steuerkalender!$F$2:$F$100,"&lt;"&amp;EDATE(A15,1))+SUMIFS(Steuerkalender!$D$2:$D$100,Steuerkalender!$B$2:$B$100,"&gt;="&amp;A15,Steuerkalender!$B$2:$B$100,"&lt;"&amp;EDATE(A15,1),Steuerkalender!$E$2:$E$100,"&lt;&gt;Bezahlt")+SUMIFS('USt-Monatsübersicht'!$F$2:$F$115,'USt-Monatsübersicht'!$H$2:$H$115,"&gt;="&amp;A15,'USt-Monatsübersicht'!$H$2:$H$115,"&lt;"&amp;EDATE(A15,1))+SUMIFS('USt-Monatsübersicht'!$F$2:$F$115,'USt-Monatsübersicht'!$B$2:$B$115,"&gt;="&amp;A15,'USt-Monatsübersicht'!$B$2:$B$115,"&lt;"&amp;EDATE(A15,1),'USt-Monatsübersicht'!$G$2:$G$115,"&lt;&gt;Bezahlt")</x:f>
        <x:v>0</x:v>
      </x:c>
      <x:c r="G15" s="191">
        <x:v>2000</x:v>
      </x:c>
      <x:c r="H15" s="191"/>
      <x:c r="I15" s="191">
        <x:v>480</x:v>
      </x:c>
      <x:c r="J15" s="191">
        <x:v>500</x:v>
      </x:c>
      <x:c r="K15" s="191"/>
      <x:c r="L15" s="191">
        <x:v>500</x:v>
      </x:c>
      <x:c r="M15" s="190">
        <x:f t="shared" si="2"/>
        <x:v>-61362.61</x:v>
      </x:c>
      <x:c r="N15" s="192" t="str">
        <x:f t="shared" si="0"/>
        <x:v>KRITISCH</x:v>
      </x:c>
      <x:c r="O15" s="1"/>
      <x:c r="P15" s="1"/>
      <x:c r="Q15" s="1"/>
      <x:c r="R15" s="1"/>
    </x:row>
    <x:row r="16">
      <x:c r="A16" s="189">
        <x:v>46631</x:v>
      </x:c>
      <x:c r="B16" s="190">
        <x:f t="shared" si="1"/>
        <x:v>-61362.61</x:v>
      </x:c>
      <x:c r="C16" s="190" t="n">
        <x:f>SUMIFS(Ausgangsrechnungen!$G$2:$G$301,Ausgangsrechnungen!$J$2:$J$301,"&gt;="&amp;A16,Ausgangsrechnungen!$J$2:$J$301,"&lt;"&amp;EDATE(A16,1))+SUMIFS(Ausgangsrechnungen!$H$2:$H$301,Ausgangsrechnungen!$E$2:$E$301,"&gt;="&amp;A16,Ausgangsrechnungen!$E$2:$E$301,"&lt;"&amp;EDATE(A16,1),Ausgangsrechnungen!$I$2:$I$301,"&lt;&gt;Bezahlt")</x:f>
        <x:v>0</x:v>
      </x:c>
      <x:c r="D16" s="191"/>
      <x:c r="E16" s="190" t="n">
        <x:f>SUMIFS(Eingangsrechnungen!$N$2:$N$301,Eingangsrechnungen!$J$2:$J$301,"&gt;="&amp;A16,Eingangsrechnungen!$J$2:$J$301,"&lt;"&amp;EDATE(A16,1))+SUMIFS(Eingangsrechnungen!$N$2:$N$301,Eingangsrechnungen!$E$2:$E$301,"&gt;="&amp;A16,Eingangsrechnungen!$E$2:$E$301,"&lt;"&amp;EDATE(A16,1),Eingangsrechnungen!$J$2:$J$301,"")</x:f>
        <x:v>0</x:v>
      </x:c>
      <x:c r="F16" s="190" t="n">
        <x:f>SUMIFS(Steuerkalender!$D$2:$D$100,Steuerkalender!$F$2:$F$100,"&gt;="&amp;A16,Steuerkalender!$F$2:$F$100,"&lt;"&amp;EDATE(A16,1))+SUMIFS(Steuerkalender!$D$2:$D$100,Steuerkalender!$B$2:$B$100,"&gt;="&amp;A16,Steuerkalender!$B$2:$B$100,"&lt;"&amp;EDATE(A16,1),Steuerkalender!$E$2:$E$100,"&lt;&gt;Bezahlt")+SUMIFS('USt-Monatsübersicht'!$F$2:$F$115,'USt-Monatsübersicht'!$H$2:$H$115,"&gt;="&amp;A16,'USt-Monatsübersicht'!$H$2:$H$115,"&lt;"&amp;EDATE(A16,1))+SUMIFS('USt-Monatsübersicht'!$F$2:$F$115,'USt-Monatsübersicht'!$B$2:$B$115,"&gt;="&amp;A16,'USt-Monatsübersicht'!$B$2:$B$115,"&lt;"&amp;EDATE(A16,1),'USt-Monatsübersicht'!$G$2:$G$115,"&lt;&gt;Bezahlt")</x:f>
        <x:v>2865</x:v>
      </x:c>
      <x:c r="G16" s="191">
        <x:v>2000</x:v>
      </x:c>
      <x:c r="H16" s="191"/>
      <x:c r="I16" s="191">
        <x:v>480</x:v>
      </x:c>
      <x:c r="J16" s="191">
        <x:v>500</x:v>
      </x:c>
      <x:c r="K16" s="191"/>
      <x:c r="L16" s="191">
        <x:v>500</x:v>
      </x:c>
      <x:c r="M16" s="190">
        <x:f t="shared" si="2"/>
        <x:v>-67707.61</x:v>
      </x:c>
      <x:c r="N16" s="192" t="str">
        <x:f t="shared" si="0"/>
        <x:v>KRITISCH</x:v>
      </x:c>
      <x:c r="O16" s="1"/>
      <x:c r="P16" s="1"/>
      <x:c r="Q16" s="1"/>
      <x:c r="R16" s="1"/>
    </x:row>
    <x:row r="17">
      <x:c r="A17" s="189">
        <x:v>46661</x:v>
      </x:c>
      <x:c r="B17" s="190">
        <x:f t="shared" si="1"/>
        <x:v>-67707.61</x:v>
      </x:c>
      <x:c r="C17" s="190" t="n">
        <x:f>SUMIFS(Ausgangsrechnungen!$G$2:$G$301,Ausgangsrechnungen!$J$2:$J$301,"&gt;="&amp;A17,Ausgangsrechnungen!$J$2:$J$301,"&lt;"&amp;EDATE(A17,1))+SUMIFS(Ausgangsrechnungen!$H$2:$H$301,Ausgangsrechnungen!$E$2:$E$301,"&gt;="&amp;A17,Ausgangsrechnungen!$E$2:$E$301,"&lt;"&amp;EDATE(A17,1),Ausgangsrechnungen!$I$2:$I$301,"&lt;&gt;Bezahlt")</x:f>
        <x:v>0</x:v>
      </x:c>
      <x:c r="D17" s="191"/>
      <x:c r="E17" s="190" t="n">
        <x:f>SUMIFS(Eingangsrechnungen!$N$2:$N$301,Eingangsrechnungen!$J$2:$J$301,"&gt;="&amp;A17,Eingangsrechnungen!$J$2:$J$301,"&lt;"&amp;EDATE(A17,1))+SUMIFS(Eingangsrechnungen!$N$2:$N$301,Eingangsrechnungen!$E$2:$E$301,"&gt;="&amp;A17,Eingangsrechnungen!$E$2:$E$301,"&lt;"&amp;EDATE(A17,1),Eingangsrechnungen!$J$2:$J$301,"")</x:f>
        <x:v>0</x:v>
      </x:c>
      <x:c r="F17" s="190" t="n">
        <x:f>SUMIFS(Steuerkalender!$D$2:$D$100,Steuerkalender!$F$2:$F$100,"&gt;="&amp;A17,Steuerkalender!$F$2:$F$100,"&lt;"&amp;EDATE(A17,1))+SUMIFS(Steuerkalender!$D$2:$D$100,Steuerkalender!$B$2:$B$100,"&gt;="&amp;A17,Steuerkalender!$B$2:$B$100,"&lt;"&amp;EDATE(A17,1),Steuerkalender!$E$2:$E$100,"&lt;&gt;Bezahlt")+SUMIFS('USt-Monatsübersicht'!$F$2:$F$115,'USt-Monatsübersicht'!$H$2:$H$115,"&gt;="&amp;A17,'USt-Monatsübersicht'!$H$2:$H$115,"&lt;"&amp;EDATE(A17,1))+SUMIFS('USt-Monatsübersicht'!$F$2:$F$115,'USt-Monatsübersicht'!$B$2:$B$115,"&gt;="&amp;A17,'USt-Monatsübersicht'!$B$2:$B$115,"&lt;"&amp;EDATE(A17,1),'USt-Monatsübersicht'!$G$2:$G$115,"&lt;&gt;Bezahlt")</x:f>
        <x:v>0</x:v>
      </x:c>
      <x:c r="G17" s="191">
        <x:v>2000</x:v>
      </x:c>
      <x:c r="H17" s="191"/>
      <x:c r="I17" s="191">
        <x:v>480</x:v>
      </x:c>
      <x:c r="J17" s="191">
        <x:v>500</x:v>
      </x:c>
      <x:c r="K17" s="191"/>
      <x:c r="L17" s="191">
        <x:v>500</x:v>
      </x:c>
      <x:c r="M17" s="190">
        <x:f t="shared" si="2"/>
        <x:v>-71187.61</x:v>
      </x:c>
      <x:c r="N17" s="192" t="str">
        <x:f t="shared" si="0"/>
        <x:v>KRITISCH</x:v>
      </x:c>
      <x:c r="O17" s="1"/>
      <x:c r="P17" s="1"/>
      <x:c r="Q17" s="1"/>
      <x:c r="R17" s="1"/>
    </x:row>
    <x:row r="18">
      <x:c r="A18" s="189">
        <x:v>46692</x:v>
      </x:c>
      <x:c r="B18" s="190">
        <x:f t="shared" si="1"/>
        <x:v>-71187.61</x:v>
      </x:c>
      <x:c r="C18" s="190" t="n">
        <x:f>SUMIFS(Ausgangsrechnungen!$G$2:$G$301,Ausgangsrechnungen!$J$2:$J$301,"&gt;="&amp;A18,Ausgangsrechnungen!$J$2:$J$301,"&lt;"&amp;EDATE(A18,1))+SUMIFS(Ausgangsrechnungen!$H$2:$H$301,Ausgangsrechnungen!$E$2:$E$301,"&gt;="&amp;A18,Ausgangsrechnungen!$E$2:$E$301,"&lt;"&amp;EDATE(A18,1),Ausgangsrechnungen!$I$2:$I$301,"&lt;&gt;Bezahlt")</x:f>
        <x:v>0</x:v>
      </x:c>
      <x:c r="D18" s="191"/>
      <x:c r="E18" s="190" t="n">
        <x:f>SUMIFS(Eingangsrechnungen!$N$2:$N$301,Eingangsrechnungen!$J$2:$J$301,"&gt;="&amp;A18,Eingangsrechnungen!$J$2:$J$301,"&lt;"&amp;EDATE(A18,1))+SUMIFS(Eingangsrechnungen!$N$2:$N$301,Eingangsrechnungen!$E$2:$E$301,"&gt;="&amp;A18,Eingangsrechnungen!$E$2:$E$301,"&lt;"&amp;EDATE(A18,1),Eingangsrechnungen!$J$2:$J$301,"")</x:f>
        <x:v>0</x:v>
      </x:c>
      <x:c r="F18" s="190" t="n">
        <x:f>SUMIFS(Steuerkalender!$D$2:$D$100,Steuerkalender!$F$2:$F$100,"&gt;="&amp;A18,Steuerkalender!$F$2:$F$100,"&lt;"&amp;EDATE(A18,1))+SUMIFS(Steuerkalender!$D$2:$D$100,Steuerkalender!$B$2:$B$100,"&gt;="&amp;A18,Steuerkalender!$B$2:$B$100,"&lt;"&amp;EDATE(A18,1),Steuerkalender!$E$2:$E$100,"&lt;&gt;Bezahlt")+SUMIFS('USt-Monatsübersicht'!$F$2:$F$115,'USt-Monatsübersicht'!$H$2:$H$115,"&gt;="&amp;A18,'USt-Monatsübersicht'!$H$2:$H$115,"&lt;"&amp;EDATE(A18,1))+SUMIFS('USt-Monatsübersicht'!$F$2:$F$115,'USt-Monatsübersicht'!$B$2:$B$115,"&gt;="&amp;A18,'USt-Monatsübersicht'!$B$2:$B$115,"&lt;"&amp;EDATE(A18,1),'USt-Monatsübersicht'!$G$2:$G$115,"&lt;&gt;Bezahlt")</x:f>
        <x:v>0</x:v>
      </x:c>
      <x:c r="G18" s="191">
        <x:v>2000</x:v>
      </x:c>
      <x:c r="H18" s="191"/>
      <x:c r="I18" s="191">
        <x:v>480</x:v>
      </x:c>
      <x:c r="J18" s="191">
        <x:v>500</x:v>
      </x:c>
      <x:c r="K18" s="191"/>
      <x:c r="L18" s="191">
        <x:v>500</x:v>
      </x:c>
      <x:c r="M18" s="190">
        <x:f t="shared" si="2"/>
        <x:v>-74667.61</x:v>
      </x:c>
      <x:c r="N18" s="192" t="str">
        <x:f t="shared" si="0"/>
        <x:v>KRITISCH</x:v>
      </x:c>
      <x:c r="O18" s="1"/>
      <x:c r="P18" s="1"/>
      <x:c r="Q18" s="1"/>
      <x:c r="R18" s="1"/>
    </x:row>
    <x:row r="19">
      <x:c r="A19" s="189">
        <x:v>46722</x:v>
      </x:c>
      <x:c r="B19" s="190">
        <x:f t="shared" si="1"/>
        <x:v>-74667.61</x:v>
      </x:c>
      <x:c r="C19" s="190" t="n">
        <x:f>SUMIFS(Ausgangsrechnungen!$G$2:$G$301,Ausgangsrechnungen!$J$2:$J$301,"&gt;="&amp;A19,Ausgangsrechnungen!$J$2:$J$301,"&lt;"&amp;EDATE(A19,1))+SUMIFS(Ausgangsrechnungen!$H$2:$H$301,Ausgangsrechnungen!$E$2:$E$301,"&gt;="&amp;A19,Ausgangsrechnungen!$E$2:$E$301,"&lt;"&amp;EDATE(A19,1),Ausgangsrechnungen!$I$2:$I$301,"&lt;&gt;Bezahlt")</x:f>
        <x:v>0</x:v>
      </x:c>
      <x:c r="D19" s="191"/>
      <x:c r="E19" s="190" t="n">
        <x:f>SUMIFS(Eingangsrechnungen!$N$2:$N$301,Eingangsrechnungen!$J$2:$J$301,"&gt;="&amp;A19,Eingangsrechnungen!$J$2:$J$301,"&lt;"&amp;EDATE(A19,1))+SUMIFS(Eingangsrechnungen!$N$2:$N$301,Eingangsrechnungen!$E$2:$E$301,"&gt;="&amp;A19,Eingangsrechnungen!$E$2:$E$301,"&lt;"&amp;EDATE(A19,1),Eingangsrechnungen!$J$2:$J$301,"")</x:f>
        <x:v>0</x:v>
      </x:c>
      <x:c r="F19" s="190" t="n">
        <x:f>SUMIFS(Steuerkalender!$D$2:$D$100,Steuerkalender!$F$2:$F$100,"&gt;="&amp;A19,Steuerkalender!$F$2:$F$100,"&lt;"&amp;EDATE(A19,1))+SUMIFS(Steuerkalender!$D$2:$D$100,Steuerkalender!$B$2:$B$100,"&gt;="&amp;A19,Steuerkalender!$B$2:$B$100,"&lt;"&amp;EDATE(A19,1),Steuerkalender!$E$2:$E$100,"&lt;&gt;Bezahlt")+SUMIFS('USt-Monatsübersicht'!$F$2:$F$115,'USt-Monatsübersicht'!$H$2:$H$115,"&gt;="&amp;A19,'USt-Monatsübersicht'!$H$2:$H$115,"&lt;"&amp;EDATE(A19,1))+SUMIFS('USt-Monatsübersicht'!$F$2:$F$115,'USt-Monatsübersicht'!$B$2:$B$115,"&gt;="&amp;A19,'USt-Monatsübersicht'!$B$2:$B$115,"&lt;"&amp;EDATE(A19,1),'USt-Monatsübersicht'!$G$2:$G$115,"&lt;&gt;Bezahlt")</x:f>
        <x:v>2865</x:v>
      </x:c>
      <x:c r="G19" s="191">
        <x:v>2000</x:v>
      </x:c>
      <x:c r="H19" s="191"/>
      <x:c r="I19" s="191">
        <x:v>480</x:v>
      </x:c>
      <x:c r="J19" s="191">
        <x:v>500</x:v>
      </x:c>
      <x:c r="K19" s="191"/>
      <x:c r="L19" s="191">
        <x:v>500</x:v>
      </x:c>
      <x:c r="M19" s="190">
        <x:f t="shared" si="2"/>
        <x:v>-81012.61</x:v>
      </x:c>
      <x:c r="N19" s="192" t="str">
        <x:f t="shared" si="0"/>
        <x:v>KRITISCH</x:v>
      </x:c>
      <x:c r="O19" s="1"/>
      <x:c r="P19" s="1"/>
      <x:c r="Q19" s="1"/>
      <x:c r="R19" s="1"/>
    </x:row>
    <x:row r="20">
      <x:c r="A20" s="189">
        <x:v>46753</x:v>
      </x:c>
      <x:c r="B20" s="190" t="n">
        <x:f t="shared" ref="B20:B51" si="3">M19</x:f>
        <x:v>-81012.61</x:v>
      </x:c>
      <x:c r="C20" s="190" t="n">
        <x:f>SUMIFS(Ausgangsrechnungen!$G$2:$G$301,Ausgangsrechnungen!$J$2:$J$301,"&gt;="&amp;A20,Ausgangsrechnungen!$J$2:$J$301,"&lt;"&amp;EDATE(A20,1))+SUMIFS(Ausgangsrechnungen!$H$2:$H$301,Ausgangsrechnungen!$E$2:$E$301,"&gt;="&amp;A20,Ausgangsrechnungen!$E$2:$E$301,"&lt;"&amp;EDATE(A20,1),Ausgangsrechnungen!$I$2:$I$301,"&lt;&gt;Bezahlt")</x:f>
        <x:v>0</x:v>
      </x:c>
      <x:c r="D20" s="191"/>
      <x:c r="E20" s="190" t="n">
        <x:f>SUMIFS(Eingangsrechnungen!$N$2:$N$301,Eingangsrechnungen!$J$2:$J$301,"&gt;="&amp;A20,Eingangsrechnungen!$J$2:$J$301,"&lt;"&amp;EDATE(A20,1))+SUMIFS(Eingangsrechnungen!$N$2:$N$301,Eingangsrechnungen!$E$2:$E$301,"&gt;="&amp;A20,Eingangsrechnungen!$E$2:$E$301,"&lt;"&amp;EDATE(A20,1),Eingangsrechnungen!$J$2:$J$301,"")</x:f>
        <x:v>0</x:v>
      </x:c>
      <x:c r="F20" s="190" t="n">
        <x:f>SUMIFS(Steuerkalender!$D$2:$D$100,Steuerkalender!$F$2:$F$100,"&gt;="&amp;A20,Steuerkalender!$F$2:$F$100,"&lt;"&amp;EDATE(A20,1))+SUMIFS(Steuerkalender!$D$2:$D$100,Steuerkalender!$B$2:$B$100,"&gt;="&amp;A20,Steuerkalender!$B$2:$B$100,"&lt;"&amp;EDATE(A20,1),Steuerkalender!$E$2:$E$100,"&lt;&gt;Bezahlt")+SUMIFS('USt-Monatsübersicht'!$F$2:$F$115,'USt-Monatsübersicht'!$H$2:$H$115,"&gt;="&amp;A20,'USt-Monatsübersicht'!$H$2:$H$115,"&lt;"&amp;EDATE(A20,1))+SUMIFS('USt-Monatsübersicht'!$F$2:$F$115,'USt-Monatsübersicht'!$B$2:$B$115,"&gt;="&amp;A20,'USt-Monatsübersicht'!$B$2:$B$115,"&lt;"&amp;EDATE(A20,1),'USt-Monatsübersicht'!$G$2:$G$115,"&lt;&gt;Bezahlt")</x:f>
        <x:v>0</x:v>
      </x:c>
      <x:c r="G20" s="191">
        <x:v>2000</x:v>
      </x:c>
      <x:c r="H20" s="191">
        <x:v>0</x:v>
      </x:c>
      <x:c r="I20" s="191">
        <x:v>480</x:v>
      </x:c>
      <x:c r="J20" s="191">
        <x:v>500</x:v>
      </x:c>
      <x:c r="K20" s="191">
        <x:v>0</x:v>
      </x:c>
      <x:c r="L20" s="191">
        <x:v>500</x:v>
      </x:c>
      <x:c r="M20" s="190" t="n">
        <x:f t="shared" ref="M20:M51" si="4">B20+C20+D20-E20-F20-G20-H20-I20-J20-K20-L20</x:f>
        <x:v>-84492.61</x:v>
      </x:c>
      <x:c r="N20" s="192" t="str">
        <x:f t="shared" si="0"/>
        <x:v>KRITISCH</x:v>
      </x:c>
      <x:c r="O20" s="1"/>
      <x:c r="P20" s="1"/>
      <x:c r="Q20" s="1"/>
      <x:c r="R20" s="1"/>
    </x:row>
    <x:row r="21">
      <x:c r="A21" s="189">
        <x:v>46784</x:v>
      </x:c>
      <x:c r="B21" s="190">
        <x:f t="shared" si="3"/>
        <x:v>-84492.61</x:v>
      </x:c>
      <x:c r="C21" s="190" t="n">
        <x:f>SUMIFS(Ausgangsrechnungen!$G$2:$G$301,Ausgangsrechnungen!$J$2:$J$301,"&gt;="&amp;A21,Ausgangsrechnungen!$J$2:$J$301,"&lt;"&amp;EDATE(A21,1))+SUMIFS(Ausgangsrechnungen!$H$2:$H$301,Ausgangsrechnungen!$E$2:$E$301,"&gt;="&amp;A21,Ausgangsrechnungen!$E$2:$E$301,"&lt;"&amp;EDATE(A21,1),Ausgangsrechnungen!$I$2:$I$301,"&lt;&gt;Bezahlt")</x:f>
        <x:v>0</x:v>
      </x:c>
      <x:c r="D21" s="191"/>
      <x:c r="E21" s="190" t="n">
        <x:f>SUMIFS(Eingangsrechnungen!$N$2:$N$301,Eingangsrechnungen!$J$2:$J$301,"&gt;="&amp;A21,Eingangsrechnungen!$J$2:$J$301,"&lt;"&amp;EDATE(A21,1))+SUMIFS(Eingangsrechnungen!$N$2:$N$301,Eingangsrechnungen!$E$2:$E$301,"&gt;="&amp;A21,Eingangsrechnungen!$E$2:$E$301,"&lt;"&amp;EDATE(A21,1),Eingangsrechnungen!$J$2:$J$301,"")</x:f>
        <x:v>0</x:v>
      </x:c>
      <x:c r="F21" s="190" t="n">
        <x:f>SUMIFS(Steuerkalender!$D$2:$D$100,Steuerkalender!$F$2:$F$100,"&gt;="&amp;A21,Steuerkalender!$F$2:$F$100,"&lt;"&amp;EDATE(A21,1))+SUMIFS(Steuerkalender!$D$2:$D$100,Steuerkalender!$B$2:$B$100,"&gt;="&amp;A21,Steuerkalender!$B$2:$B$100,"&lt;"&amp;EDATE(A21,1),Steuerkalender!$E$2:$E$100,"&lt;&gt;Bezahlt")+SUMIFS('USt-Monatsübersicht'!$F$2:$F$115,'USt-Monatsübersicht'!$H$2:$H$115,"&gt;="&amp;A21,'USt-Monatsübersicht'!$H$2:$H$115,"&lt;"&amp;EDATE(A21,1))+SUMIFS('USt-Monatsübersicht'!$F$2:$F$115,'USt-Monatsübersicht'!$B$2:$B$115,"&gt;="&amp;A21,'USt-Monatsübersicht'!$B$2:$B$115,"&lt;"&amp;EDATE(A21,1),'USt-Monatsübersicht'!$G$2:$G$115,"&lt;&gt;Bezahlt")</x:f>
        <x:v>0</x:v>
      </x:c>
      <x:c r="G21" s="191">
        <x:v>2000</x:v>
      </x:c>
      <x:c r="H21" s="191">
        <x:v>0</x:v>
      </x:c>
      <x:c r="I21" s="191">
        <x:v>480</x:v>
      </x:c>
      <x:c r="J21" s="191">
        <x:v>500</x:v>
      </x:c>
      <x:c r="K21" s="191">
        <x:v>0</x:v>
      </x:c>
      <x:c r="L21" s="191">
        <x:v>500</x:v>
      </x:c>
      <x:c r="M21" s="190">
        <x:f t="shared" si="4"/>
        <x:v>-87972.61</x:v>
      </x:c>
      <x:c r="N21" s="192" t="str">
        <x:f t="shared" si="0"/>
        <x:v>KRITISCH</x:v>
      </x:c>
      <x:c r="O21" s="1"/>
      <x:c r="P21" s="1"/>
      <x:c r="Q21" s="1"/>
      <x:c r="R21" s="1"/>
    </x:row>
    <x:row r="22">
      <x:c r="A22" s="189">
        <x:v>46813</x:v>
      </x:c>
      <x:c r="B22" s="190">
        <x:f t="shared" si="3"/>
        <x:v>-87972.61</x:v>
      </x:c>
      <x:c r="C22" s="190" t="n">
        <x:f>SUMIFS(Ausgangsrechnungen!$G$2:$G$301,Ausgangsrechnungen!$J$2:$J$301,"&gt;="&amp;A22,Ausgangsrechnungen!$J$2:$J$301,"&lt;"&amp;EDATE(A22,1))+SUMIFS(Ausgangsrechnungen!$H$2:$H$301,Ausgangsrechnungen!$E$2:$E$301,"&gt;="&amp;A22,Ausgangsrechnungen!$E$2:$E$301,"&lt;"&amp;EDATE(A22,1),Ausgangsrechnungen!$I$2:$I$301,"&lt;&gt;Bezahlt")</x:f>
        <x:v>0</x:v>
      </x:c>
      <x:c r="D22" s="191"/>
      <x:c r="E22" s="190" t="n">
        <x:f>SUMIFS(Eingangsrechnungen!$N$2:$N$301,Eingangsrechnungen!$J$2:$J$301,"&gt;="&amp;A22,Eingangsrechnungen!$J$2:$J$301,"&lt;"&amp;EDATE(A22,1))+SUMIFS(Eingangsrechnungen!$N$2:$N$301,Eingangsrechnungen!$E$2:$E$301,"&gt;="&amp;A22,Eingangsrechnungen!$E$2:$E$301,"&lt;"&amp;EDATE(A22,1),Eingangsrechnungen!$J$2:$J$301,"")</x:f>
        <x:v>0</x:v>
      </x:c>
      <x:c r="F22" s="190" t="n">
        <x:f>SUMIFS(Steuerkalender!$D$2:$D$100,Steuerkalender!$F$2:$F$100,"&gt;="&amp;A22,Steuerkalender!$F$2:$F$100,"&lt;"&amp;EDATE(A22,1))+SUMIFS(Steuerkalender!$D$2:$D$100,Steuerkalender!$B$2:$B$100,"&gt;="&amp;A22,Steuerkalender!$B$2:$B$100,"&lt;"&amp;EDATE(A22,1),Steuerkalender!$E$2:$E$100,"&lt;&gt;Bezahlt")+SUMIFS('USt-Monatsübersicht'!$F$2:$F$115,'USt-Monatsübersicht'!$H$2:$H$115,"&gt;="&amp;A22,'USt-Monatsübersicht'!$H$2:$H$115,"&lt;"&amp;EDATE(A22,1))+SUMIFS('USt-Monatsübersicht'!$F$2:$F$115,'USt-Monatsübersicht'!$B$2:$B$115,"&gt;="&amp;A22,'USt-Monatsübersicht'!$B$2:$B$115,"&lt;"&amp;EDATE(A22,1),'USt-Monatsübersicht'!$G$2:$G$115,"&lt;&gt;Bezahlt")</x:f>
        <x:v>0</x:v>
      </x:c>
      <x:c r="G22" s="191">
        <x:v>2000</x:v>
      </x:c>
      <x:c r="H22" s="191">
        <x:v>0</x:v>
      </x:c>
      <x:c r="I22" s="191">
        <x:v>480</x:v>
      </x:c>
      <x:c r="J22" s="191">
        <x:v>500</x:v>
      </x:c>
      <x:c r="K22" s="191">
        <x:v>0</x:v>
      </x:c>
      <x:c r="L22" s="191">
        <x:v>500</x:v>
      </x:c>
      <x:c r="M22" s="190">
        <x:f t="shared" si="4"/>
        <x:v>-91452.61</x:v>
      </x:c>
      <x:c r="N22" s="192" t="str">
        <x:f t="shared" si="0"/>
        <x:v>KRITISCH</x:v>
      </x:c>
      <x:c r="O22" s="1"/>
      <x:c r="P22" s="1"/>
      <x:c r="Q22" s="1"/>
      <x:c r="R22" s="1"/>
    </x:row>
    <x:row r="23">
      <x:c r="A23" s="189">
        <x:v>46844</x:v>
      </x:c>
      <x:c r="B23" s="190">
        <x:f t="shared" si="3"/>
        <x:v>-91452.61</x:v>
      </x:c>
      <x:c r="C23" s="190" t="n">
        <x:f>SUMIFS(Ausgangsrechnungen!$G$2:$G$301,Ausgangsrechnungen!$J$2:$J$301,"&gt;="&amp;A23,Ausgangsrechnungen!$J$2:$J$301,"&lt;"&amp;EDATE(A23,1))+SUMIFS(Ausgangsrechnungen!$H$2:$H$301,Ausgangsrechnungen!$E$2:$E$301,"&gt;="&amp;A23,Ausgangsrechnungen!$E$2:$E$301,"&lt;"&amp;EDATE(A23,1),Ausgangsrechnungen!$I$2:$I$301,"&lt;&gt;Bezahlt")</x:f>
        <x:v>0</x:v>
      </x:c>
      <x:c r="D23" s="191"/>
      <x:c r="E23" s="190" t="n">
        <x:f>SUMIFS(Eingangsrechnungen!$N$2:$N$301,Eingangsrechnungen!$J$2:$J$301,"&gt;="&amp;A23,Eingangsrechnungen!$J$2:$J$301,"&lt;"&amp;EDATE(A23,1))+SUMIFS(Eingangsrechnungen!$N$2:$N$301,Eingangsrechnungen!$E$2:$E$301,"&gt;="&amp;A23,Eingangsrechnungen!$E$2:$E$301,"&lt;"&amp;EDATE(A23,1),Eingangsrechnungen!$J$2:$J$301,"")</x:f>
        <x:v>0</x:v>
      </x:c>
      <x:c r="F23" s="190" t="n">
        <x:f>SUMIFS(Steuerkalender!$D$2:$D$100,Steuerkalender!$F$2:$F$100,"&gt;="&amp;A23,Steuerkalender!$F$2:$F$100,"&lt;"&amp;EDATE(A23,1))+SUMIFS(Steuerkalender!$D$2:$D$100,Steuerkalender!$B$2:$B$100,"&gt;="&amp;A23,Steuerkalender!$B$2:$B$100,"&lt;"&amp;EDATE(A23,1),Steuerkalender!$E$2:$E$100,"&lt;&gt;Bezahlt")+SUMIFS('USt-Monatsübersicht'!$F$2:$F$115,'USt-Monatsübersicht'!$H$2:$H$115,"&gt;="&amp;A23,'USt-Monatsübersicht'!$H$2:$H$115,"&lt;"&amp;EDATE(A23,1))+SUMIFS('USt-Monatsübersicht'!$F$2:$F$115,'USt-Monatsübersicht'!$B$2:$B$115,"&gt;="&amp;A23,'USt-Monatsübersicht'!$B$2:$B$115,"&lt;"&amp;EDATE(A23,1),'USt-Monatsübersicht'!$G$2:$G$115,"&lt;&gt;Bezahlt")</x:f>
        <x:v>0</x:v>
      </x:c>
      <x:c r="G23" s="191">
        <x:v>2000</x:v>
      </x:c>
      <x:c r="H23" s="191">
        <x:v>0</x:v>
      </x:c>
      <x:c r="I23" s="191">
        <x:v>480</x:v>
      </x:c>
      <x:c r="J23" s="191">
        <x:v>500</x:v>
      </x:c>
      <x:c r="K23" s="191">
        <x:v>0</x:v>
      </x:c>
      <x:c r="L23" s="191">
        <x:v>500</x:v>
      </x:c>
      <x:c r="M23" s="190">
        <x:f t="shared" si="4"/>
        <x:v>-94932.61</x:v>
      </x:c>
      <x:c r="N23" s="192" t="str">
        <x:f t="shared" si="0"/>
        <x:v>KRITISCH</x:v>
      </x:c>
      <x:c r="O23" s="1"/>
      <x:c r="P23" s="1"/>
      <x:c r="Q23" s="1"/>
      <x:c r="R23" s="1"/>
    </x:row>
    <x:row r="24">
      <x:c r="A24" s="189">
        <x:v>46874</x:v>
      </x:c>
      <x:c r="B24" s="190">
        <x:f t="shared" si="3"/>
        <x:v>-94932.61</x:v>
      </x:c>
      <x:c r="C24" s="190" t="n">
        <x:f>SUMIFS(Ausgangsrechnungen!$G$2:$G$301,Ausgangsrechnungen!$J$2:$J$301,"&gt;="&amp;A24,Ausgangsrechnungen!$J$2:$J$301,"&lt;"&amp;EDATE(A24,1))+SUMIFS(Ausgangsrechnungen!$H$2:$H$301,Ausgangsrechnungen!$E$2:$E$301,"&gt;="&amp;A24,Ausgangsrechnungen!$E$2:$E$301,"&lt;"&amp;EDATE(A24,1),Ausgangsrechnungen!$I$2:$I$301,"&lt;&gt;Bezahlt")</x:f>
        <x:v>0</x:v>
      </x:c>
      <x:c r="D24" s="191"/>
      <x:c r="E24" s="190" t="n">
        <x:f>SUMIFS(Eingangsrechnungen!$N$2:$N$301,Eingangsrechnungen!$J$2:$J$301,"&gt;="&amp;A24,Eingangsrechnungen!$J$2:$J$301,"&lt;"&amp;EDATE(A24,1))+SUMIFS(Eingangsrechnungen!$N$2:$N$301,Eingangsrechnungen!$E$2:$E$301,"&gt;="&amp;A24,Eingangsrechnungen!$E$2:$E$301,"&lt;"&amp;EDATE(A24,1),Eingangsrechnungen!$J$2:$J$301,"")</x:f>
        <x:v>0</x:v>
      </x:c>
      <x:c r="F24" s="190" t="n">
        <x:f>SUMIFS(Steuerkalender!$D$2:$D$100,Steuerkalender!$F$2:$F$100,"&gt;="&amp;A24,Steuerkalender!$F$2:$F$100,"&lt;"&amp;EDATE(A24,1))+SUMIFS(Steuerkalender!$D$2:$D$100,Steuerkalender!$B$2:$B$100,"&gt;="&amp;A24,Steuerkalender!$B$2:$B$100,"&lt;"&amp;EDATE(A24,1),Steuerkalender!$E$2:$E$100,"&lt;&gt;Bezahlt")+SUMIFS('USt-Monatsübersicht'!$F$2:$F$115,'USt-Monatsübersicht'!$H$2:$H$115,"&gt;="&amp;A24,'USt-Monatsübersicht'!$H$2:$H$115,"&lt;"&amp;EDATE(A24,1))+SUMIFS('USt-Monatsübersicht'!$F$2:$F$115,'USt-Monatsübersicht'!$B$2:$B$115,"&gt;="&amp;A24,'USt-Monatsübersicht'!$B$2:$B$115,"&lt;"&amp;EDATE(A24,1),'USt-Monatsübersicht'!$G$2:$G$115,"&lt;&gt;Bezahlt")</x:f>
        <x:v>0</x:v>
      </x:c>
      <x:c r="G24" s="191">
        <x:v>2000</x:v>
      </x:c>
      <x:c r="H24" s="191">
        <x:v>0</x:v>
      </x:c>
      <x:c r="I24" s="191">
        <x:v>480</x:v>
      </x:c>
      <x:c r="J24" s="191">
        <x:v>500</x:v>
      </x:c>
      <x:c r="K24" s="191">
        <x:v>0</x:v>
      </x:c>
      <x:c r="L24" s="191">
        <x:v>500</x:v>
      </x:c>
      <x:c r="M24" s="190">
        <x:f t="shared" si="4"/>
        <x:v>-98412.61</x:v>
      </x:c>
      <x:c r="N24" s="192" t="str">
        <x:f t="shared" si="0"/>
        <x:v>KRITISCH</x:v>
      </x:c>
      <x:c r="O24" s="1"/>
      <x:c r="P24" s="1"/>
      <x:c r="Q24" s="1"/>
      <x:c r="R24" s="1"/>
    </x:row>
    <x:row r="25">
      <x:c r="A25" s="189">
        <x:v>46905</x:v>
      </x:c>
      <x:c r="B25" s="190">
        <x:f t="shared" si="3"/>
        <x:v>-98412.61</x:v>
      </x:c>
      <x:c r="C25" s="190" t="n">
        <x:f>SUMIFS(Ausgangsrechnungen!$G$2:$G$301,Ausgangsrechnungen!$J$2:$J$301,"&gt;="&amp;A25,Ausgangsrechnungen!$J$2:$J$301,"&lt;"&amp;EDATE(A25,1))+SUMIFS(Ausgangsrechnungen!$H$2:$H$301,Ausgangsrechnungen!$E$2:$E$301,"&gt;="&amp;A25,Ausgangsrechnungen!$E$2:$E$301,"&lt;"&amp;EDATE(A25,1),Ausgangsrechnungen!$I$2:$I$301,"&lt;&gt;Bezahlt")</x:f>
        <x:v>0</x:v>
      </x:c>
      <x:c r="D25" s="191"/>
      <x:c r="E25" s="190" t="n">
        <x:f>SUMIFS(Eingangsrechnungen!$N$2:$N$301,Eingangsrechnungen!$J$2:$J$301,"&gt;="&amp;A25,Eingangsrechnungen!$J$2:$J$301,"&lt;"&amp;EDATE(A25,1))+SUMIFS(Eingangsrechnungen!$N$2:$N$301,Eingangsrechnungen!$E$2:$E$301,"&gt;="&amp;A25,Eingangsrechnungen!$E$2:$E$301,"&lt;"&amp;EDATE(A25,1),Eingangsrechnungen!$J$2:$J$301,"")</x:f>
        <x:v>0</x:v>
      </x:c>
      <x:c r="F25" s="190" t="n">
        <x:f>SUMIFS(Steuerkalender!$D$2:$D$100,Steuerkalender!$F$2:$F$100,"&gt;="&amp;A25,Steuerkalender!$F$2:$F$100,"&lt;"&amp;EDATE(A25,1))+SUMIFS(Steuerkalender!$D$2:$D$100,Steuerkalender!$B$2:$B$100,"&gt;="&amp;A25,Steuerkalender!$B$2:$B$100,"&lt;"&amp;EDATE(A25,1),Steuerkalender!$E$2:$E$100,"&lt;&gt;Bezahlt")+SUMIFS('USt-Monatsübersicht'!$F$2:$F$115,'USt-Monatsübersicht'!$H$2:$H$115,"&gt;="&amp;A25,'USt-Monatsübersicht'!$H$2:$H$115,"&lt;"&amp;EDATE(A25,1))+SUMIFS('USt-Monatsübersicht'!$F$2:$F$115,'USt-Monatsübersicht'!$B$2:$B$115,"&gt;="&amp;A25,'USt-Monatsübersicht'!$B$2:$B$115,"&lt;"&amp;EDATE(A25,1),'USt-Monatsübersicht'!$G$2:$G$115,"&lt;&gt;Bezahlt")</x:f>
        <x:v>0</x:v>
      </x:c>
      <x:c r="G25" s="191">
        <x:v>2000</x:v>
      </x:c>
      <x:c r="H25" s="191">
        <x:v>0</x:v>
      </x:c>
      <x:c r="I25" s="191">
        <x:v>480</x:v>
      </x:c>
      <x:c r="J25" s="191">
        <x:v>500</x:v>
      </x:c>
      <x:c r="K25" s="191">
        <x:v>0</x:v>
      </x:c>
      <x:c r="L25" s="191">
        <x:v>500</x:v>
      </x:c>
      <x:c r="M25" s="190">
        <x:f t="shared" si="4"/>
        <x:v>-101892.61</x:v>
      </x:c>
      <x:c r="N25" s="192" t="str">
        <x:f t="shared" si="0"/>
        <x:v>KRITISCH</x:v>
      </x:c>
      <x:c r="O25" s="1"/>
      <x:c r="P25" s="1"/>
      <x:c r="Q25" s="1"/>
      <x:c r="R25" s="1"/>
    </x:row>
    <x:row r="26">
      <x:c r="A26" s="189">
        <x:v>46935</x:v>
      </x:c>
      <x:c r="B26" s="190">
        <x:f t="shared" si="3"/>
        <x:v>-101892.61</x:v>
      </x:c>
      <x:c r="C26" s="190" t="n">
        <x:f>SUMIFS(Ausgangsrechnungen!$G$2:$G$301,Ausgangsrechnungen!$J$2:$J$301,"&gt;="&amp;A26,Ausgangsrechnungen!$J$2:$J$301,"&lt;"&amp;EDATE(A26,1))+SUMIFS(Ausgangsrechnungen!$H$2:$H$301,Ausgangsrechnungen!$E$2:$E$301,"&gt;="&amp;A26,Ausgangsrechnungen!$E$2:$E$301,"&lt;"&amp;EDATE(A26,1),Ausgangsrechnungen!$I$2:$I$301,"&lt;&gt;Bezahlt")</x:f>
        <x:v>0</x:v>
      </x:c>
      <x:c r="D26" s="191"/>
      <x:c r="E26" s="190" t="n">
        <x:f>SUMIFS(Eingangsrechnungen!$N$2:$N$301,Eingangsrechnungen!$J$2:$J$301,"&gt;="&amp;A26,Eingangsrechnungen!$J$2:$J$301,"&lt;"&amp;EDATE(A26,1))+SUMIFS(Eingangsrechnungen!$N$2:$N$301,Eingangsrechnungen!$E$2:$E$301,"&gt;="&amp;A26,Eingangsrechnungen!$E$2:$E$301,"&lt;"&amp;EDATE(A26,1),Eingangsrechnungen!$J$2:$J$301,"")</x:f>
        <x:v>0</x:v>
      </x:c>
      <x:c r="F26" s="190" t="n">
        <x:f>SUMIFS(Steuerkalender!$D$2:$D$100,Steuerkalender!$F$2:$F$100,"&gt;="&amp;A26,Steuerkalender!$F$2:$F$100,"&lt;"&amp;EDATE(A26,1))+SUMIFS(Steuerkalender!$D$2:$D$100,Steuerkalender!$B$2:$B$100,"&gt;="&amp;A26,Steuerkalender!$B$2:$B$100,"&lt;"&amp;EDATE(A26,1),Steuerkalender!$E$2:$E$100,"&lt;&gt;Bezahlt")+SUMIFS('USt-Monatsübersicht'!$F$2:$F$115,'USt-Monatsübersicht'!$H$2:$H$115,"&gt;="&amp;A26,'USt-Monatsübersicht'!$H$2:$H$115,"&lt;"&amp;EDATE(A26,1))+SUMIFS('USt-Monatsübersicht'!$F$2:$F$115,'USt-Monatsübersicht'!$B$2:$B$115,"&gt;="&amp;A26,'USt-Monatsübersicht'!$B$2:$B$115,"&lt;"&amp;EDATE(A26,1),'USt-Monatsübersicht'!$G$2:$G$115,"&lt;&gt;Bezahlt")</x:f>
        <x:v>0</x:v>
      </x:c>
      <x:c r="G26" s="191">
        <x:v>2000</x:v>
      </x:c>
      <x:c r="H26" s="191">
        <x:v>0</x:v>
      </x:c>
      <x:c r="I26" s="191">
        <x:v>480</x:v>
      </x:c>
      <x:c r="J26" s="191">
        <x:v>500</x:v>
      </x:c>
      <x:c r="K26" s="191">
        <x:v>0</x:v>
      </x:c>
      <x:c r="L26" s="191">
        <x:v>500</x:v>
      </x:c>
      <x:c r="M26" s="190">
        <x:f t="shared" si="4"/>
        <x:v>-105372.61</x:v>
      </x:c>
      <x:c r="N26" s="192" t="str">
        <x:f t="shared" si="0"/>
        <x:v>KRITISCH</x:v>
      </x:c>
      <x:c r="O26" s="1"/>
      <x:c r="P26" s="1"/>
      <x:c r="Q26" s="1"/>
      <x:c r="R26" s="1"/>
    </x:row>
    <x:row r="27">
      <x:c r="A27" s="189">
        <x:v>46966</x:v>
      </x:c>
      <x:c r="B27" s="190">
        <x:f t="shared" si="3"/>
        <x:v>-105372.61</x:v>
      </x:c>
      <x:c r="C27" s="190" t="n">
        <x:f>SUMIFS(Ausgangsrechnungen!$G$2:$G$301,Ausgangsrechnungen!$J$2:$J$301,"&gt;="&amp;A27,Ausgangsrechnungen!$J$2:$J$301,"&lt;"&amp;EDATE(A27,1))+SUMIFS(Ausgangsrechnungen!$H$2:$H$301,Ausgangsrechnungen!$E$2:$E$301,"&gt;="&amp;A27,Ausgangsrechnungen!$E$2:$E$301,"&lt;"&amp;EDATE(A27,1),Ausgangsrechnungen!$I$2:$I$301,"&lt;&gt;Bezahlt")</x:f>
        <x:v>0</x:v>
      </x:c>
      <x:c r="D27" s="191"/>
      <x:c r="E27" s="190" t="n">
        <x:f>SUMIFS(Eingangsrechnungen!$N$2:$N$301,Eingangsrechnungen!$J$2:$J$301,"&gt;="&amp;A27,Eingangsrechnungen!$J$2:$J$301,"&lt;"&amp;EDATE(A27,1))+SUMIFS(Eingangsrechnungen!$N$2:$N$301,Eingangsrechnungen!$E$2:$E$301,"&gt;="&amp;A27,Eingangsrechnungen!$E$2:$E$301,"&lt;"&amp;EDATE(A27,1),Eingangsrechnungen!$J$2:$J$301,"")</x:f>
        <x:v>0</x:v>
      </x:c>
      <x:c r="F27" s="190" t="n">
        <x:f>SUMIFS(Steuerkalender!$D$2:$D$100,Steuerkalender!$F$2:$F$100,"&gt;="&amp;A27,Steuerkalender!$F$2:$F$100,"&lt;"&amp;EDATE(A27,1))+SUMIFS(Steuerkalender!$D$2:$D$100,Steuerkalender!$B$2:$B$100,"&gt;="&amp;A27,Steuerkalender!$B$2:$B$100,"&lt;"&amp;EDATE(A27,1),Steuerkalender!$E$2:$E$100,"&lt;&gt;Bezahlt")+SUMIFS('USt-Monatsübersicht'!$F$2:$F$115,'USt-Monatsübersicht'!$H$2:$H$115,"&gt;="&amp;A27,'USt-Monatsübersicht'!$H$2:$H$115,"&lt;"&amp;EDATE(A27,1))+SUMIFS('USt-Monatsübersicht'!$F$2:$F$115,'USt-Monatsübersicht'!$B$2:$B$115,"&gt;="&amp;A27,'USt-Monatsübersicht'!$B$2:$B$115,"&lt;"&amp;EDATE(A27,1),'USt-Monatsübersicht'!$G$2:$G$115,"&lt;&gt;Bezahlt")</x:f>
        <x:v>0</x:v>
      </x:c>
      <x:c r="G27" s="191">
        <x:v>2000</x:v>
      </x:c>
      <x:c r="H27" s="191">
        <x:v>0</x:v>
      </x:c>
      <x:c r="I27" s="191">
        <x:v>480</x:v>
      </x:c>
      <x:c r="J27" s="191">
        <x:v>500</x:v>
      </x:c>
      <x:c r="K27" s="191">
        <x:v>0</x:v>
      </x:c>
      <x:c r="L27" s="191">
        <x:v>500</x:v>
      </x:c>
      <x:c r="M27" s="190">
        <x:f t="shared" si="4"/>
        <x:v>-108852.61</x:v>
      </x:c>
      <x:c r="N27" s="192" t="str">
        <x:f t="shared" si="0"/>
        <x:v>KRITISCH</x:v>
      </x:c>
      <x:c r="O27" s="1"/>
      <x:c r="P27" s="1"/>
      <x:c r="Q27" s="1"/>
      <x:c r="R27" s="1"/>
    </x:row>
    <x:row r="28">
      <x:c r="A28" s="189">
        <x:v>46997</x:v>
      </x:c>
      <x:c r="B28" s="190">
        <x:f t="shared" si="3"/>
        <x:v>-108852.61</x:v>
      </x:c>
      <x:c r="C28" s="190" t="n">
        <x:f>SUMIFS(Ausgangsrechnungen!$G$2:$G$301,Ausgangsrechnungen!$J$2:$J$301,"&gt;="&amp;A28,Ausgangsrechnungen!$J$2:$J$301,"&lt;"&amp;EDATE(A28,1))+SUMIFS(Ausgangsrechnungen!$H$2:$H$301,Ausgangsrechnungen!$E$2:$E$301,"&gt;="&amp;A28,Ausgangsrechnungen!$E$2:$E$301,"&lt;"&amp;EDATE(A28,1),Ausgangsrechnungen!$I$2:$I$301,"&lt;&gt;Bezahlt")</x:f>
        <x:v>0</x:v>
      </x:c>
      <x:c r="D28" s="191"/>
      <x:c r="E28" s="190" t="n">
        <x:f>SUMIFS(Eingangsrechnungen!$N$2:$N$301,Eingangsrechnungen!$J$2:$J$301,"&gt;="&amp;A28,Eingangsrechnungen!$J$2:$J$301,"&lt;"&amp;EDATE(A28,1))+SUMIFS(Eingangsrechnungen!$N$2:$N$301,Eingangsrechnungen!$E$2:$E$301,"&gt;="&amp;A28,Eingangsrechnungen!$E$2:$E$301,"&lt;"&amp;EDATE(A28,1),Eingangsrechnungen!$J$2:$J$301,"")</x:f>
        <x:v>0</x:v>
      </x:c>
      <x:c r="F28" s="190" t="n">
        <x:f>SUMIFS(Steuerkalender!$D$2:$D$100,Steuerkalender!$F$2:$F$100,"&gt;="&amp;A28,Steuerkalender!$F$2:$F$100,"&lt;"&amp;EDATE(A28,1))+SUMIFS(Steuerkalender!$D$2:$D$100,Steuerkalender!$B$2:$B$100,"&gt;="&amp;A28,Steuerkalender!$B$2:$B$100,"&lt;"&amp;EDATE(A28,1),Steuerkalender!$E$2:$E$100,"&lt;&gt;Bezahlt")+SUMIFS('USt-Monatsübersicht'!$F$2:$F$115,'USt-Monatsübersicht'!$H$2:$H$115,"&gt;="&amp;A28,'USt-Monatsübersicht'!$H$2:$H$115,"&lt;"&amp;EDATE(A28,1))+SUMIFS('USt-Monatsübersicht'!$F$2:$F$115,'USt-Monatsübersicht'!$B$2:$B$115,"&gt;="&amp;A28,'USt-Monatsübersicht'!$B$2:$B$115,"&lt;"&amp;EDATE(A28,1),'USt-Monatsübersicht'!$G$2:$G$115,"&lt;&gt;Bezahlt")</x:f>
        <x:v>0</x:v>
      </x:c>
      <x:c r="G28" s="191">
        <x:v>2000</x:v>
      </x:c>
      <x:c r="H28" s="191">
        <x:v>0</x:v>
      </x:c>
      <x:c r="I28" s="191">
        <x:v>480</x:v>
      </x:c>
      <x:c r="J28" s="191">
        <x:v>500</x:v>
      </x:c>
      <x:c r="K28" s="191">
        <x:v>0</x:v>
      </x:c>
      <x:c r="L28" s="191">
        <x:v>500</x:v>
      </x:c>
      <x:c r="M28" s="190">
        <x:f t="shared" si="4"/>
        <x:v>-112332.61</x:v>
      </x:c>
      <x:c r="N28" s="192" t="str">
        <x:f t="shared" si="0"/>
        <x:v>KRITISCH</x:v>
      </x:c>
      <x:c r="O28" s="1"/>
      <x:c r="P28" s="1"/>
      <x:c r="Q28" s="1"/>
      <x:c r="R28" s="1"/>
    </x:row>
    <x:row r="29">
      <x:c r="A29" s="189">
        <x:v>47027</x:v>
      </x:c>
      <x:c r="B29" s="190">
        <x:f t="shared" si="3"/>
        <x:v>-112332.61</x:v>
      </x:c>
      <x:c r="C29" s="190" t="n">
        <x:f>SUMIFS(Ausgangsrechnungen!$G$2:$G$301,Ausgangsrechnungen!$J$2:$J$301,"&gt;="&amp;A29,Ausgangsrechnungen!$J$2:$J$301,"&lt;"&amp;EDATE(A29,1))+SUMIFS(Ausgangsrechnungen!$H$2:$H$301,Ausgangsrechnungen!$E$2:$E$301,"&gt;="&amp;A29,Ausgangsrechnungen!$E$2:$E$301,"&lt;"&amp;EDATE(A29,1),Ausgangsrechnungen!$I$2:$I$301,"&lt;&gt;Bezahlt")</x:f>
        <x:v>0</x:v>
      </x:c>
      <x:c r="D29" s="191"/>
      <x:c r="E29" s="190" t="n">
        <x:f>SUMIFS(Eingangsrechnungen!$N$2:$N$301,Eingangsrechnungen!$J$2:$J$301,"&gt;="&amp;A29,Eingangsrechnungen!$J$2:$J$301,"&lt;"&amp;EDATE(A29,1))+SUMIFS(Eingangsrechnungen!$N$2:$N$301,Eingangsrechnungen!$E$2:$E$301,"&gt;="&amp;A29,Eingangsrechnungen!$E$2:$E$301,"&lt;"&amp;EDATE(A29,1),Eingangsrechnungen!$J$2:$J$301,"")</x:f>
        <x:v>0</x:v>
      </x:c>
      <x:c r="F29" s="190" t="n">
        <x:f>SUMIFS(Steuerkalender!$D$2:$D$100,Steuerkalender!$F$2:$F$100,"&gt;="&amp;A29,Steuerkalender!$F$2:$F$100,"&lt;"&amp;EDATE(A29,1))+SUMIFS(Steuerkalender!$D$2:$D$100,Steuerkalender!$B$2:$B$100,"&gt;="&amp;A29,Steuerkalender!$B$2:$B$100,"&lt;"&amp;EDATE(A29,1),Steuerkalender!$E$2:$E$100,"&lt;&gt;Bezahlt")+SUMIFS('USt-Monatsübersicht'!$F$2:$F$115,'USt-Monatsübersicht'!$H$2:$H$115,"&gt;="&amp;A29,'USt-Monatsübersicht'!$H$2:$H$115,"&lt;"&amp;EDATE(A29,1))+SUMIFS('USt-Monatsübersicht'!$F$2:$F$115,'USt-Monatsübersicht'!$B$2:$B$115,"&gt;="&amp;A29,'USt-Monatsübersicht'!$B$2:$B$115,"&lt;"&amp;EDATE(A29,1),'USt-Monatsübersicht'!$G$2:$G$115,"&lt;&gt;Bezahlt")</x:f>
        <x:v>0</x:v>
      </x:c>
      <x:c r="G29" s="191">
        <x:v>2000</x:v>
      </x:c>
      <x:c r="H29" s="191">
        <x:v>0</x:v>
      </x:c>
      <x:c r="I29" s="191">
        <x:v>480</x:v>
      </x:c>
      <x:c r="J29" s="191">
        <x:v>500</x:v>
      </x:c>
      <x:c r="K29" s="191">
        <x:v>0</x:v>
      </x:c>
      <x:c r="L29" s="191">
        <x:v>500</x:v>
      </x:c>
      <x:c r="M29" s="190">
        <x:f t="shared" si="4"/>
        <x:v>-115812.61</x:v>
      </x:c>
      <x:c r="N29" s="192" t="str">
        <x:f t="shared" si="0"/>
        <x:v>KRITISCH</x:v>
      </x:c>
      <x:c r="O29" s="1"/>
      <x:c r="P29" s="1"/>
      <x:c r="Q29" s="1"/>
      <x:c r="R29" s="1"/>
    </x:row>
    <x:row r="30">
      <x:c r="A30" s="189">
        <x:v>47058</x:v>
      </x:c>
      <x:c r="B30" s="190">
        <x:f t="shared" si="3"/>
        <x:v>-115812.61</x:v>
      </x:c>
      <x:c r="C30" s="190" t="n">
        <x:f>SUMIFS(Ausgangsrechnungen!$G$2:$G$301,Ausgangsrechnungen!$J$2:$J$301,"&gt;="&amp;A30,Ausgangsrechnungen!$J$2:$J$301,"&lt;"&amp;EDATE(A30,1))+SUMIFS(Ausgangsrechnungen!$H$2:$H$301,Ausgangsrechnungen!$E$2:$E$301,"&gt;="&amp;A30,Ausgangsrechnungen!$E$2:$E$301,"&lt;"&amp;EDATE(A30,1),Ausgangsrechnungen!$I$2:$I$301,"&lt;&gt;Bezahlt")</x:f>
        <x:v>0</x:v>
      </x:c>
      <x:c r="D30" s="191"/>
      <x:c r="E30" s="190" t="n">
        <x:f>SUMIFS(Eingangsrechnungen!$N$2:$N$301,Eingangsrechnungen!$J$2:$J$301,"&gt;="&amp;A30,Eingangsrechnungen!$J$2:$J$301,"&lt;"&amp;EDATE(A30,1))+SUMIFS(Eingangsrechnungen!$N$2:$N$301,Eingangsrechnungen!$E$2:$E$301,"&gt;="&amp;A30,Eingangsrechnungen!$E$2:$E$301,"&lt;"&amp;EDATE(A30,1),Eingangsrechnungen!$J$2:$J$301,"")</x:f>
        <x:v>0</x:v>
      </x:c>
      <x:c r="F30" s="190" t="n">
        <x:f>SUMIFS(Steuerkalender!$D$2:$D$100,Steuerkalender!$F$2:$F$100,"&gt;="&amp;A30,Steuerkalender!$F$2:$F$100,"&lt;"&amp;EDATE(A30,1))+SUMIFS(Steuerkalender!$D$2:$D$100,Steuerkalender!$B$2:$B$100,"&gt;="&amp;A30,Steuerkalender!$B$2:$B$100,"&lt;"&amp;EDATE(A30,1),Steuerkalender!$E$2:$E$100,"&lt;&gt;Bezahlt")+SUMIFS('USt-Monatsübersicht'!$F$2:$F$115,'USt-Monatsübersicht'!$H$2:$H$115,"&gt;="&amp;A30,'USt-Monatsübersicht'!$H$2:$H$115,"&lt;"&amp;EDATE(A30,1))+SUMIFS('USt-Monatsübersicht'!$F$2:$F$115,'USt-Monatsübersicht'!$B$2:$B$115,"&gt;="&amp;A30,'USt-Monatsübersicht'!$B$2:$B$115,"&lt;"&amp;EDATE(A30,1),'USt-Monatsübersicht'!$G$2:$G$115,"&lt;&gt;Bezahlt")</x:f>
        <x:v>0</x:v>
      </x:c>
      <x:c r="G30" s="191">
        <x:v>2000</x:v>
      </x:c>
      <x:c r="H30" s="191">
        <x:v>0</x:v>
      </x:c>
      <x:c r="I30" s="191">
        <x:v>480</x:v>
      </x:c>
      <x:c r="J30" s="191">
        <x:v>500</x:v>
      </x:c>
      <x:c r="K30" s="191">
        <x:v>0</x:v>
      </x:c>
      <x:c r="L30" s="191">
        <x:v>500</x:v>
      </x:c>
      <x:c r="M30" s="190">
        <x:f t="shared" si="4"/>
        <x:v>-119292.61</x:v>
      </x:c>
      <x:c r="N30" s="192" t="str">
        <x:f t="shared" si="0"/>
        <x:v>KRITISCH</x:v>
      </x:c>
      <x:c r="O30" s="1"/>
      <x:c r="P30" s="1"/>
      <x:c r="Q30" s="1"/>
      <x:c r="R30" s="1"/>
    </x:row>
    <x:row r="31">
      <x:c r="A31" s="189">
        <x:v>47088</x:v>
      </x:c>
      <x:c r="B31" s="190">
        <x:f t="shared" si="3"/>
        <x:v>-119292.61</x:v>
      </x:c>
      <x:c r="C31" s="190" t="n">
        <x:f>SUMIFS(Ausgangsrechnungen!$G$2:$G$301,Ausgangsrechnungen!$J$2:$J$301,"&gt;="&amp;A31,Ausgangsrechnungen!$J$2:$J$301,"&lt;"&amp;EDATE(A31,1))+SUMIFS(Ausgangsrechnungen!$H$2:$H$301,Ausgangsrechnungen!$E$2:$E$301,"&gt;="&amp;A31,Ausgangsrechnungen!$E$2:$E$301,"&lt;"&amp;EDATE(A31,1),Ausgangsrechnungen!$I$2:$I$301,"&lt;&gt;Bezahlt")</x:f>
        <x:v>0</x:v>
      </x:c>
      <x:c r="D31" s="191"/>
      <x:c r="E31" s="190" t="n">
        <x:f>SUMIFS(Eingangsrechnungen!$N$2:$N$301,Eingangsrechnungen!$J$2:$J$301,"&gt;="&amp;A31,Eingangsrechnungen!$J$2:$J$301,"&lt;"&amp;EDATE(A31,1))+SUMIFS(Eingangsrechnungen!$N$2:$N$301,Eingangsrechnungen!$E$2:$E$301,"&gt;="&amp;A31,Eingangsrechnungen!$E$2:$E$301,"&lt;"&amp;EDATE(A31,1),Eingangsrechnungen!$J$2:$J$301,"")</x:f>
        <x:v>0</x:v>
      </x:c>
      <x:c r="F31" s="190" t="n">
        <x:f>SUMIFS(Steuerkalender!$D$2:$D$100,Steuerkalender!$F$2:$F$100,"&gt;="&amp;A31,Steuerkalender!$F$2:$F$100,"&lt;"&amp;EDATE(A31,1))+SUMIFS(Steuerkalender!$D$2:$D$100,Steuerkalender!$B$2:$B$100,"&gt;="&amp;A31,Steuerkalender!$B$2:$B$100,"&lt;"&amp;EDATE(A31,1),Steuerkalender!$E$2:$E$100,"&lt;&gt;Bezahlt")+SUMIFS('USt-Monatsübersicht'!$F$2:$F$115,'USt-Monatsübersicht'!$H$2:$H$115,"&gt;="&amp;A31,'USt-Monatsübersicht'!$H$2:$H$115,"&lt;"&amp;EDATE(A31,1))+SUMIFS('USt-Monatsübersicht'!$F$2:$F$115,'USt-Monatsübersicht'!$B$2:$B$115,"&gt;="&amp;A31,'USt-Monatsübersicht'!$B$2:$B$115,"&lt;"&amp;EDATE(A31,1),'USt-Monatsübersicht'!$G$2:$G$115,"&lt;&gt;Bezahlt")</x:f>
        <x:v>0</x:v>
      </x:c>
      <x:c r="G31" s="191">
        <x:v>2000</x:v>
      </x:c>
      <x:c r="H31" s="191">
        <x:v>0</x:v>
      </x:c>
      <x:c r="I31" s="191">
        <x:v>480</x:v>
      </x:c>
      <x:c r="J31" s="191">
        <x:v>500</x:v>
      </x:c>
      <x:c r="K31" s="191">
        <x:v>0</x:v>
      </x:c>
      <x:c r="L31" s="191">
        <x:v>500</x:v>
      </x:c>
      <x:c r="M31" s="190">
        <x:f t="shared" si="4"/>
        <x:v>-122772.61</x:v>
      </x:c>
      <x:c r="N31" s="192" t="str">
        <x:f t="shared" si="0"/>
        <x:v>KRITISCH</x:v>
      </x:c>
      <x:c r="O31" s="1"/>
      <x:c r="P31" s="1"/>
      <x:c r="Q31" s="1"/>
      <x:c r="R31" s="1"/>
    </x:row>
    <x:row r="32">
      <x:c r="A32" s="189">
        <x:v>47119</x:v>
      </x:c>
      <x:c r="B32" s="190">
        <x:f t="shared" si="3"/>
        <x:v>-122772.61</x:v>
      </x:c>
      <x:c r="C32" s="190" t="n">
        <x:f>SUMIFS(Ausgangsrechnungen!$G$2:$G$301,Ausgangsrechnungen!$J$2:$J$301,"&gt;="&amp;A32,Ausgangsrechnungen!$J$2:$J$301,"&lt;"&amp;EDATE(A32,1))+SUMIFS(Ausgangsrechnungen!$H$2:$H$301,Ausgangsrechnungen!$E$2:$E$301,"&gt;="&amp;A32,Ausgangsrechnungen!$E$2:$E$301,"&lt;"&amp;EDATE(A32,1),Ausgangsrechnungen!$I$2:$I$301,"&lt;&gt;Bezahlt")</x:f>
        <x:v>0</x:v>
      </x:c>
      <x:c r="D32" s="191"/>
      <x:c r="E32" s="190" t="n">
        <x:f>SUMIFS(Eingangsrechnungen!$N$2:$N$301,Eingangsrechnungen!$J$2:$J$301,"&gt;="&amp;A32,Eingangsrechnungen!$J$2:$J$301,"&lt;"&amp;EDATE(A32,1))+SUMIFS(Eingangsrechnungen!$N$2:$N$301,Eingangsrechnungen!$E$2:$E$301,"&gt;="&amp;A32,Eingangsrechnungen!$E$2:$E$301,"&lt;"&amp;EDATE(A32,1),Eingangsrechnungen!$J$2:$J$301,"")</x:f>
        <x:v>0</x:v>
      </x:c>
      <x:c r="F32" s="190" t="n">
        <x:f>SUMIFS(Steuerkalender!$D$2:$D$100,Steuerkalender!$F$2:$F$100,"&gt;="&amp;A32,Steuerkalender!$F$2:$F$100,"&lt;"&amp;EDATE(A32,1))+SUMIFS(Steuerkalender!$D$2:$D$100,Steuerkalender!$B$2:$B$100,"&gt;="&amp;A32,Steuerkalender!$B$2:$B$100,"&lt;"&amp;EDATE(A32,1),Steuerkalender!$E$2:$E$100,"&lt;&gt;Bezahlt")+SUMIFS('USt-Monatsübersicht'!$F$2:$F$115,'USt-Monatsübersicht'!$H$2:$H$115,"&gt;="&amp;A32,'USt-Monatsübersicht'!$H$2:$H$115,"&lt;"&amp;EDATE(A32,1))+SUMIFS('USt-Monatsübersicht'!$F$2:$F$115,'USt-Monatsübersicht'!$B$2:$B$115,"&gt;="&amp;A32,'USt-Monatsübersicht'!$B$2:$B$115,"&lt;"&amp;EDATE(A32,1),'USt-Monatsübersicht'!$G$2:$G$115,"&lt;&gt;Bezahlt")</x:f>
        <x:v>0</x:v>
      </x:c>
      <x:c r="G32" s="191">
        <x:v>2000</x:v>
      </x:c>
      <x:c r="H32" s="191">
        <x:v>0</x:v>
      </x:c>
      <x:c r="I32" s="191">
        <x:v>480</x:v>
      </x:c>
      <x:c r="J32" s="191">
        <x:v>500</x:v>
      </x:c>
      <x:c r="K32" s="191">
        <x:v>0</x:v>
      </x:c>
      <x:c r="L32" s="191">
        <x:v>500</x:v>
      </x:c>
      <x:c r="M32" s="190">
        <x:f t="shared" si="4"/>
        <x:v>-126252.61</x:v>
      </x:c>
      <x:c r="N32" s="192" t="str">
        <x:f t="shared" si="0"/>
        <x:v>KRITISCH</x:v>
      </x:c>
      <x:c r="O32" s="1"/>
      <x:c r="P32" s="1"/>
      <x:c r="Q32" s="1"/>
      <x:c r="R32" s="1"/>
    </x:row>
    <x:row r="33">
      <x:c r="A33" s="189">
        <x:v>47150</x:v>
      </x:c>
      <x:c r="B33" s="190">
        <x:f t="shared" si="3"/>
        <x:v>-126252.61</x:v>
      </x:c>
      <x:c r="C33" s="190" t="n">
        <x:f>SUMIFS(Ausgangsrechnungen!$G$2:$G$301,Ausgangsrechnungen!$J$2:$J$301,"&gt;="&amp;A33,Ausgangsrechnungen!$J$2:$J$301,"&lt;"&amp;EDATE(A33,1))+SUMIFS(Ausgangsrechnungen!$H$2:$H$301,Ausgangsrechnungen!$E$2:$E$301,"&gt;="&amp;A33,Ausgangsrechnungen!$E$2:$E$301,"&lt;"&amp;EDATE(A33,1),Ausgangsrechnungen!$I$2:$I$301,"&lt;&gt;Bezahlt")</x:f>
        <x:v>0</x:v>
      </x:c>
      <x:c r="D33" s="191"/>
      <x:c r="E33" s="190" t="n">
        <x:f>SUMIFS(Eingangsrechnungen!$N$2:$N$301,Eingangsrechnungen!$J$2:$J$301,"&gt;="&amp;A33,Eingangsrechnungen!$J$2:$J$301,"&lt;"&amp;EDATE(A33,1))+SUMIFS(Eingangsrechnungen!$N$2:$N$301,Eingangsrechnungen!$E$2:$E$301,"&gt;="&amp;A33,Eingangsrechnungen!$E$2:$E$301,"&lt;"&amp;EDATE(A33,1),Eingangsrechnungen!$J$2:$J$301,"")</x:f>
        <x:v>0</x:v>
      </x:c>
      <x:c r="F33" s="190" t="n">
        <x:f>SUMIFS(Steuerkalender!$D$2:$D$100,Steuerkalender!$F$2:$F$100,"&gt;="&amp;A33,Steuerkalender!$F$2:$F$100,"&lt;"&amp;EDATE(A33,1))+SUMIFS(Steuerkalender!$D$2:$D$100,Steuerkalender!$B$2:$B$100,"&gt;="&amp;A33,Steuerkalender!$B$2:$B$100,"&lt;"&amp;EDATE(A33,1),Steuerkalender!$E$2:$E$100,"&lt;&gt;Bezahlt")+SUMIFS('USt-Monatsübersicht'!$F$2:$F$115,'USt-Monatsübersicht'!$H$2:$H$115,"&gt;="&amp;A33,'USt-Monatsübersicht'!$H$2:$H$115,"&lt;"&amp;EDATE(A33,1))+SUMIFS('USt-Monatsübersicht'!$F$2:$F$115,'USt-Monatsübersicht'!$B$2:$B$115,"&gt;="&amp;A33,'USt-Monatsübersicht'!$B$2:$B$115,"&lt;"&amp;EDATE(A33,1),'USt-Monatsübersicht'!$G$2:$G$115,"&lt;&gt;Bezahlt")</x:f>
        <x:v>0</x:v>
      </x:c>
      <x:c r="G33" s="191">
        <x:v>2000</x:v>
      </x:c>
      <x:c r="H33" s="191">
        <x:v>0</x:v>
      </x:c>
      <x:c r="I33" s="191">
        <x:v>480</x:v>
      </x:c>
      <x:c r="J33" s="191">
        <x:v>500</x:v>
      </x:c>
      <x:c r="K33" s="191">
        <x:v>0</x:v>
      </x:c>
      <x:c r="L33" s="191">
        <x:v>500</x:v>
      </x:c>
      <x:c r="M33" s="190">
        <x:f t="shared" si="4"/>
        <x:v>-129732.61</x:v>
      </x:c>
      <x:c r="N33" s="192" t="str">
        <x:f t="shared" si="0"/>
        <x:v>KRITISCH</x:v>
      </x:c>
      <x:c r="O33" s="1"/>
      <x:c r="P33" s="1"/>
      <x:c r="Q33" s="1"/>
      <x:c r="R33" s="1"/>
    </x:row>
    <x:row r="34">
      <x:c r="A34" s="189">
        <x:v>47178</x:v>
      </x:c>
      <x:c r="B34" s="190">
        <x:f t="shared" si="3"/>
        <x:v>-129732.61</x:v>
      </x:c>
      <x:c r="C34" s="190" t="n">
        <x:f>SUMIFS(Ausgangsrechnungen!$G$2:$G$301,Ausgangsrechnungen!$J$2:$J$301,"&gt;="&amp;A34,Ausgangsrechnungen!$J$2:$J$301,"&lt;"&amp;EDATE(A34,1))+SUMIFS(Ausgangsrechnungen!$H$2:$H$301,Ausgangsrechnungen!$E$2:$E$301,"&gt;="&amp;A34,Ausgangsrechnungen!$E$2:$E$301,"&lt;"&amp;EDATE(A34,1),Ausgangsrechnungen!$I$2:$I$301,"&lt;&gt;Bezahlt")</x:f>
        <x:v>0</x:v>
      </x:c>
      <x:c r="D34" s="191"/>
      <x:c r="E34" s="190" t="n">
        <x:f>SUMIFS(Eingangsrechnungen!$N$2:$N$301,Eingangsrechnungen!$J$2:$J$301,"&gt;="&amp;A34,Eingangsrechnungen!$J$2:$J$301,"&lt;"&amp;EDATE(A34,1))+SUMIFS(Eingangsrechnungen!$N$2:$N$301,Eingangsrechnungen!$E$2:$E$301,"&gt;="&amp;A34,Eingangsrechnungen!$E$2:$E$301,"&lt;"&amp;EDATE(A34,1),Eingangsrechnungen!$J$2:$J$301,"")</x:f>
        <x:v>0</x:v>
      </x:c>
      <x:c r="F34" s="190" t="n">
        <x:f>SUMIFS(Steuerkalender!$D$2:$D$100,Steuerkalender!$F$2:$F$100,"&gt;="&amp;A34,Steuerkalender!$F$2:$F$100,"&lt;"&amp;EDATE(A34,1))+SUMIFS(Steuerkalender!$D$2:$D$100,Steuerkalender!$B$2:$B$100,"&gt;="&amp;A34,Steuerkalender!$B$2:$B$100,"&lt;"&amp;EDATE(A34,1),Steuerkalender!$E$2:$E$100,"&lt;&gt;Bezahlt")+SUMIFS('USt-Monatsübersicht'!$F$2:$F$115,'USt-Monatsübersicht'!$H$2:$H$115,"&gt;="&amp;A34,'USt-Monatsübersicht'!$H$2:$H$115,"&lt;"&amp;EDATE(A34,1))+SUMIFS('USt-Monatsübersicht'!$F$2:$F$115,'USt-Monatsübersicht'!$B$2:$B$115,"&gt;="&amp;A34,'USt-Monatsübersicht'!$B$2:$B$115,"&lt;"&amp;EDATE(A34,1),'USt-Monatsübersicht'!$G$2:$G$115,"&lt;&gt;Bezahlt")</x:f>
        <x:v>0</x:v>
      </x:c>
      <x:c r="G34" s="191">
        <x:v>2000</x:v>
      </x:c>
      <x:c r="H34" s="191">
        <x:v>0</x:v>
      </x:c>
      <x:c r="I34" s="191">
        <x:v>480</x:v>
      </x:c>
      <x:c r="J34" s="191">
        <x:v>500</x:v>
      </x:c>
      <x:c r="K34" s="191">
        <x:v>0</x:v>
      </x:c>
      <x:c r="L34" s="191">
        <x:v>500</x:v>
      </x:c>
      <x:c r="M34" s="190">
        <x:f t="shared" si="4"/>
        <x:v>-133212.60999999999</x:v>
      </x:c>
      <x:c r="N34" s="192" t="str">
        <x:f t="shared" ref="N34:N65" si="5">IF(M34&lt;0,"KRITISCH",IF(M34&lt;10000,"ACHTUNG","OK"))</x:f>
        <x:v>KRITISCH</x:v>
      </x:c>
      <x:c r="O34" s="1"/>
      <x:c r="P34" s="1"/>
      <x:c r="Q34" s="1"/>
      <x:c r="R34" s="1"/>
    </x:row>
    <x:row r="35">
      <x:c r="A35" s="189">
        <x:v>47209</x:v>
      </x:c>
      <x:c r="B35" s="190">
        <x:f t="shared" si="3"/>
        <x:v>-133212.60999999999</x:v>
      </x:c>
      <x:c r="C35" s="190" t="n">
        <x:f>SUMIFS(Ausgangsrechnungen!$G$2:$G$301,Ausgangsrechnungen!$J$2:$J$301,"&gt;="&amp;A35,Ausgangsrechnungen!$J$2:$J$301,"&lt;"&amp;EDATE(A35,1))+SUMIFS(Ausgangsrechnungen!$H$2:$H$301,Ausgangsrechnungen!$E$2:$E$301,"&gt;="&amp;A35,Ausgangsrechnungen!$E$2:$E$301,"&lt;"&amp;EDATE(A35,1),Ausgangsrechnungen!$I$2:$I$301,"&lt;&gt;Bezahlt")</x:f>
        <x:v>0</x:v>
      </x:c>
      <x:c r="D35" s="191"/>
      <x:c r="E35" s="190" t="n">
        <x:f>SUMIFS(Eingangsrechnungen!$N$2:$N$301,Eingangsrechnungen!$J$2:$J$301,"&gt;="&amp;A35,Eingangsrechnungen!$J$2:$J$301,"&lt;"&amp;EDATE(A35,1))+SUMIFS(Eingangsrechnungen!$N$2:$N$301,Eingangsrechnungen!$E$2:$E$301,"&gt;="&amp;A35,Eingangsrechnungen!$E$2:$E$301,"&lt;"&amp;EDATE(A35,1),Eingangsrechnungen!$J$2:$J$301,"")</x:f>
        <x:v>0</x:v>
      </x:c>
      <x:c r="F35" s="190" t="n">
        <x:f>SUMIFS(Steuerkalender!$D$2:$D$100,Steuerkalender!$F$2:$F$100,"&gt;="&amp;A35,Steuerkalender!$F$2:$F$100,"&lt;"&amp;EDATE(A35,1))+SUMIFS(Steuerkalender!$D$2:$D$100,Steuerkalender!$B$2:$B$100,"&gt;="&amp;A35,Steuerkalender!$B$2:$B$100,"&lt;"&amp;EDATE(A35,1),Steuerkalender!$E$2:$E$100,"&lt;&gt;Bezahlt")+SUMIFS('USt-Monatsübersicht'!$F$2:$F$115,'USt-Monatsübersicht'!$H$2:$H$115,"&gt;="&amp;A35,'USt-Monatsübersicht'!$H$2:$H$115,"&lt;"&amp;EDATE(A35,1))+SUMIFS('USt-Monatsübersicht'!$F$2:$F$115,'USt-Monatsübersicht'!$B$2:$B$115,"&gt;="&amp;A35,'USt-Monatsübersicht'!$B$2:$B$115,"&lt;"&amp;EDATE(A35,1),'USt-Monatsübersicht'!$G$2:$G$115,"&lt;&gt;Bezahlt")</x:f>
        <x:v>0</x:v>
      </x:c>
      <x:c r="G35" s="191">
        <x:v>2000</x:v>
      </x:c>
      <x:c r="H35" s="191">
        <x:v>0</x:v>
      </x:c>
      <x:c r="I35" s="191">
        <x:v>480</x:v>
      </x:c>
      <x:c r="J35" s="191">
        <x:v>500</x:v>
      </x:c>
      <x:c r="K35" s="191">
        <x:v>0</x:v>
      </x:c>
      <x:c r="L35" s="191">
        <x:v>500</x:v>
      </x:c>
      <x:c r="M35" s="190">
        <x:f t="shared" si="4"/>
        <x:v>-136692.60999999999</x:v>
      </x:c>
      <x:c r="N35" s="192" t="str">
        <x:f t="shared" si="5"/>
        <x:v>KRITISCH</x:v>
      </x:c>
      <x:c r="O35" s="1"/>
      <x:c r="P35" s="1"/>
      <x:c r="Q35" s="1"/>
      <x:c r="R35" s="1"/>
    </x:row>
    <x:row r="36">
      <x:c r="A36" s="189">
        <x:v>47239</x:v>
      </x:c>
      <x:c r="B36" s="190">
        <x:f t="shared" si="3"/>
        <x:v>-136692.60999999999</x:v>
      </x:c>
      <x:c r="C36" s="190" t="n">
        <x:f>SUMIFS(Ausgangsrechnungen!$G$2:$G$301,Ausgangsrechnungen!$J$2:$J$301,"&gt;="&amp;A36,Ausgangsrechnungen!$J$2:$J$301,"&lt;"&amp;EDATE(A36,1))+SUMIFS(Ausgangsrechnungen!$H$2:$H$301,Ausgangsrechnungen!$E$2:$E$301,"&gt;="&amp;A36,Ausgangsrechnungen!$E$2:$E$301,"&lt;"&amp;EDATE(A36,1),Ausgangsrechnungen!$I$2:$I$301,"&lt;&gt;Bezahlt")</x:f>
        <x:v>0</x:v>
      </x:c>
      <x:c r="D36" s="191"/>
      <x:c r="E36" s="190" t="n">
        <x:f>SUMIFS(Eingangsrechnungen!$N$2:$N$301,Eingangsrechnungen!$J$2:$J$301,"&gt;="&amp;A36,Eingangsrechnungen!$J$2:$J$301,"&lt;"&amp;EDATE(A36,1))+SUMIFS(Eingangsrechnungen!$N$2:$N$301,Eingangsrechnungen!$E$2:$E$301,"&gt;="&amp;A36,Eingangsrechnungen!$E$2:$E$301,"&lt;"&amp;EDATE(A36,1),Eingangsrechnungen!$J$2:$J$301,"")</x:f>
        <x:v>0</x:v>
      </x:c>
      <x:c r="F36" s="190" t="n">
        <x:f>SUMIFS(Steuerkalender!$D$2:$D$100,Steuerkalender!$F$2:$F$100,"&gt;="&amp;A36,Steuerkalender!$F$2:$F$100,"&lt;"&amp;EDATE(A36,1))+SUMIFS(Steuerkalender!$D$2:$D$100,Steuerkalender!$B$2:$B$100,"&gt;="&amp;A36,Steuerkalender!$B$2:$B$100,"&lt;"&amp;EDATE(A36,1),Steuerkalender!$E$2:$E$100,"&lt;&gt;Bezahlt")+SUMIFS('USt-Monatsübersicht'!$F$2:$F$115,'USt-Monatsübersicht'!$H$2:$H$115,"&gt;="&amp;A36,'USt-Monatsübersicht'!$H$2:$H$115,"&lt;"&amp;EDATE(A36,1))+SUMIFS('USt-Monatsübersicht'!$F$2:$F$115,'USt-Monatsübersicht'!$B$2:$B$115,"&gt;="&amp;A36,'USt-Monatsübersicht'!$B$2:$B$115,"&lt;"&amp;EDATE(A36,1),'USt-Monatsübersicht'!$G$2:$G$115,"&lt;&gt;Bezahlt")</x:f>
        <x:v>0</x:v>
      </x:c>
      <x:c r="G36" s="191">
        <x:v>2000</x:v>
      </x:c>
      <x:c r="H36" s="191">
        <x:v>0</x:v>
      </x:c>
      <x:c r="I36" s="191">
        <x:v>480</x:v>
      </x:c>
      <x:c r="J36" s="191">
        <x:v>500</x:v>
      </x:c>
      <x:c r="K36" s="191">
        <x:v>0</x:v>
      </x:c>
      <x:c r="L36" s="191">
        <x:v>500</x:v>
      </x:c>
      <x:c r="M36" s="190">
        <x:f t="shared" si="4"/>
        <x:v>-140172.60999999999</x:v>
      </x:c>
      <x:c r="N36" s="192" t="str">
        <x:f t="shared" si="5"/>
        <x:v>KRITISCH</x:v>
      </x:c>
      <x:c r="O36" s="1"/>
      <x:c r="P36" s="1"/>
      <x:c r="Q36" s="1"/>
      <x:c r="R36" s="1"/>
    </x:row>
    <x:row r="37">
      <x:c r="A37" s="189">
        <x:v>47270</x:v>
      </x:c>
      <x:c r="B37" s="190">
        <x:f t="shared" si="3"/>
        <x:v>-140172.60999999999</x:v>
      </x:c>
      <x:c r="C37" s="190" t="n">
        <x:f>SUMIFS(Ausgangsrechnungen!$G$2:$G$301,Ausgangsrechnungen!$J$2:$J$301,"&gt;="&amp;A37,Ausgangsrechnungen!$J$2:$J$301,"&lt;"&amp;EDATE(A37,1))+SUMIFS(Ausgangsrechnungen!$H$2:$H$301,Ausgangsrechnungen!$E$2:$E$301,"&gt;="&amp;A37,Ausgangsrechnungen!$E$2:$E$301,"&lt;"&amp;EDATE(A37,1),Ausgangsrechnungen!$I$2:$I$301,"&lt;&gt;Bezahlt")</x:f>
        <x:v>0</x:v>
      </x:c>
      <x:c r="D37" s="191"/>
      <x:c r="E37" s="190" t="n">
        <x:f>SUMIFS(Eingangsrechnungen!$N$2:$N$301,Eingangsrechnungen!$J$2:$J$301,"&gt;="&amp;A37,Eingangsrechnungen!$J$2:$J$301,"&lt;"&amp;EDATE(A37,1))+SUMIFS(Eingangsrechnungen!$N$2:$N$301,Eingangsrechnungen!$E$2:$E$301,"&gt;="&amp;A37,Eingangsrechnungen!$E$2:$E$301,"&lt;"&amp;EDATE(A37,1),Eingangsrechnungen!$J$2:$J$301,"")</x:f>
        <x:v>0</x:v>
      </x:c>
      <x:c r="F37" s="190" t="n">
        <x:f>SUMIFS(Steuerkalender!$D$2:$D$100,Steuerkalender!$F$2:$F$100,"&gt;="&amp;A37,Steuerkalender!$F$2:$F$100,"&lt;"&amp;EDATE(A37,1))+SUMIFS(Steuerkalender!$D$2:$D$100,Steuerkalender!$B$2:$B$100,"&gt;="&amp;A37,Steuerkalender!$B$2:$B$100,"&lt;"&amp;EDATE(A37,1),Steuerkalender!$E$2:$E$100,"&lt;&gt;Bezahlt")+SUMIFS('USt-Monatsübersicht'!$F$2:$F$115,'USt-Monatsübersicht'!$H$2:$H$115,"&gt;="&amp;A37,'USt-Monatsübersicht'!$H$2:$H$115,"&lt;"&amp;EDATE(A37,1))+SUMIFS('USt-Monatsübersicht'!$F$2:$F$115,'USt-Monatsübersicht'!$B$2:$B$115,"&gt;="&amp;A37,'USt-Monatsübersicht'!$B$2:$B$115,"&lt;"&amp;EDATE(A37,1),'USt-Monatsübersicht'!$G$2:$G$115,"&lt;&gt;Bezahlt")</x:f>
        <x:v>0</x:v>
      </x:c>
      <x:c r="G37" s="191">
        <x:v>2000</x:v>
      </x:c>
      <x:c r="H37" s="191">
        <x:v>0</x:v>
      </x:c>
      <x:c r="I37" s="191">
        <x:v>480</x:v>
      </x:c>
      <x:c r="J37" s="191">
        <x:v>500</x:v>
      </x:c>
      <x:c r="K37" s="191">
        <x:v>0</x:v>
      </x:c>
      <x:c r="L37" s="191">
        <x:v>500</x:v>
      </x:c>
      <x:c r="M37" s="190">
        <x:f t="shared" si="4"/>
        <x:v>-143652.60999999999</x:v>
      </x:c>
      <x:c r="N37" s="192" t="str">
        <x:f t="shared" si="5"/>
        <x:v>KRITISCH</x:v>
      </x:c>
      <x:c r="O37" s="1"/>
      <x:c r="P37" s="1"/>
      <x:c r="Q37" s="1"/>
      <x:c r="R37" s="1"/>
    </x:row>
    <x:row r="38">
      <x:c r="A38" s="189">
        <x:v>47300</x:v>
      </x:c>
      <x:c r="B38" s="190">
        <x:f t="shared" si="3"/>
        <x:v>-143652.60999999999</x:v>
      </x:c>
      <x:c r="C38" s="190" t="n">
        <x:f>SUMIFS(Ausgangsrechnungen!$G$2:$G$301,Ausgangsrechnungen!$J$2:$J$301,"&gt;="&amp;A38,Ausgangsrechnungen!$J$2:$J$301,"&lt;"&amp;EDATE(A38,1))+SUMIFS(Ausgangsrechnungen!$H$2:$H$301,Ausgangsrechnungen!$E$2:$E$301,"&gt;="&amp;A38,Ausgangsrechnungen!$E$2:$E$301,"&lt;"&amp;EDATE(A38,1),Ausgangsrechnungen!$I$2:$I$301,"&lt;&gt;Bezahlt")</x:f>
        <x:v>0</x:v>
      </x:c>
      <x:c r="D38" s="191"/>
      <x:c r="E38" s="190" t="n">
        <x:f>SUMIFS(Eingangsrechnungen!$N$2:$N$301,Eingangsrechnungen!$J$2:$J$301,"&gt;="&amp;A38,Eingangsrechnungen!$J$2:$J$301,"&lt;"&amp;EDATE(A38,1))+SUMIFS(Eingangsrechnungen!$N$2:$N$301,Eingangsrechnungen!$E$2:$E$301,"&gt;="&amp;A38,Eingangsrechnungen!$E$2:$E$301,"&lt;"&amp;EDATE(A38,1),Eingangsrechnungen!$J$2:$J$301,"")</x:f>
        <x:v>0</x:v>
      </x:c>
      <x:c r="F38" s="190" t="n">
        <x:f>SUMIFS(Steuerkalender!$D$2:$D$100,Steuerkalender!$F$2:$F$100,"&gt;="&amp;A38,Steuerkalender!$F$2:$F$100,"&lt;"&amp;EDATE(A38,1))+SUMIFS(Steuerkalender!$D$2:$D$100,Steuerkalender!$B$2:$B$100,"&gt;="&amp;A38,Steuerkalender!$B$2:$B$100,"&lt;"&amp;EDATE(A38,1),Steuerkalender!$E$2:$E$100,"&lt;&gt;Bezahlt")+SUMIFS('USt-Monatsübersicht'!$F$2:$F$115,'USt-Monatsübersicht'!$H$2:$H$115,"&gt;="&amp;A38,'USt-Monatsübersicht'!$H$2:$H$115,"&lt;"&amp;EDATE(A38,1))+SUMIFS('USt-Monatsübersicht'!$F$2:$F$115,'USt-Monatsübersicht'!$B$2:$B$115,"&gt;="&amp;A38,'USt-Monatsübersicht'!$B$2:$B$115,"&lt;"&amp;EDATE(A38,1),'USt-Monatsübersicht'!$G$2:$G$115,"&lt;&gt;Bezahlt")</x:f>
        <x:v>0</x:v>
      </x:c>
      <x:c r="G38" s="191">
        <x:v>2000</x:v>
      </x:c>
      <x:c r="H38" s="191">
        <x:v>0</x:v>
      </x:c>
      <x:c r="I38" s="191">
        <x:v>480</x:v>
      </x:c>
      <x:c r="J38" s="191">
        <x:v>500</x:v>
      </x:c>
      <x:c r="K38" s="191">
        <x:v>0</x:v>
      </x:c>
      <x:c r="L38" s="191">
        <x:v>500</x:v>
      </x:c>
      <x:c r="M38" s="190">
        <x:f t="shared" si="4"/>
        <x:v>-147132.60999999999</x:v>
      </x:c>
      <x:c r="N38" s="192" t="str">
        <x:f t="shared" si="5"/>
        <x:v>KRITISCH</x:v>
      </x:c>
      <x:c r="O38" s="1"/>
      <x:c r="P38" s="1"/>
      <x:c r="Q38" s="1"/>
      <x:c r="R38" s="1"/>
    </x:row>
    <x:row r="39">
      <x:c r="A39" s="189">
        <x:v>47331</x:v>
      </x:c>
      <x:c r="B39" s="190">
        <x:f t="shared" si="3"/>
        <x:v>-147132.60999999999</x:v>
      </x:c>
      <x:c r="C39" s="190" t="n">
        <x:f>SUMIFS(Ausgangsrechnungen!$G$2:$G$301,Ausgangsrechnungen!$J$2:$J$301,"&gt;="&amp;A39,Ausgangsrechnungen!$J$2:$J$301,"&lt;"&amp;EDATE(A39,1))+SUMIFS(Ausgangsrechnungen!$H$2:$H$301,Ausgangsrechnungen!$E$2:$E$301,"&gt;="&amp;A39,Ausgangsrechnungen!$E$2:$E$301,"&lt;"&amp;EDATE(A39,1),Ausgangsrechnungen!$I$2:$I$301,"&lt;&gt;Bezahlt")</x:f>
        <x:v>0</x:v>
      </x:c>
      <x:c r="D39" s="191"/>
      <x:c r="E39" s="190" t="n">
        <x:f>SUMIFS(Eingangsrechnungen!$N$2:$N$301,Eingangsrechnungen!$J$2:$J$301,"&gt;="&amp;A39,Eingangsrechnungen!$J$2:$J$301,"&lt;"&amp;EDATE(A39,1))+SUMIFS(Eingangsrechnungen!$N$2:$N$301,Eingangsrechnungen!$E$2:$E$301,"&gt;="&amp;A39,Eingangsrechnungen!$E$2:$E$301,"&lt;"&amp;EDATE(A39,1),Eingangsrechnungen!$J$2:$J$301,"")</x:f>
        <x:v>0</x:v>
      </x:c>
      <x:c r="F39" s="190" t="n">
        <x:f>SUMIFS(Steuerkalender!$D$2:$D$100,Steuerkalender!$F$2:$F$100,"&gt;="&amp;A39,Steuerkalender!$F$2:$F$100,"&lt;"&amp;EDATE(A39,1))+SUMIFS(Steuerkalender!$D$2:$D$100,Steuerkalender!$B$2:$B$100,"&gt;="&amp;A39,Steuerkalender!$B$2:$B$100,"&lt;"&amp;EDATE(A39,1),Steuerkalender!$E$2:$E$100,"&lt;&gt;Bezahlt")+SUMIFS('USt-Monatsübersicht'!$F$2:$F$115,'USt-Monatsübersicht'!$H$2:$H$115,"&gt;="&amp;A39,'USt-Monatsübersicht'!$H$2:$H$115,"&lt;"&amp;EDATE(A39,1))+SUMIFS('USt-Monatsübersicht'!$F$2:$F$115,'USt-Monatsübersicht'!$B$2:$B$115,"&gt;="&amp;A39,'USt-Monatsübersicht'!$B$2:$B$115,"&lt;"&amp;EDATE(A39,1),'USt-Monatsübersicht'!$G$2:$G$115,"&lt;&gt;Bezahlt")</x:f>
        <x:v>0</x:v>
      </x:c>
      <x:c r="G39" s="191">
        <x:v>2000</x:v>
      </x:c>
      <x:c r="H39" s="191">
        <x:v>0</x:v>
      </x:c>
      <x:c r="I39" s="191">
        <x:v>480</x:v>
      </x:c>
      <x:c r="J39" s="191">
        <x:v>500</x:v>
      </x:c>
      <x:c r="K39" s="191">
        <x:v>0</x:v>
      </x:c>
      <x:c r="L39" s="191">
        <x:v>500</x:v>
      </x:c>
      <x:c r="M39" s="190">
        <x:f t="shared" si="4"/>
        <x:v>-150612.60999999999</x:v>
      </x:c>
      <x:c r="N39" s="192" t="str">
        <x:f t="shared" si="5"/>
        <x:v>KRITISCH</x:v>
      </x:c>
      <x:c r="O39" s="1"/>
      <x:c r="P39" s="1"/>
      <x:c r="Q39" s="1"/>
      <x:c r="R39" s="1"/>
    </x:row>
    <x:row r="40">
      <x:c r="A40" s="189">
        <x:v>47362</x:v>
      </x:c>
      <x:c r="B40" s="190">
        <x:f t="shared" si="3"/>
        <x:v>-150612.60999999999</x:v>
      </x:c>
      <x:c r="C40" s="190" t="n">
        <x:f>SUMIFS(Ausgangsrechnungen!$G$2:$G$301,Ausgangsrechnungen!$J$2:$J$301,"&gt;="&amp;A40,Ausgangsrechnungen!$J$2:$J$301,"&lt;"&amp;EDATE(A40,1))+SUMIFS(Ausgangsrechnungen!$H$2:$H$301,Ausgangsrechnungen!$E$2:$E$301,"&gt;="&amp;A40,Ausgangsrechnungen!$E$2:$E$301,"&lt;"&amp;EDATE(A40,1),Ausgangsrechnungen!$I$2:$I$301,"&lt;&gt;Bezahlt")</x:f>
        <x:v>0</x:v>
      </x:c>
      <x:c r="D40" s="191"/>
      <x:c r="E40" s="190" t="n">
        <x:f>SUMIFS(Eingangsrechnungen!$N$2:$N$301,Eingangsrechnungen!$J$2:$J$301,"&gt;="&amp;A40,Eingangsrechnungen!$J$2:$J$301,"&lt;"&amp;EDATE(A40,1))+SUMIFS(Eingangsrechnungen!$N$2:$N$301,Eingangsrechnungen!$E$2:$E$301,"&gt;="&amp;A40,Eingangsrechnungen!$E$2:$E$301,"&lt;"&amp;EDATE(A40,1),Eingangsrechnungen!$J$2:$J$301,"")</x:f>
        <x:v>0</x:v>
      </x:c>
      <x:c r="F40" s="190" t="n">
        <x:f>SUMIFS(Steuerkalender!$D$2:$D$100,Steuerkalender!$F$2:$F$100,"&gt;="&amp;A40,Steuerkalender!$F$2:$F$100,"&lt;"&amp;EDATE(A40,1))+SUMIFS(Steuerkalender!$D$2:$D$100,Steuerkalender!$B$2:$B$100,"&gt;="&amp;A40,Steuerkalender!$B$2:$B$100,"&lt;"&amp;EDATE(A40,1),Steuerkalender!$E$2:$E$100,"&lt;&gt;Bezahlt")+SUMIFS('USt-Monatsübersicht'!$F$2:$F$115,'USt-Monatsübersicht'!$H$2:$H$115,"&gt;="&amp;A40,'USt-Monatsübersicht'!$H$2:$H$115,"&lt;"&amp;EDATE(A40,1))+SUMIFS('USt-Monatsübersicht'!$F$2:$F$115,'USt-Monatsübersicht'!$B$2:$B$115,"&gt;="&amp;A40,'USt-Monatsübersicht'!$B$2:$B$115,"&lt;"&amp;EDATE(A40,1),'USt-Monatsübersicht'!$G$2:$G$115,"&lt;&gt;Bezahlt")</x:f>
        <x:v>0</x:v>
      </x:c>
      <x:c r="G40" s="191">
        <x:v>2000</x:v>
      </x:c>
      <x:c r="H40" s="191">
        <x:v>0</x:v>
      </x:c>
      <x:c r="I40" s="191">
        <x:v>480</x:v>
      </x:c>
      <x:c r="J40" s="191">
        <x:v>500</x:v>
      </x:c>
      <x:c r="K40" s="191">
        <x:v>0</x:v>
      </x:c>
      <x:c r="L40" s="191">
        <x:v>500</x:v>
      </x:c>
      <x:c r="M40" s="190">
        <x:f t="shared" si="4"/>
        <x:v>-154092.60999999999</x:v>
      </x:c>
      <x:c r="N40" s="192" t="str">
        <x:f t="shared" si="5"/>
        <x:v>KRITISCH</x:v>
      </x:c>
      <x:c r="O40" s="1"/>
      <x:c r="P40" s="1"/>
      <x:c r="Q40" s="1"/>
      <x:c r="R40" s="1"/>
    </x:row>
    <x:row r="41">
      <x:c r="A41" s="189">
        <x:v>47392</x:v>
      </x:c>
      <x:c r="B41" s="190">
        <x:f t="shared" si="3"/>
        <x:v>-154092.60999999999</x:v>
      </x:c>
      <x:c r="C41" s="190" t="n">
        <x:f>SUMIFS(Ausgangsrechnungen!$G$2:$G$301,Ausgangsrechnungen!$J$2:$J$301,"&gt;="&amp;A41,Ausgangsrechnungen!$J$2:$J$301,"&lt;"&amp;EDATE(A41,1))+SUMIFS(Ausgangsrechnungen!$H$2:$H$301,Ausgangsrechnungen!$E$2:$E$301,"&gt;="&amp;A41,Ausgangsrechnungen!$E$2:$E$301,"&lt;"&amp;EDATE(A41,1),Ausgangsrechnungen!$I$2:$I$301,"&lt;&gt;Bezahlt")</x:f>
        <x:v>0</x:v>
      </x:c>
      <x:c r="D41" s="191"/>
      <x:c r="E41" s="190" t="n">
        <x:f>SUMIFS(Eingangsrechnungen!$N$2:$N$301,Eingangsrechnungen!$J$2:$J$301,"&gt;="&amp;A41,Eingangsrechnungen!$J$2:$J$301,"&lt;"&amp;EDATE(A41,1))+SUMIFS(Eingangsrechnungen!$N$2:$N$301,Eingangsrechnungen!$E$2:$E$301,"&gt;="&amp;A41,Eingangsrechnungen!$E$2:$E$301,"&lt;"&amp;EDATE(A41,1),Eingangsrechnungen!$J$2:$J$301,"")</x:f>
        <x:v>0</x:v>
      </x:c>
      <x:c r="F41" s="190" t="n">
        <x:f>SUMIFS(Steuerkalender!$D$2:$D$100,Steuerkalender!$F$2:$F$100,"&gt;="&amp;A41,Steuerkalender!$F$2:$F$100,"&lt;"&amp;EDATE(A41,1))+SUMIFS(Steuerkalender!$D$2:$D$100,Steuerkalender!$B$2:$B$100,"&gt;="&amp;A41,Steuerkalender!$B$2:$B$100,"&lt;"&amp;EDATE(A41,1),Steuerkalender!$E$2:$E$100,"&lt;&gt;Bezahlt")+SUMIFS('USt-Monatsübersicht'!$F$2:$F$115,'USt-Monatsübersicht'!$H$2:$H$115,"&gt;="&amp;A41,'USt-Monatsübersicht'!$H$2:$H$115,"&lt;"&amp;EDATE(A41,1))+SUMIFS('USt-Monatsübersicht'!$F$2:$F$115,'USt-Monatsübersicht'!$B$2:$B$115,"&gt;="&amp;A41,'USt-Monatsübersicht'!$B$2:$B$115,"&lt;"&amp;EDATE(A41,1),'USt-Monatsübersicht'!$G$2:$G$115,"&lt;&gt;Bezahlt")</x:f>
        <x:v>0</x:v>
      </x:c>
      <x:c r="G41" s="191">
        <x:v>2000</x:v>
      </x:c>
      <x:c r="H41" s="191">
        <x:v>0</x:v>
      </x:c>
      <x:c r="I41" s="191">
        <x:v>480</x:v>
      </x:c>
      <x:c r="J41" s="191">
        <x:v>500</x:v>
      </x:c>
      <x:c r="K41" s="191">
        <x:v>0</x:v>
      </x:c>
      <x:c r="L41" s="191">
        <x:v>500</x:v>
      </x:c>
      <x:c r="M41" s="190">
        <x:f t="shared" si="4"/>
        <x:v>-157572.60999999999</x:v>
      </x:c>
      <x:c r="N41" s="192" t="str">
        <x:f t="shared" si="5"/>
        <x:v>KRITISCH</x:v>
      </x:c>
      <x:c r="O41" s="1"/>
      <x:c r="P41" s="1"/>
      <x:c r="Q41" s="1"/>
      <x:c r="R41" s="1"/>
    </x:row>
    <x:row r="42">
      <x:c r="A42" s="189">
        <x:v>47423</x:v>
      </x:c>
      <x:c r="B42" s="190">
        <x:f t="shared" si="3"/>
        <x:v>-157572.60999999999</x:v>
      </x:c>
      <x:c r="C42" s="190" t="n">
        <x:f>SUMIFS(Ausgangsrechnungen!$G$2:$G$301,Ausgangsrechnungen!$J$2:$J$301,"&gt;="&amp;A42,Ausgangsrechnungen!$J$2:$J$301,"&lt;"&amp;EDATE(A42,1))+SUMIFS(Ausgangsrechnungen!$H$2:$H$301,Ausgangsrechnungen!$E$2:$E$301,"&gt;="&amp;A42,Ausgangsrechnungen!$E$2:$E$301,"&lt;"&amp;EDATE(A42,1),Ausgangsrechnungen!$I$2:$I$301,"&lt;&gt;Bezahlt")</x:f>
        <x:v>0</x:v>
      </x:c>
      <x:c r="D42" s="191"/>
      <x:c r="E42" s="190" t="n">
        <x:f>SUMIFS(Eingangsrechnungen!$N$2:$N$301,Eingangsrechnungen!$J$2:$J$301,"&gt;="&amp;A42,Eingangsrechnungen!$J$2:$J$301,"&lt;"&amp;EDATE(A42,1))+SUMIFS(Eingangsrechnungen!$N$2:$N$301,Eingangsrechnungen!$E$2:$E$301,"&gt;="&amp;A42,Eingangsrechnungen!$E$2:$E$301,"&lt;"&amp;EDATE(A42,1),Eingangsrechnungen!$J$2:$J$301,"")</x:f>
        <x:v>0</x:v>
      </x:c>
      <x:c r="F42" s="190" t="n">
        <x:f>SUMIFS(Steuerkalender!$D$2:$D$100,Steuerkalender!$F$2:$F$100,"&gt;="&amp;A42,Steuerkalender!$F$2:$F$100,"&lt;"&amp;EDATE(A42,1))+SUMIFS(Steuerkalender!$D$2:$D$100,Steuerkalender!$B$2:$B$100,"&gt;="&amp;A42,Steuerkalender!$B$2:$B$100,"&lt;"&amp;EDATE(A42,1),Steuerkalender!$E$2:$E$100,"&lt;&gt;Bezahlt")+SUMIFS('USt-Monatsübersicht'!$F$2:$F$115,'USt-Monatsübersicht'!$H$2:$H$115,"&gt;="&amp;A42,'USt-Monatsübersicht'!$H$2:$H$115,"&lt;"&amp;EDATE(A42,1))+SUMIFS('USt-Monatsübersicht'!$F$2:$F$115,'USt-Monatsübersicht'!$B$2:$B$115,"&gt;="&amp;A42,'USt-Monatsübersicht'!$B$2:$B$115,"&lt;"&amp;EDATE(A42,1),'USt-Monatsübersicht'!$G$2:$G$115,"&lt;&gt;Bezahlt")</x:f>
        <x:v>0</x:v>
      </x:c>
      <x:c r="G42" s="191">
        <x:v>2000</x:v>
      </x:c>
      <x:c r="H42" s="191">
        <x:v>0</x:v>
      </x:c>
      <x:c r="I42" s="191">
        <x:v>480</x:v>
      </x:c>
      <x:c r="J42" s="191">
        <x:v>500</x:v>
      </x:c>
      <x:c r="K42" s="191">
        <x:v>0</x:v>
      </x:c>
      <x:c r="L42" s="191">
        <x:v>500</x:v>
      </x:c>
      <x:c r="M42" s="190">
        <x:f t="shared" si="4"/>
        <x:v>-161052.60999999999</x:v>
      </x:c>
      <x:c r="N42" s="192" t="str">
        <x:f t="shared" si="5"/>
        <x:v>KRITISCH</x:v>
      </x:c>
      <x:c r="O42" s="1"/>
      <x:c r="P42" s="1"/>
      <x:c r="Q42" s="1"/>
      <x:c r="R42" s="1"/>
    </x:row>
    <x:row r="43">
      <x:c r="A43" s="189">
        <x:v>47453</x:v>
      </x:c>
      <x:c r="B43" s="190">
        <x:f t="shared" si="3"/>
        <x:v>-161052.60999999999</x:v>
      </x:c>
      <x:c r="C43" s="190" t="n">
        <x:f>SUMIFS(Ausgangsrechnungen!$G$2:$G$301,Ausgangsrechnungen!$J$2:$J$301,"&gt;="&amp;A43,Ausgangsrechnungen!$J$2:$J$301,"&lt;"&amp;EDATE(A43,1))+SUMIFS(Ausgangsrechnungen!$H$2:$H$301,Ausgangsrechnungen!$E$2:$E$301,"&gt;="&amp;A43,Ausgangsrechnungen!$E$2:$E$301,"&lt;"&amp;EDATE(A43,1),Ausgangsrechnungen!$I$2:$I$301,"&lt;&gt;Bezahlt")</x:f>
        <x:v>0</x:v>
      </x:c>
      <x:c r="D43" s="191"/>
      <x:c r="E43" s="190" t="n">
        <x:f>SUMIFS(Eingangsrechnungen!$N$2:$N$301,Eingangsrechnungen!$J$2:$J$301,"&gt;="&amp;A43,Eingangsrechnungen!$J$2:$J$301,"&lt;"&amp;EDATE(A43,1))+SUMIFS(Eingangsrechnungen!$N$2:$N$301,Eingangsrechnungen!$E$2:$E$301,"&gt;="&amp;A43,Eingangsrechnungen!$E$2:$E$301,"&lt;"&amp;EDATE(A43,1),Eingangsrechnungen!$J$2:$J$301,"")</x:f>
        <x:v>0</x:v>
      </x:c>
      <x:c r="F43" s="190" t="n">
        <x:f>SUMIFS(Steuerkalender!$D$2:$D$100,Steuerkalender!$F$2:$F$100,"&gt;="&amp;A43,Steuerkalender!$F$2:$F$100,"&lt;"&amp;EDATE(A43,1))+SUMIFS(Steuerkalender!$D$2:$D$100,Steuerkalender!$B$2:$B$100,"&gt;="&amp;A43,Steuerkalender!$B$2:$B$100,"&lt;"&amp;EDATE(A43,1),Steuerkalender!$E$2:$E$100,"&lt;&gt;Bezahlt")+SUMIFS('USt-Monatsübersicht'!$F$2:$F$115,'USt-Monatsübersicht'!$H$2:$H$115,"&gt;="&amp;A43,'USt-Monatsübersicht'!$H$2:$H$115,"&lt;"&amp;EDATE(A43,1))+SUMIFS('USt-Monatsübersicht'!$F$2:$F$115,'USt-Monatsübersicht'!$B$2:$B$115,"&gt;="&amp;A43,'USt-Monatsübersicht'!$B$2:$B$115,"&lt;"&amp;EDATE(A43,1),'USt-Monatsübersicht'!$G$2:$G$115,"&lt;&gt;Bezahlt")</x:f>
        <x:v>0</x:v>
      </x:c>
      <x:c r="G43" s="191">
        <x:v>2000</x:v>
      </x:c>
      <x:c r="H43" s="191">
        <x:v>0</x:v>
      </x:c>
      <x:c r="I43" s="191">
        <x:v>480</x:v>
      </x:c>
      <x:c r="J43" s="191">
        <x:v>500</x:v>
      </x:c>
      <x:c r="K43" s="191">
        <x:v>0</x:v>
      </x:c>
      <x:c r="L43" s="191">
        <x:v>500</x:v>
      </x:c>
      <x:c r="M43" s="190">
        <x:f t="shared" si="4"/>
        <x:v>-164532.60999999999</x:v>
      </x:c>
      <x:c r="N43" s="192" t="str">
        <x:f t="shared" si="5"/>
        <x:v>KRITISCH</x:v>
      </x:c>
      <x:c r="O43" s="1"/>
      <x:c r="P43" s="1"/>
      <x:c r="Q43" s="1"/>
      <x:c r="R43" s="1"/>
    </x:row>
    <x:row r="44">
      <x:c r="A44" s="189">
        <x:v>47484</x:v>
      </x:c>
      <x:c r="B44" s="190">
        <x:f t="shared" si="3"/>
        <x:v>-164532.60999999999</x:v>
      </x:c>
      <x:c r="C44" s="190" t="n">
        <x:f>SUMIFS(Ausgangsrechnungen!$G$2:$G$301,Ausgangsrechnungen!$J$2:$J$301,"&gt;="&amp;A44,Ausgangsrechnungen!$J$2:$J$301,"&lt;"&amp;EDATE(A44,1))+SUMIFS(Ausgangsrechnungen!$H$2:$H$301,Ausgangsrechnungen!$E$2:$E$301,"&gt;="&amp;A44,Ausgangsrechnungen!$E$2:$E$301,"&lt;"&amp;EDATE(A44,1),Ausgangsrechnungen!$I$2:$I$301,"&lt;&gt;Bezahlt")</x:f>
        <x:v>0</x:v>
      </x:c>
      <x:c r="D44" s="191"/>
      <x:c r="E44" s="190" t="n">
        <x:f>SUMIFS(Eingangsrechnungen!$N$2:$N$301,Eingangsrechnungen!$J$2:$J$301,"&gt;="&amp;A44,Eingangsrechnungen!$J$2:$J$301,"&lt;"&amp;EDATE(A44,1))+SUMIFS(Eingangsrechnungen!$N$2:$N$301,Eingangsrechnungen!$E$2:$E$301,"&gt;="&amp;A44,Eingangsrechnungen!$E$2:$E$301,"&lt;"&amp;EDATE(A44,1),Eingangsrechnungen!$J$2:$J$301,"")</x:f>
        <x:v>0</x:v>
      </x:c>
      <x:c r="F44" s="190" t="n">
        <x:f>SUMIFS(Steuerkalender!$D$2:$D$100,Steuerkalender!$F$2:$F$100,"&gt;="&amp;A44,Steuerkalender!$F$2:$F$100,"&lt;"&amp;EDATE(A44,1))+SUMIFS(Steuerkalender!$D$2:$D$100,Steuerkalender!$B$2:$B$100,"&gt;="&amp;A44,Steuerkalender!$B$2:$B$100,"&lt;"&amp;EDATE(A44,1),Steuerkalender!$E$2:$E$100,"&lt;&gt;Bezahlt")+SUMIFS('USt-Monatsübersicht'!$F$2:$F$115,'USt-Monatsübersicht'!$H$2:$H$115,"&gt;="&amp;A44,'USt-Monatsübersicht'!$H$2:$H$115,"&lt;"&amp;EDATE(A44,1))+SUMIFS('USt-Monatsübersicht'!$F$2:$F$115,'USt-Monatsübersicht'!$B$2:$B$115,"&gt;="&amp;A44,'USt-Monatsübersicht'!$B$2:$B$115,"&lt;"&amp;EDATE(A44,1),'USt-Monatsübersicht'!$G$2:$G$115,"&lt;&gt;Bezahlt")</x:f>
        <x:v>0</x:v>
      </x:c>
      <x:c r="G44" s="191">
        <x:v>2000</x:v>
      </x:c>
      <x:c r="H44" s="191">
        <x:v>0</x:v>
      </x:c>
      <x:c r="I44" s="191">
        <x:v>480</x:v>
      </x:c>
      <x:c r="J44" s="191">
        <x:v>500</x:v>
      </x:c>
      <x:c r="K44" s="191">
        <x:v>0</x:v>
      </x:c>
      <x:c r="L44" s="191">
        <x:v>500</x:v>
      </x:c>
      <x:c r="M44" s="190">
        <x:f t="shared" si="4"/>
        <x:v>-168012.61</x:v>
      </x:c>
      <x:c r="N44" s="192" t="str">
        <x:f t="shared" si="5"/>
        <x:v>KRITISCH</x:v>
      </x:c>
      <x:c r="O44" s="1"/>
      <x:c r="P44" s="1"/>
      <x:c r="Q44" s="1"/>
      <x:c r="R44" s="1"/>
    </x:row>
    <x:row r="45">
      <x:c r="A45" s="189">
        <x:v>47515</x:v>
      </x:c>
      <x:c r="B45" s="190">
        <x:f t="shared" si="3"/>
        <x:v>-168012.61</x:v>
      </x:c>
      <x:c r="C45" s="190" t="n">
        <x:f>SUMIFS(Ausgangsrechnungen!$G$2:$G$301,Ausgangsrechnungen!$J$2:$J$301,"&gt;="&amp;A45,Ausgangsrechnungen!$J$2:$J$301,"&lt;"&amp;EDATE(A45,1))+SUMIFS(Ausgangsrechnungen!$H$2:$H$301,Ausgangsrechnungen!$E$2:$E$301,"&gt;="&amp;A45,Ausgangsrechnungen!$E$2:$E$301,"&lt;"&amp;EDATE(A45,1),Ausgangsrechnungen!$I$2:$I$301,"&lt;&gt;Bezahlt")</x:f>
        <x:v>0</x:v>
      </x:c>
      <x:c r="D45" s="191"/>
      <x:c r="E45" s="190" t="n">
        <x:f>SUMIFS(Eingangsrechnungen!$N$2:$N$301,Eingangsrechnungen!$J$2:$J$301,"&gt;="&amp;A45,Eingangsrechnungen!$J$2:$J$301,"&lt;"&amp;EDATE(A45,1))+SUMIFS(Eingangsrechnungen!$N$2:$N$301,Eingangsrechnungen!$E$2:$E$301,"&gt;="&amp;A45,Eingangsrechnungen!$E$2:$E$301,"&lt;"&amp;EDATE(A45,1),Eingangsrechnungen!$J$2:$J$301,"")</x:f>
        <x:v>0</x:v>
      </x:c>
      <x:c r="F45" s="190" t="n">
        <x:f>SUMIFS(Steuerkalender!$D$2:$D$100,Steuerkalender!$F$2:$F$100,"&gt;="&amp;A45,Steuerkalender!$F$2:$F$100,"&lt;"&amp;EDATE(A45,1))+SUMIFS(Steuerkalender!$D$2:$D$100,Steuerkalender!$B$2:$B$100,"&gt;="&amp;A45,Steuerkalender!$B$2:$B$100,"&lt;"&amp;EDATE(A45,1),Steuerkalender!$E$2:$E$100,"&lt;&gt;Bezahlt")+SUMIFS('USt-Monatsübersicht'!$F$2:$F$115,'USt-Monatsübersicht'!$H$2:$H$115,"&gt;="&amp;A45,'USt-Monatsübersicht'!$H$2:$H$115,"&lt;"&amp;EDATE(A45,1))+SUMIFS('USt-Monatsübersicht'!$F$2:$F$115,'USt-Monatsübersicht'!$B$2:$B$115,"&gt;="&amp;A45,'USt-Monatsübersicht'!$B$2:$B$115,"&lt;"&amp;EDATE(A45,1),'USt-Monatsübersicht'!$G$2:$G$115,"&lt;&gt;Bezahlt")</x:f>
        <x:v>0</x:v>
      </x:c>
      <x:c r="G45" s="191">
        <x:v>2000</x:v>
      </x:c>
      <x:c r="H45" s="191">
        <x:v>0</x:v>
      </x:c>
      <x:c r="I45" s="191">
        <x:v>480</x:v>
      </x:c>
      <x:c r="J45" s="191">
        <x:v>500</x:v>
      </x:c>
      <x:c r="K45" s="191">
        <x:v>0</x:v>
      </x:c>
      <x:c r="L45" s="191">
        <x:v>500</x:v>
      </x:c>
      <x:c r="M45" s="190">
        <x:f t="shared" si="4"/>
        <x:v>-171492.61</x:v>
      </x:c>
      <x:c r="N45" s="192" t="str">
        <x:f t="shared" si="5"/>
        <x:v>KRITISCH</x:v>
      </x:c>
      <x:c r="O45" s="1"/>
      <x:c r="P45" s="1"/>
      <x:c r="Q45" s="1"/>
      <x:c r="R45" s="1"/>
    </x:row>
    <x:row r="46">
      <x:c r="A46" s="189">
        <x:v>47543</x:v>
      </x:c>
      <x:c r="B46" s="190">
        <x:f t="shared" si="3"/>
        <x:v>-171492.61</x:v>
      </x:c>
      <x:c r="C46" s="190" t="n">
        <x:f>SUMIFS(Ausgangsrechnungen!$G$2:$G$301,Ausgangsrechnungen!$J$2:$J$301,"&gt;="&amp;A46,Ausgangsrechnungen!$J$2:$J$301,"&lt;"&amp;EDATE(A46,1))+SUMIFS(Ausgangsrechnungen!$H$2:$H$301,Ausgangsrechnungen!$E$2:$E$301,"&gt;="&amp;A46,Ausgangsrechnungen!$E$2:$E$301,"&lt;"&amp;EDATE(A46,1),Ausgangsrechnungen!$I$2:$I$301,"&lt;&gt;Bezahlt")</x:f>
        <x:v>0</x:v>
      </x:c>
      <x:c r="D46" s="191"/>
      <x:c r="E46" s="190" t="n">
        <x:f>SUMIFS(Eingangsrechnungen!$N$2:$N$301,Eingangsrechnungen!$J$2:$J$301,"&gt;="&amp;A46,Eingangsrechnungen!$J$2:$J$301,"&lt;"&amp;EDATE(A46,1))+SUMIFS(Eingangsrechnungen!$N$2:$N$301,Eingangsrechnungen!$E$2:$E$301,"&gt;="&amp;A46,Eingangsrechnungen!$E$2:$E$301,"&lt;"&amp;EDATE(A46,1),Eingangsrechnungen!$J$2:$J$301,"")</x:f>
        <x:v>0</x:v>
      </x:c>
      <x:c r="F46" s="190" t="n">
        <x:f>SUMIFS(Steuerkalender!$D$2:$D$100,Steuerkalender!$F$2:$F$100,"&gt;="&amp;A46,Steuerkalender!$F$2:$F$100,"&lt;"&amp;EDATE(A46,1))+SUMIFS(Steuerkalender!$D$2:$D$100,Steuerkalender!$B$2:$B$100,"&gt;="&amp;A46,Steuerkalender!$B$2:$B$100,"&lt;"&amp;EDATE(A46,1),Steuerkalender!$E$2:$E$100,"&lt;&gt;Bezahlt")+SUMIFS('USt-Monatsübersicht'!$F$2:$F$115,'USt-Monatsübersicht'!$H$2:$H$115,"&gt;="&amp;A46,'USt-Monatsübersicht'!$H$2:$H$115,"&lt;"&amp;EDATE(A46,1))+SUMIFS('USt-Monatsübersicht'!$F$2:$F$115,'USt-Monatsübersicht'!$B$2:$B$115,"&gt;="&amp;A46,'USt-Monatsübersicht'!$B$2:$B$115,"&lt;"&amp;EDATE(A46,1),'USt-Monatsübersicht'!$G$2:$G$115,"&lt;&gt;Bezahlt")</x:f>
        <x:v>0</x:v>
      </x:c>
      <x:c r="G46" s="191">
        <x:v>2000</x:v>
      </x:c>
      <x:c r="H46" s="191">
        <x:v>0</x:v>
      </x:c>
      <x:c r="I46" s="191">
        <x:v>480</x:v>
      </x:c>
      <x:c r="J46" s="191">
        <x:v>500</x:v>
      </x:c>
      <x:c r="K46" s="191">
        <x:v>0</x:v>
      </x:c>
      <x:c r="L46" s="191">
        <x:v>500</x:v>
      </x:c>
      <x:c r="M46" s="190">
        <x:f t="shared" si="4"/>
        <x:v>-174972.61</x:v>
      </x:c>
      <x:c r="N46" s="192" t="str">
        <x:f t="shared" si="5"/>
        <x:v>KRITISCH</x:v>
      </x:c>
      <x:c r="O46" s="1"/>
      <x:c r="P46" s="1"/>
      <x:c r="Q46" s="1"/>
      <x:c r="R46" s="1"/>
    </x:row>
    <x:row r="47">
      <x:c r="A47" s="189">
        <x:v>47574</x:v>
      </x:c>
      <x:c r="B47" s="190">
        <x:f t="shared" si="3"/>
        <x:v>-174972.61</x:v>
      </x:c>
      <x:c r="C47" s="190" t="n">
        <x:f>SUMIFS(Ausgangsrechnungen!$G$2:$G$301,Ausgangsrechnungen!$J$2:$J$301,"&gt;="&amp;A47,Ausgangsrechnungen!$J$2:$J$301,"&lt;"&amp;EDATE(A47,1))+SUMIFS(Ausgangsrechnungen!$H$2:$H$301,Ausgangsrechnungen!$E$2:$E$301,"&gt;="&amp;A47,Ausgangsrechnungen!$E$2:$E$301,"&lt;"&amp;EDATE(A47,1),Ausgangsrechnungen!$I$2:$I$301,"&lt;&gt;Bezahlt")</x:f>
        <x:v>0</x:v>
      </x:c>
      <x:c r="D47" s="191"/>
      <x:c r="E47" s="190" t="n">
        <x:f>SUMIFS(Eingangsrechnungen!$N$2:$N$301,Eingangsrechnungen!$J$2:$J$301,"&gt;="&amp;A47,Eingangsrechnungen!$J$2:$J$301,"&lt;"&amp;EDATE(A47,1))+SUMIFS(Eingangsrechnungen!$N$2:$N$301,Eingangsrechnungen!$E$2:$E$301,"&gt;="&amp;A47,Eingangsrechnungen!$E$2:$E$301,"&lt;"&amp;EDATE(A47,1),Eingangsrechnungen!$J$2:$J$301,"")</x:f>
        <x:v>0</x:v>
      </x:c>
      <x:c r="F47" s="190" t="n">
        <x:f>SUMIFS(Steuerkalender!$D$2:$D$100,Steuerkalender!$F$2:$F$100,"&gt;="&amp;A47,Steuerkalender!$F$2:$F$100,"&lt;"&amp;EDATE(A47,1))+SUMIFS(Steuerkalender!$D$2:$D$100,Steuerkalender!$B$2:$B$100,"&gt;="&amp;A47,Steuerkalender!$B$2:$B$100,"&lt;"&amp;EDATE(A47,1),Steuerkalender!$E$2:$E$100,"&lt;&gt;Bezahlt")+SUMIFS('USt-Monatsübersicht'!$F$2:$F$115,'USt-Monatsübersicht'!$H$2:$H$115,"&gt;="&amp;A47,'USt-Monatsübersicht'!$H$2:$H$115,"&lt;"&amp;EDATE(A47,1))+SUMIFS('USt-Monatsübersicht'!$F$2:$F$115,'USt-Monatsübersicht'!$B$2:$B$115,"&gt;="&amp;A47,'USt-Monatsübersicht'!$B$2:$B$115,"&lt;"&amp;EDATE(A47,1),'USt-Monatsübersicht'!$G$2:$G$115,"&lt;&gt;Bezahlt")</x:f>
        <x:v>0</x:v>
      </x:c>
      <x:c r="G47" s="191">
        <x:v>2000</x:v>
      </x:c>
      <x:c r="H47" s="191">
        <x:v>0</x:v>
      </x:c>
      <x:c r="I47" s="191">
        <x:v>480</x:v>
      </x:c>
      <x:c r="J47" s="191">
        <x:v>500</x:v>
      </x:c>
      <x:c r="K47" s="191">
        <x:v>0</x:v>
      </x:c>
      <x:c r="L47" s="191">
        <x:v>500</x:v>
      </x:c>
      <x:c r="M47" s="190">
        <x:f t="shared" si="4"/>
        <x:v>-178452.61</x:v>
      </x:c>
      <x:c r="N47" s="192" t="str">
        <x:f t="shared" si="5"/>
        <x:v>KRITISCH</x:v>
      </x:c>
      <x:c r="O47" s="1"/>
      <x:c r="P47" s="1"/>
      <x:c r="Q47" s="1"/>
      <x:c r="R47" s="1"/>
    </x:row>
    <x:row r="48">
      <x:c r="A48" s="189">
        <x:v>47604</x:v>
      </x:c>
      <x:c r="B48" s="190">
        <x:f t="shared" si="3"/>
        <x:v>-178452.61</x:v>
      </x:c>
      <x:c r="C48" s="190" t="n">
        <x:f>SUMIFS(Ausgangsrechnungen!$G$2:$G$301,Ausgangsrechnungen!$J$2:$J$301,"&gt;="&amp;A48,Ausgangsrechnungen!$J$2:$J$301,"&lt;"&amp;EDATE(A48,1))+SUMIFS(Ausgangsrechnungen!$H$2:$H$301,Ausgangsrechnungen!$E$2:$E$301,"&gt;="&amp;A48,Ausgangsrechnungen!$E$2:$E$301,"&lt;"&amp;EDATE(A48,1),Ausgangsrechnungen!$I$2:$I$301,"&lt;&gt;Bezahlt")</x:f>
        <x:v>0</x:v>
      </x:c>
      <x:c r="D48" s="191"/>
      <x:c r="E48" s="190" t="n">
        <x:f>SUMIFS(Eingangsrechnungen!$N$2:$N$301,Eingangsrechnungen!$J$2:$J$301,"&gt;="&amp;A48,Eingangsrechnungen!$J$2:$J$301,"&lt;"&amp;EDATE(A48,1))+SUMIFS(Eingangsrechnungen!$N$2:$N$301,Eingangsrechnungen!$E$2:$E$301,"&gt;="&amp;A48,Eingangsrechnungen!$E$2:$E$301,"&lt;"&amp;EDATE(A48,1),Eingangsrechnungen!$J$2:$J$301,"")</x:f>
        <x:v>0</x:v>
      </x:c>
      <x:c r="F48" s="190" t="n">
        <x:f>SUMIFS(Steuerkalender!$D$2:$D$100,Steuerkalender!$F$2:$F$100,"&gt;="&amp;A48,Steuerkalender!$F$2:$F$100,"&lt;"&amp;EDATE(A48,1))+SUMIFS(Steuerkalender!$D$2:$D$100,Steuerkalender!$B$2:$B$100,"&gt;="&amp;A48,Steuerkalender!$B$2:$B$100,"&lt;"&amp;EDATE(A48,1),Steuerkalender!$E$2:$E$100,"&lt;&gt;Bezahlt")+SUMIFS('USt-Monatsübersicht'!$F$2:$F$115,'USt-Monatsübersicht'!$H$2:$H$115,"&gt;="&amp;A48,'USt-Monatsübersicht'!$H$2:$H$115,"&lt;"&amp;EDATE(A48,1))+SUMIFS('USt-Monatsübersicht'!$F$2:$F$115,'USt-Monatsübersicht'!$B$2:$B$115,"&gt;="&amp;A48,'USt-Monatsübersicht'!$B$2:$B$115,"&lt;"&amp;EDATE(A48,1),'USt-Monatsübersicht'!$G$2:$G$115,"&lt;&gt;Bezahlt")</x:f>
        <x:v>0</x:v>
      </x:c>
      <x:c r="G48" s="191">
        <x:v>2000</x:v>
      </x:c>
      <x:c r="H48" s="191">
        <x:v>0</x:v>
      </x:c>
      <x:c r="I48" s="191">
        <x:v>480</x:v>
      </x:c>
      <x:c r="J48" s="191">
        <x:v>500</x:v>
      </x:c>
      <x:c r="K48" s="191">
        <x:v>0</x:v>
      </x:c>
      <x:c r="L48" s="191">
        <x:v>500</x:v>
      </x:c>
      <x:c r="M48" s="190">
        <x:f t="shared" si="4"/>
        <x:v>-181932.61</x:v>
      </x:c>
      <x:c r="N48" s="192" t="str">
        <x:f t="shared" si="5"/>
        <x:v>KRITISCH</x:v>
      </x:c>
      <x:c r="O48" s="1"/>
      <x:c r="P48" s="1"/>
      <x:c r="Q48" s="1"/>
      <x:c r="R48" s="1"/>
    </x:row>
    <x:row r="49">
      <x:c r="A49" s="189">
        <x:v>47635</x:v>
      </x:c>
      <x:c r="B49" s="190">
        <x:f t="shared" si="3"/>
        <x:v>-181932.61</x:v>
      </x:c>
      <x:c r="C49" s="190" t="n">
        <x:f>SUMIFS(Ausgangsrechnungen!$G$2:$G$301,Ausgangsrechnungen!$J$2:$J$301,"&gt;="&amp;A49,Ausgangsrechnungen!$J$2:$J$301,"&lt;"&amp;EDATE(A49,1))+SUMIFS(Ausgangsrechnungen!$H$2:$H$301,Ausgangsrechnungen!$E$2:$E$301,"&gt;="&amp;A49,Ausgangsrechnungen!$E$2:$E$301,"&lt;"&amp;EDATE(A49,1),Ausgangsrechnungen!$I$2:$I$301,"&lt;&gt;Bezahlt")</x:f>
        <x:v>0</x:v>
      </x:c>
      <x:c r="D49" s="191"/>
      <x:c r="E49" s="190" t="n">
        <x:f>SUMIFS(Eingangsrechnungen!$N$2:$N$301,Eingangsrechnungen!$J$2:$J$301,"&gt;="&amp;A49,Eingangsrechnungen!$J$2:$J$301,"&lt;"&amp;EDATE(A49,1))+SUMIFS(Eingangsrechnungen!$N$2:$N$301,Eingangsrechnungen!$E$2:$E$301,"&gt;="&amp;A49,Eingangsrechnungen!$E$2:$E$301,"&lt;"&amp;EDATE(A49,1),Eingangsrechnungen!$J$2:$J$301,"")</x:f>
        <x:v>0</x:v>
      </x:c>
      <x:c r="F49" s="190" t="n">
        <x:f>SUMIFS(Steuerkalender!$D$2:$D$100,Steuerkalender!$F$2:$F$100,"&gt;="&amp;A49,Steuerkalender!$F$2:$F$100,"&lt;"&amp;EDATE(A49,1))+SUMIFS(Steuerkalender!$D$2:$D$100,Steuerkalender!$B$2:$B$100,"&gt;="&amp;A49,Steuerkalender!$B$2:$B$100,"&lt;"&amp;EDATE(A49,1),Steuerkalender!$E$2:$E$100,"&lt;&gt;Bezahlt")+SUMIFS('USt-Monatsübersicht'!$F$2:$F$115,'USt-Monatsübersicht'!$H$2:$H$115,"&gt;="&amp;A49,'USt-Monatsübersicht'!$H$2:$H$115,"&lt;"&amp;EDATE(A49,1))+SUMIFS('USt-Monatsübersicht'!$F$2:$F$115,'USt-Monatsübersicht'!$B$2:$B$115,"&gt;="&amp;A49,'USt-Monatsübersicht'!$B$2:$B$115,"&lt;"&amp;EDATE(A49,1),'USt-Monatsübersicht'!$G$2:$G$115,"&lt;&gt;Bezahlt")</x:f>
        <x:v>0</x:v>
      </x:c>
      <x:c r="G49" s="191">
        <x:v>2000</x:v>
      </x:c>
      <x:c r="H49" s="191">
        <x:v>0</x:v>
      </x:c>
      <x:c r="I49" s="191">
        <x:v>480</x:v>
      </x:c>
      <x:c r="J49" s="191">
        <x:v>500</x:v>
      </x:c>
      <x:c r="K49" s="191">
        <x:v>0</x:v>
      </x:c>
      <x:c r="L49" s="191">
        <x:v>500</x:v>
      </x:c>
      <x:c r="M49" s="190">
        <x:f t="shared" si="4"/>
        <x:v>-185412.61</x:v>
      </x:c>
      <x:c r="N49" s="192" t="str">
        <x:f t="shared" si="5"/>
        <x:v>KRITISCH</x:v>
      </x:c>
      <x:c r="O49" s="1"/>
      <x:c r="P49" s="1"/>
      <x:c r="Q49" s="1"/>
      <x:c r="R49" s="1"/>
    </x:row>
    <x:row r="50">
      <x:c r="A50" s="189">
        <x:v>47665</x:v>
      </x:c>
      <x:c r="B50" s="190">
        <x:f t="shared" si="3"/>
        <x:v>-185412.61</x:v>
      </x:c>
      <x:c r="C50" s="190" t="n">
        <x:f>SUMIFS(Ausgangsrechnungen!$G$2:$G$301,Ausgangsrechnungen!$J$2:$J$301,"&gt;="&amp;A50,Ausgangsrechnungen!$J$2:$J$301,"&lt;"&amp;EDATE(A50,1))+SUMIFS(Ausgangsrechnungen!$H$2:$H$301,Ausgangsrechnungen!$E$2:$E$301,"&gt;="&amp;A50,Ausgangsrechnungen!$E$2:$E$301,"&lt;"&amp;EDATE(A50,1),Ausgangsrechnungen!$I$2:$I$301,"&lt;&gt;Bezahlt")</x:f>
        <x:v>0</x:v>
      </x:c>
      <x:c r="D50" s="191"/>
      <x:c r="E50" s="190" t="n">
        <x:f>SUMIFS(Eingangsrechnungen!$N$2:$N$301,Eingangsrechnungen!$J$2:$J$301,"&gt;="&amp;A50,Eingangsrechnungen!$J$2:$J$301,"&lt;"&amp;EDATE(A50,1))+SUMIFS(Eingangsrechnungen!$N$2:$N$301,Eingangsrechnungen!$E$2:$E$301,"&gt;="&amp;A50,Eingangsrechnungen!$E$2:$E$301,"&lt;"&amp;EDATE(A50,1),Eingangsrechnungen!$J$2:$J$301,"")</x:f>
        <x:v>0</x:v>
      </x:c>
      <x:c r="F50" s="190" t="n">
        <x:f>SUMIFS(Steuerkalender!$D$2:$D$100,Steuerkalender!$F$2:$F$100,"&gt;="&amp;A50,Steuerkalender!$F$2:$F$100,"&lt;"&amp;EDATE(A50,1))+SUMIFS(Steuerkalender!$D$2:$D$100,Steuerkalender!$B$2:$B$100,"&gt;="&amp;A50,Steuerkalender!$B$2:$B$100,"&lt;"&amp;EDATE(A50,1),Steuerkalender!$E$2:$E$100,"&lt;&gt;Bezahlt")+SUMIFS('USt-Monatsübersicht'!$F$2:$F$115,'USt-Monatsübersicht'!$H$2:$H$115,"&gt;="&amp;A50,'USt-Monatsübersicht'!$H$2:$H$115,"&lt;"&amp;EDATE(A50,1))+SUMIFS('USt-Monatsübersicht'!$F$2:$F$115,'USt-Monatsübersicht'!$B$2:$B$115,"&gt;="&amp;A50,'USt-Monatsübersicht'!$B$2:$B$115,"&lt;"&amp;EDATE(A50,1),'USt-Monatsübersicht'!$G$2:$G$115,"&lt;&gt;Bezahlt")</x:f>
        <x:v>0</x:v>
      </x:c>
      <x:c r="G50" s="191">
        <x:v>2000</x:v>
      </x:c>
      <x:c r="H50" s="191">
        <x:v>0</x:v>
      </x:c>
      <x:c r="I50" s="191">
        <x:v>480</x:v>
      </x:c>
      <x:c r="J50" s="191">
        <x:v>500</x:v>
      </x:c>
      <x:c r="K50" s="191">
        <x:v>0</x:v>
      </x:c>
      <x:c r="L50" s="191">
        <x:v>500</x:v>
      </x:c>
      <x:c r="M50" s="190">
        <x:f t="shared" si="4"/>
        <x:v>-188892.61</x:v>
      </x:c>
      <x:c r="N50" s="192" t="str">
        <x:f t="shared" si="5"/>
        <x:v>KRITISCH</x:v>
      </x:c>
      <x:c r="O50" s="1"/>
      <x:c r="P50" s="1"/>
      <x:c r="Q50" s="1"/>
      <x:c r="R50" s="1"/>
    </x:row>
    <x:row r="51">
      <x:c r="A51" s="189">
        <x:v>47696</x:v>
      </x:c>
      <x:c r="B51" s="190">
        <x:f t="shared" si="3"/>
        <x:v>-188892.61</x:v>
      </x:c>
      <x:c r="C51" s="190" t="n">
        <x:f>SUMIFS(Ausgangsrechnungen!$G$2:$G$301,Ausgangsrechnungen!$J$2:$J$301,"&gt;="&amp;A51,Ausgangsrechnungen!$J$2:$J$301,"&lt;"&amp;EDATE(A51,1))+SUMIFS(Ausgangsrechnungen!$H$2:$H$301,Ausgangsrechnungen!$E$2:$E$301,"&gt;="&amp;A51,Ausgangsrechnungen!$E$2:$E$301,"&lt;"&amp;EDATE(A51,1),Ausgangsrechnungen!$I$2:$I$301,"&lt;&gt;Bezahlt")</x:f>
        <x:v>0</x:v>
      </x:c>
      <x:c r="D51" s="191"/>
      <x:c r="E51" s="190" t="n">
        <x:f>SUMIFS(Eingangsrechnungen!$N$2:$N$301,Eingangsrechnungen!$J$2:$J$301,"&gt;="&amp;A51,Eingangsrechnungen!$J$2:$J$301,"&lt;"&amp;EDATE(A51,1))+SUMIFS(Eingangsrechnungen!$N$2:$N$301,Eingangsrechnungen!$E$2:$E$301,"&gt;="&amp;A51,Eingangsrechnungen!$E$2:$E$301,"&lt;"&amp;EDATE(A51,1),Eingangsrechnungen!$J$2:$J$301,"")</x:f>
        <x:v>0</x:v>
      </x:c>
      <x:c r="F51" s="190" t="n">
        <x:f>SUMIFS(Steuerkalender!$D$2:$D$100,Steuerkalender!$F$2:$F$100,"&gt;="&amp;A51,Steuerkalender!$F$2:$F$100,"&lt;"&amp;EDATE(A51,1))+SUMIFS(Steuerkalender!$D$2:$D$100,Steuerkalender!$B$2:$B$100,"&gt;="&amp;A51,Steuerkalender!$B$2:$B$100,"&lt;"&amp;EDATE(A51,1),Steuerkalender!$E$2:$E$100,"&lt;&gt;Bezahlt")+SUMIFS('USt-Monatsübersicht'!$F$2:$F$115,'USt-Monatsübersicht'!$H$2:$H$115,"&gt;="&amp;A51,'USt-Monatsübersicht'!$H$2:$H$115,"&lt;"&amp;EDATE(A51,1))+SUMIFS('USt-Monatsübersicht'!$F$2:$F$115,'USt-Monatsübersicht'!$B$2:$B$115,"&gt;="&amp;A51,'USt-Monatsübersicht'!$B$2:$B$115,"&lt;"&amp;EDATE(A51,1),'USt-Monatsübersicht'!$G$2:$G$115,"&lt;&gt;Bezahlt")</x:f>
        <x:v>0</x:v>
      </x:c>
      <x:c r="G51" s="191">
        <x:v>2000</x:v>
      </x:c>
      <x:c r="H51" s="191">
        <x:v>0</x:v>
      </x:c>
      <x:c r="I51" s="191">
        <x:v>480</x:v>
      </x:c>
      <x:c r="J51" s="191">
        <x:v>500</x:v>
      </x:c>
      <x:c r="K51" s="191">
        <x:v>0</x:v>
      </x:c>
      <x:c r="L51" s="191">
        <x:v>500</x:v>
      </x:c>
      <x:c r="M51" s="190">
        <x:f t="shared" si="4"/>
        <x:v>-192372.61</x:v>
      </x:c>
      <x:c r="N51" s="192" t="str">
        <x:f t="shared" si="5"/>
        <x:v>KRITISCH</x:v>
      </x:c>
      <x:c r="O51" s="1"/>
      <x:c r="P51" s="1"/>
      <x:c r="Q51" s="1"/>
      <x:c r="R51" s="1"/>
    </x:row>
    <x:row r="52">
      <x:c r="A52" s="189">
        <x:v>47727</x:v>
      </x:c>
      <x:c r="B52" s="190" t="n">
        <x:f t="shared" ref="B52:B83" si="6">M51</x:f>
        <x:v>-192372.61</x:v>
      </x:c>
      <x:c r="C52" s="190" t="n">
        <x:f>SUMIFS(Ausgangsrechnungen!$G$2:$G$301,Ausgangsrechnungen!$J$2:$J$301,"&gt;="&amp;A52,Ausgangsrechnungen!$J$2:$J$301,"&lt;"&amp;EDATE(A52,1))+SUMIFS(Ausgangsrechnungen!$H$2:$H$301,Ausgangsrechnungen!$E$2:$E$301,"&gt;="&amp;A52,Ausgangsrechnungen!$E$2:$E$301,"&lt;"&amp;EDATE(A52,1),Ausgangsrechnungen!$I$2:$I$301,"&lt;&gt;Bezahlt")</x:f>
        <x:v>0</x:v>
      </x:c>
      <x:c r="D52" s="191"/>
      <x:c r="E52" s="190" t="n">
        <x:f>SUMIFS(Eingangsrechnungen!$N$2:$N$301,Eingangsrechnungen!$J$2:$J$301,"&gt;="&amp;A52,Eingangsrechnungen!$J$2:$J$301,"&lt;"&amp;EDATE(A52,1))+SUMIFS(Eingangsrechnungen!$N$2:$N$301,Eingangsrechnungen!$E$2:$E$301,"&gt;="&amp;A52,Eingangsrechnungen!$E$2:$E$301,"&lt;"&amp;EDATE(A52,1),Eingangsrechnungen!$J$2:$J$301,"")</x:f>
        <x:v>0</x:v>
      </x:c>
      <x:c r="F52" s="190" t="n">
        <x:f>SUMIFS(Steuerkalender!$D$2:$D$100,Steuerkalender!$F$2:$F$100,"&gt;="&amp;A52,Steuerkalender!$F$2:$F$100,"&lt;"&amp;EDATE(A52,1))+SUMIFS(Steuerkalender!$D$2:$D$100,Steuerkalender!$B$2:$B$100,"&gt;="&amp;A52,Steuerkalender!$B$2:$B$100,"&lt;"&amp;EDATE(A52,1),Steuerkalender!$E$2:$E$100,"&lt;&gt;Bezahlt")+SUMIFS('USt-Monatsübersicht'!$F$2:$F$115,'USt-Monatsübersicht'!$H$2:$H$115,"&gt;="&amp;A52,'USt-Monatsübersicht'!$H$2:$H$115,"&lt;"&amp;EDATE(A52,1))+SUMIFS('USt-Monatsübersicht'!$F$2:$F$115,'USt-Monatsübersicht'!$B$2:$B$115,"&gt;="&amp;A52,'USt-Monatsübersicht'!$B$2:$B$115,"&lt;"&amp;EDATE(A52,1),'USt-Monatsübersicht'!$G$2:$G$115,"&lt;&gt;Bezahlt")</x:f>
        <x:v>0</x:v>
      </x:c>
      <x:c r="G52" s="191">
        <x:v>2000</x:v>
      </x:c>
      <x:c r="H52" s="191">
        <x:v>0</x:v>
      </x:c>
      <x:c r="I52" s="191">
        <x:v>480</x:v>
      </x:c>
      <x:c r="J52" s="191">
        <x:v>500</x:v>
      </x:c>
      <x:c r="K52" s="191">
        <x:v>0</x:v>
      </x:c>
      <x:c r="L52" s="191">
        <x:v>500</x:v>
      </x:c>
      <x:c r="M52" s="190" t="n">
        <x:f t="shared" ref="M52:M83" si="7">B52+C52+D52-E52-F52-G52-H52-I52-J52-K52-L52</x:f>
        <x:v>-195852.61</x:v>
      </x:c>
      <x:c r="N52" s="192" t="str">
        <x:f t="shared" si="5"/>
        <x:v>KRITISCH</x:v>
      </x:c>
      <x:c r="O52" s="1"/>
      <x:c r="P52" s="1"/>
      <x:c r="Q52" s="1"/>
      <x:c r="R52" s="1"/>
    </x:row>
    <x:row r="53">
      <x:c r="A53" s="189">
        <x:v>47757</x:v>
      </x:c>
      <x:c r="B53" s="190">
        <x:f t="shared" si="6"/>
        <x:v>-195852.61</x:v>
      </x:c>
      <x:c r="C53" s="190" t="n">
        <x:f>SUMIFS(Ausgangsrechnungen!$G$2:$G$301,Ausgangsrechnungen!$J$2:$J$301,"&gt;="&amp;A53,Ausgangsrechnungen!$J$2:$J$301,"&lt;"&amp;EDATE(A53,1))+SUMIFS(Ausgangsrechnungen!$H$2:$H$301,Ausgangsrechnungen!$E$2:$E$301,"&gt;="&amp;A53,Ausgangsrechnungen!$E$2:$E$301,"&lt;"&amp;EDATE(A53,1),Ausgangsrechnungen!$I$2:$I$301,"&lt;&gt;Bezahlt")</x:f>
        <x:v>0</x:v>
      </x:c>
      <x:c r="D53" s="191"/>
      <x:c r="E53" s="190" t="n">
        <x:f>SUMIFS(Eingangsrechnungen!$N$2:$N$301,Eingangsrechnungen!$J$2:$J$301,"&gt;="&amp;A53,Eingangsrechnungen!$J$2:$J$301,"&lt;"&amp;EDATE(A53,1))+SUMIFS(Eingangsrechnungen!$N$2:$N$301,Eingangsrechnungen!$E$2:$E$301,"&gt;="&amp;A53,Eingangsrechnungen!$E$2:$E$301,"&lt;"&amp;EDATE(A53,1),Eingangsrechnungen!$J$2:$J$301,"")</x:f>
        <x:v>0</x:v>
      </x:c>
      <x:c r="F53" s="190" t="n">
        <x:f>SUMIFS(Steuerkalender!$D$2:$D$100,Steuerkalender!$F$2:$F$100,"&gt;="&amp;A53,Steuerkalender!$F$2:$F$100,"&lt;"&amp;EDATE(A53,1))+SUMIFS(Steuerkalender!$D$2:$D$100,Steuerkalender!$B$2:$B$100,"&gt;="&amp;A53,Steuerkalender!$B$2:$B$100,"&lt;"&amp;EDATE(A53,1),Steuerkalender!$E$2:$E$100,"&lt;&gt;Bezahlt")+SUMIFS('USt-Monatsübersicht'!$F$2:$F$115,'USt-Monatsübersicht'!$H$2:$H$115,"&gt;="&amp;A53,'USt-Monatsübersicht'!$H$2:$H$115,"&lt;"&amp;EDATE(A53,1))+SUMIFS('USt-Monatsübersicht'!$F$2:$F$115,'USt-Monatsübersicht'!$B$2:$B$115,"&gt;="&amp;A53,'USt-Monatsübersicht'!$B$2:$B$115,"&lt;"&amp;EDATE(A53,1),'USt-Monatsübersicht'!$G$2:$G$115,"&lt;&gt;Bezahlt")</x:f>
        <x:v>0</x:v>
      </x:c>
      <x:c r="G53" s="191">
        <x:v>2000</x:v>
      </x:c>
      <x:c r="H53" s="191">
        <x:v>0</x:v>
      </x:c>
      <x:c r="I53" s="191">
        <x:v>480</x:v>
      </x:c>
      <x:c r="J53" s="191">
        <x:v>500</x:v>
      </x:c>
      <x:c r="K53" s="191">
        <x:v>0</x:v>
      </x:c>
      <x:c r="L53" s="191">
        <x:v>500</x:v>
      </x:c>
      <x:c r="M53" s="190">
        <x:f t="shared" si="7"/>
        <x:v>-199332.61</x:v>
      </x:c>
      <x:c r="N53" s="192" t="str">
        <x:f t="shared" si="5"/>
        <x:v>KRITISCH</x:v>
      </x:c>
      <x:c r="O53" s="1"/>
      <x:c r="P53" s="1"/>
      <x:c r="Q53" s="1"/>
      <x:c r="R53" s="1"/>
    </x:row>
    <x:row r="54">
      <x:c r="A54" s="189">
        <x:v>47788</x:v>
      </x:c>
      <x:c r="B54" s="190">
        <x:f t="shared" si="6"/>
        <x:v>-199332.61</x:v>
      </x:c>
      <x:c r="C54" s="190" t="n">
        <x:f>SUMIFS(Ausgangsrechnungen!$G$2:$G$301,Ausgangsrechnungen!$J$2:$J$301,"&gt;="&amp;A54,Ausgangsrechnungen!$J$2:$J$301,"&lt;"&amp;EDATE(A54,1))+SUMIFS(Ausgangsrechnungen!$H$2:$H$301,Ausgangsrechnungen!$E$2:$E$301,"&gt;="&amp;A54,Ausgangsrechnungen!$E$2:$E$301,"&lt;"&amp;EDATE(A54,1),Ausgangsrechnungen!$I$2:$I$301,"&lt;&gt;Bezahlt")</x:f>
        <x:v>0</x:v>
      </x:c>
      <x:c r="D54" s="191"/>
      <x:c r="E54" s="190" t="n">
        <x:f>SUMIFS(Eingangsrechnungen!$N$2:$N$301,Eingangsrechnungen!$J$2:$J$301,"&gt;="&amp;A54,Eingangsrechnungen!$J$2:$J$301,"&lt;"&amp;EDATE(A54,1))+SUMIFS(Eingangsrechnungen!$N$2:$N$301,Eingangsrechnungen!$E$2:$E$301,"&gt;="&amp;A54,Eingangsrechnungen!$E$2:$E$301,"&lt;"&amp;EDATE(A54,1),Eingangsrechnungen!$J$2:$J$301,"")</x:f>
        <x:v>0</x:v>
      </x:c>
      <x:c r="F54" s="190" t="n">
        <x:f>SUMIFS(Steuerkalender!$D$2:$D$100,Steuerkalender!$F$2:$F$100,"&gt;="&amp;A54,Steuerkalender!$F$2:$F$100,"&lt;"&amp;EDATE(A54,1))+SUMIFS(Steuerkalender!$D$2:$D$100,Steuerkalender!$B$2:$B$100,"&gt;="&amp;A54,Steuerkalender!$B$2:$B$100,"&lt;"&amp;EDATE(A54,1),Steuerkalender!$E$2:$E$100,"&lt;&gt;Bezahlt")+SUMIFS('USt-Monatsübersicht'!$F$2:$F$115,'USt-Monatsübersicht'!$H$2:$H$115,"&gt;="&amp;A54,'USt-Monatsübersicht'!$H$2:$H$115,"&lt;"&amp;EDATE(A54,1))+SUMIFS('USt-Monatsübersicht'!$F$2:$F$115,'USt-Monatsübersicht'!$B$2:$B$115,"&gt;="&amp;A54,'USt-Monatsübersicht'!$B$2:$B$115,"&lt;"&amp;EDATE(A54,1),'USt-Monatsübersicht'!$G$2:$G$115,"&lt;&gt;Bezahlt")</x:f>
        <x:v>0</x:v>
      </x:c>
      <x:c r="G54" s="191">
        <x:v>2000</x:v>
      </x:c>
      <x:c r="H54" s="191">
        <x:v>0</x:v>
      </x:c>
      <x:c r="I54" s="191">
        <x:v>480</x:v>
      </x:c>
      <x:c r="J54" s="191">
        <x:v>500</x:v>
      </x:c>
      <x:c r="K54" s="191">
        <x:v>0</x:v>
      </x:c>
      <x:c r="L54" s="191">
        <x:v>500</x:v>
      </x:c>
      <x:c r="M54" s="190">
        <x:f t="shared" si="7"/>
        <x:v>-202812.61</x:v>
      </x:c>
      <x:c r="N54" s="192" t="str">
        <x:f t="shared" si="5"/>
        <x:v>KRITISCH</x:v>
      </x:c>
      <x:c r="O54" s="1"/>
      <x:c r="P54" s="1"/>
      <x:c r="Q54" s="1"/>
      <x:c r="R54" s="1"/>
    </x:row>
    <x:row r="55">
      <x:c r="A55" s="189">
        <x:v>47818</x:v>
      </x:c>
      <x:c r="B55" s="190">
        <x:f t="shared" si="6"/>
        <x:v>-202812.61</x:v>
      </x:c>
      <x:c r="C55" s="190" t="n">
        <x:f>SUMIFS(Ausgangsrechnungen!$G$2:$G$301,Ausgangsrechnungen!$J$2:$J$301,"&gt;="&amp;A55,Ausgangsrechnungen!$J$2:$J$301,"&lt;"&amp;EDATE(A55,1))+SUMIFS(Ausgangsrechnungen!$H$2:$H$301,Ausgangsrechnungen!$E$2:$E$301,"&gt;="&amp;A55,Ausgangsrechnungen!$E$2:$E$301,"&lt;"&amp;EDATE(A55,1),Ausgangsrechnungen!$I$2:$I$301,"&lt;&gt;Bezahlt")</x:f>
        <x:v>0</x:v>
      </x:c>
      <x:c r="D55" s="191"/>
      <x:c r="E55" s="190" t="n">
        <x:f>SUMIFS(Eingangsrechnungen!$N$2:$N$301,Eingangsrechnungen!$J$2:$J$301,"&gt;="&amp;A55,Eingangsrechnungen!$J$2:$J$301,"&lt;"&amp;EDATE(A55,1))+SUMIFS(Eingangsrechnungen!$N$2:$N$301,Eingangsrechnungen!$E$2:$E$301,"&gt;="&amp;A55,Eingangsrechnungen!$E$2:$E$301,"&lt;"&amp;EDATE(A55,1),Eingangsrechnungen!$J$2:$J$301,"")</x:f>
        <x:v>0</x:v>
      </x:c>
      <x:c r="F55" s="190" t="n">
        <x:f>SUMIFS(Steuerkalender!$D$2:$D$100,Steuerkalender!$F$2:$F$100,"&gt;="&amp;A55,Steuerkalender!$F$2:$F$100,"&lt;"&amp;EDATE(A55,1))+SUMIFS(Steuerkalender!$D$2:$D$100,Steuerkalender!$B$2:$B$100,"&gt;="&amp;A55,Steuerkalender!$B$2:$B$100,"&lt;"&amp;EDATE(A55,1),Steuerkalender!$E$2:$E$100,"&lt;&gt;Bezahlt")+SUMIFS('USt-Monatsübersicht'!$F$2:$F$115,'USt-Monatsübersicht'!$H$2:$H$115,"&gt;="&amp;A55,'USt-Monatsübersicht'!$H$2:$H$115,"&lt;"&amp;EDATE(A55,1))+SUMIFS('USt-Monatsübersicht'!$F$2:$F$115,'USt-Monatsübersicht'!$B$2:$B$115,"&gt;="&amp;A55,'USt-Monatsübersicht'!$B$2:$B$115,"&lt;"&amp;EDATE(A55,1),'USt-Monatsübersicht'!$G$2:$G$115,"&lt;&gt;Bezahlt")</x:f>
        <x:v>0</x:v>
      </x:c>
      <x:c r="G55" s="191">
        <x:v>2000</x:v>
      </x:c>
      <x:c r="H55" s="191">
        <x:v>0</x:v>
      </x:c>
      <x:c r="I55" s="191">
        <x:v>480</x:v>
      </x:c>
      <x:c r="J55" s="191">
        <x:v>500</x:v>
      </x:c>
      <x:c r="K55" s="191">
        <x:v>0</x:v>
      </x:c>
      <x:c r="L55" s="191">
        <x:v>500</x:v>
      </x:c>
      <x:c r="M55" s="190">
        <x:f t="shared" si="7"/>
        <x:v>-206292.61</x:v>
      </x:c>
      <x:c r="N55" s="192" t="str">
        <x:f t="shared" si="5"/>
        <x:v>KRITISCH</x:v>
      </x:c>
      <x:c r="O55" s="1"/>
      <x:c r="P55" s="1"/>
      <x:c r="Q55" s="1"/>
      <x:c r="R55" s="1"/>
    </x:row>
    <x:row r="56">
      <x:c r="A56" s="189">
        <x:v>47849</x:v>
      </x:c>
      <x:c r="B56" s="190">
        <x:f t="shared" si="6"/>
        <x:v>-206292.61</x:v>
      </x:c>
      <x:c r="C56" s="190" t="n">
        <x:f>SUMIFS(Ausgangsrechnungen!$G$2:$G$301,Ausgangsrechnungen!$J$2:$J$301,"&gt;="&amp;A56,Ausgangsrechnungen!$J$2:$J$301,"&lt;"&amp;EDATE(A56,1))+SUMIFS(Ausgangsrechnungen!$H$2:$H$301,Ausgangsrechnungen!$E$2:$E$301,"&gt;="&amp;A56,Ausgangsrechnungen!$E$2:$E$301,"&lt;"&amp;EDATE(A56,1),Ausgangsrechnungen!$I$2:$I$301,"&lt;&gt;Bezahlt")</x:f>
        <x:v>0</x:v>
      </x:c>
      <x:c r="D56" s="191"/>
      <x:c r="E56" s="190" t="n">
        <x:f>SUMIFS(Eingangsrechnungen!$N$2:$N$301,Eingangsrechnungen!$J$2:$J$301,"&gt;="&amp;A56,Eingangsrechnungen!$J$2:$J$301,"&lt;"&amp;EDATE(A56,1))+SUMIFS(Eingangsrechnungen!$N$2:$N$301,Eingangsrechnungen!$E$2:$E$301,"&gt;="&amp;A56,Eingangsrechnungen!$E$2:$E$301,"&lt;"&amp;EDATE(A56,1),Eingangsrechnungen!$J$2:$J$301,"")</x:f>
        <x:v>0</x:v>
      </x:c>
      <x:c r="F56" s="190" t="n">
        <x:f>SUMIFS(Steuerkalender!$D$2:$D$100,Steuerkalender!$F$2:$F$100,"&gt;="&amp;A56,Steuerkalender!$F$2:$F$100,"&lt;"&amp;EDATE(A56,1))+SUMIFS(Steuerkalender!$D$2:$D$100,Steuerkalender!$B$2:$B$100,"&gt;="&amp;A56,Steuerkalender!$B$2:$B$100,"&lt;"&amp;EDATE(A56,1),Steuerkalender!$E$2:$E$100,"&lt;&gt;Bezahlt")+SUMIFS('USt-Monatsübersicht'!$F$2:$F$115,'USt-Monatsübersicht'!$H$2:$H$115,"&gt;="&amp;A56,'USt-Monatsübersicht'!$H$2:$H$115,"&lt;"&amp;EDATE(A56,1))+SUMIFS('USt-Monatsübersicht'!$F$2:$F$115,'USt-Monatsübersicht'!$B$2:$B$115,"&gt;="&amp;A56,'USt-Monatsübersicht'!$B$2:$B$115,"&lt;"&amp;EDATE(A56,1),'USt-Monatsübersicht'!$G$2:$G$115,"&lt;&gt;Bezahlt")</x:f>
        <x:v>0</x:v>
      </x:c>
      <x:c r="G56" s="191">
        <x:v>2000</x:v>
      </x:c>
      <x:c r="H56" s="191">
        <x:v>0</x:v>
      </x:c>
      <x:c r="I56" s="191">
        <x:v>480</x:v>
      </x:c>
      <x:c r="J56" s="191">
        <x:v>500</x:v>
      </x:c>
      <x:c r="K56" s="191">
        <x:v>0</x:v>
      </x:c>
      <x:c r="L56" s="191">
        <x:v>500</x:v>
      </x:c>
      <x:c r="M56" s="190">
        <x:f t="shared" si="7"/>
        <x:v>-209772.61</x:v>
      </x:c>
      <x:c r="N56" s="192" t="str">
        <x:f t="shared" si="5"/>
        <x:v>KRITISCH</x:v>
      </x:c>
      <x:c r="O56" s="1"/>
      <x:c r="P56" s="1"/>
      <x:c r="Q56" s="1"/>
      <x:c r="R56" s="1"/>
    </x:row>
    <x:row r="57">
      <x:c r="A57" s="189">
        <x:v>47880</x:v>
      </x:c>
      <x:c r="B57" s="190">
        <x:f t="shared" si="6"/>
        <x:v>-209772.61</x:v>
      </x:c>
      <x:c r="C57" s="190" t="n">
        <x:f>SUMIFS(Ausgangsrechnungen!$G$2:$G$301,Ausgangsrechnungen!$J$2:$J$301,"&gt;="&amp;A57,Ausgangsrechnungen!$J$2:$J$301,"&lt;"&amp;EDATE(A57,1))+SUMIFS(Ausgangsrechnungen!$H$2:$H$301,Ausgangsrechnungen!$E$2:$E$301,"&gt;="&amp;A57,Ausgangsrechnungen!$E$2:$E$301,"&lt;"&amp;EDATE(A57,1),Ausgangsrechnungen!$I$2:$I$301,"&lt;&gt;Bezahlt")</x:f>
        <x:v>0</x:v>
      </x:c>
      <x:c r="D57" s="191"/>
      <x:c r="E57" s="190" t="n">
        <x:f>SUMIFS(Eingangsrechnungen!$N$2:$N$301,Eingangsrechnungen!$J$2:$J$301,"&gt;="&amp;A57,Eingangsrechnungen!$J$2:$J$301,"&lt;"&amp;EDATE(A57,1))+SUMIFS(Eingangsrechnungen!$N$2:$N$301,Eingangsrechnungen!$E$2:$E$301,"&gt;="&amp;A57,Eingangsrechnungen!$E$2:$E$301,"&lt;"&amp;EDATE(A57,1),Eingangsrechnungen!$J$2:$J$301,"")</x:f>
        <x:v>0</x:v>
      </x:c>
      <x:c r="F57" s="190" t="n">
        <x:f>SUMIFS(Steuerkalender!$D$2:$D$100,Steuerkalender!$F$2:$F$100,"&gt;="&amp;A57,Steuerkalender!$F$2:$F$100,"&lt;"&amp;EDATE(A57,1))+SUMIFS(Steuerkalender!$D$2:$D$100,Steuerkalender!$B$2:$B$100,"&gt;="&amp;A57,Steuerkalender!$B$2:$B$100,"&lt;"&amp;EDATE(A57,1),Steuerkalender!$E$2:$E$100,"&lt;&gt;Bezahlt")+SUMIFS('USt-Monatsübersicht'!$F$2:$F$115,'USt-Monatsübersicht'!$H$2:$H$115,"&gt;="&amp;A57,'USt-Monatsübersicht'!$H$2:$H$115,"&lt;"&amp;EDATE(A57,1))+SUMIFS('USt-Monatsübersicht'!$F$2:$F$115,'USt-Monatsübersicht'!$B$2:$B$115,"&gt;="&amp;A57,'USt-Monatsübersicht'!$B$2:$B$115,"&lt;"&amp;EDATE(A57,1),'USt-Monatsübersicht'!$G$2:$G$115,"&lt;&gt;Bezahlt")</x:f>
        <x:v>0</x:v>
      </x:c>
      <x:c r="G57" s="191">
        <x:v>2000</x:v>
      </x:c>
      <x:c r="H57" s="191">
        <x:v>0</x:v>
      </x:c>
      <x:c r="I57" s="191">
        <x:v>480</x:v>
      </x:c>
      <x:c r="J57" s="191">
        <x:v>500</x:v>
      </x:c>
      <x:c r="K57" s="191">
        <x:v>0</x:v>
      </x:c>
      <x:c r="L57" s="191">
        <x:v>500</x:v>
      </x:c>
      <x:c r="M57" s="190">
        <x:f t="shared" si="7"/>
        <x:v>-213252.61</x:v>
      </x:c>
      <x:c r="N57" s="192" t="str">
        <x:f t="shared" si="5"/>
        <x:v>KRITISCH</x:v>
      </x:c>
      <x:c r="O57" s="1"/>
      <x:c r="P57" s="1"/>
      <x:c r="Q57" s="1"/>
      <x:c r="R57" s="1"/>
    </x:row>
    <x:row r="58">
      <x:c r="A58" s="189">
        <x:v>47908</x:v>
      </x:c>
      <x:c r="B58" s="190">
        <x:f t="shared" si="6"/>
        <x:v>-213252.61</x:v>
      </x:c>
      <x:c r="C58" s="190" t="n">
        <x:f>SUMIFS(Ausgangsrechnungen!$G$2:$G$301,Ausgangsrechnungen!$J$2:$J$301,"&gt;="&amp;A58,Ausgangsrechnungen!$J$2:$J$301,"&lt;"&amp;EDATE(A58,1))+SUMIFS(Ausgangsrechnungen!$H$2:$H$301,Ausgangsrechnungen!$E$2:$E$301,"&gt;="&amp;A58,Ausgangsrechnungen!$E$2:$E$301,"&lt;"&amp;EDATE(A58,1),Ausgangsrechnungen!$I$2:$I$301,"&lt;&gt;Bezahlt")</x:f>
        <x:v>0</x:v>
      </x:c>
      <x:c r="D58" s="191"/>
      <x:c r="E58" s="190" t="n">
        <x:f>SUMIFS(Eingangsrechnungen!$N$2:$N$301,Eingangsrechnungen!$J$2:$J$301,"&gt;="&amp;A58,Eingangsrechnungen!$J$2:$J$301,"&lt;"&amp;EDATE(A58,1))+SUMIFS(Eingangsrechnungen!$N$2:$N$301,Eingangsrechnungen!$E$2:$E$301,"&gt;="&amp;A58,Eingangsrechnungen!$E$2:$E$301,"&lt;"&amp;EDATE(A58,1),Eingangsrechnungen!$J$2:$J$301,"")</x:f>
        <x:v>0</x:v>
      </x:c>
      <x:c r="F58" s="190" t="n">
        <x:f>SUMIFS(Steuerkalender!$D$2:$D$100,Steuerkalender!$F$2:$F$100,"&gt;="&amp;A58,Steuerkalender!$F$2:$F$100,"&lt;"&amp;EDATE(A58,1))+SUMIFS(Steuerkalender!$D$2:$D$100,Steuerkalender!$B$2:$B$100,"&gt;="&amp;A58,Steuerkalender!$B$2:$B$100,"&lt;"&amp;EDATE(A58,1),Steuerkalender!$E$2:$E$100,"&lt;&gt;Bezahlt")+SUMIFS('USt-Monatsübersicht'!$F$2:$F$115,'USt-Monatsübersicht'!$H$2:$H$115,"&gt;="&amp;A58,'USt-Monatsübersicht'!$H$2:$H$115,"&lt;"&amp;EDATE(A58,1))+SUMIFS('USt-Monatsübersicht'!$F$2:$F$115,'USt-Monatsübersicht'!$B$2:$B$115,"&gt;="&amp;A58,'USt-Monatsübersicht'!$B$2:$B$115,"&lt;"&amp;EDATE(A58,1),'USt-Monatsübersicht'!$G$2:$G$115,"&lt;&gt;Bezahlt")</x:f>
        <x:v>0</x:v>
      </x:c>
      <x:c r="G58" s="191">
        <x:v>2000</x:v>
      </x:c>
      <x:c r="H58" s="191">
        <x:v>0</x:v>
      </x:c>
      <x:c r="I58" s="191">
        <x:v>480</x:v>
      </x:c>
      <x:c r="J58" s="191">
        <x:v>500</x:v>
      </x:c>
      <x:c r="K58" s="191">
        <x:v>0</x:v>
      </x:c>
      <x:c r="L58" s="191">
        <x:v>500</x:v>
      </x:c>
      <x:c r="M58" s="190">
        <x:f t="shared" si="7"/>
        <x:v>-216732.61</x:v>
      </x:c>
      <x:c r="N58" s="192" t="str">
        <x:f t="shared" si="5"/>
        <x:v>KRITISCH</x:v>
      </x:c>
      <x:c r="O58" s="1"/>
      <x:c r="P58" s="1"/>
      <x:c r="Q58" s="1"/>
      <x:c r="R58" s="1"/>
    </x:row>
    <x:row r="59">
      <x:c r="A59" s="189">
        <x:v>47939</x:v>
      </x:c>
      <x:c r="B59" s="190">
        <x:f t="shared" si="6"/>
        <x:v>-216732.61</x:v>
      </x:c>
      <x:c r="C59" s="190" t="n">
        <x:f>SUMIFS(Ausgangsrechnungen!$G$2:$G$301,Ausgangsrechnungen!$J$2:$J$301,"&gt;="&amp;A59,Ausgangsrechnungen!$J$2:$J$301,"&lt;"&amp;EDATE(A59,1))+SUMIFS(Ausgangsrechnungen!$H$2:$H$301,Ausgangsrechnungen!$E$2:$E$301,"&gt;="&amp;A59,Ausgangsrechnungen!$E$2:$E$301,"&lt;"&amp;EDATE(A59,1),Ausgangsrechnungen!$I$2:$I$301,"&lt;&gt;Bezahlt")</x:f>
        <x:v>0</x:v>
      </x:c>
      <x:c r="D59" s="191"/>
      <x:c r="E59" s="190" t="n">
        <x:f>SUMIFS(Eingangsrechnungen!$N$2:$N$301,Eingangsrechnungen!$J$2:$J$301,"&gt;="&amp;A59,Eingangsrechnungen!$J$2:$J$301,"&lt;"&amp;EDATE(A59,1))+SUMIFS(Eingangsrechnungen!$N$2:$N$301,Eingangsrechnungen!$E$2:$E$301,"&gt;="&amp;A59,Eingangsrechnungen!$E$2:$E$301,"&lt;"&amp;EDATE(A59,1),Eingangsrechnungen!$J$2:$J$301,"")</x:f>
        <x:v>0</x:v>
      </x:c>
      <x:c r="F59" s="190" t="n">
        <x:f>SUMIFS(Steuerkalender!$D$2:$D$100,Steuerkalender!$F$2:$F$100,"&gt;="&amp;A59,Steuerkalender!$F$2:$F$100,"&lt;"&amp;EDATE(A59,1))+SUMIFS(Steuerkalender!$D$2:$D$100,Steuerkalender!$B$2:$B$100,"&gt;="&amp;A59,Steuerkalender!$B$2:$B$100,"&lt;"&amp;EDATE(A59,1),Steuerkalender!$E$2:$E$100,"&lt;&gt;Bezahlt")+SUMIFS('USt-Monatsübersicht'!$F$2:$F$115,'USt-Monatsübersicht'!$H$2:$H$115,"&gt;="&amp;A59,'USt-Monatsübersicht'!$H$2:$H$115,"&lt;"&amp;EDATE(A59,1))+SUMIFS('USt-Monatsübersicht'!$F$2:$F$115,'USt-Monatsübersicht'!$B$2:$B$115,"&gt;="&amp;A59,'USt-Monatsübersicht'!$B$2:$B$115,"&lt;"&amp;EDATE(A59,1),'USt-Monatsübersicht'!$G$2:$G$115,"&lt;&gt;Bezahlt")</x:f>
        <x:v>0</x:v>
      </x:c>
      <x:c r="G59" s="191">
        <x:v>2000</x:v>
      </x:c>
      <x:c r="H59" s="191">
        <x:v>0</x:v>
      </x:c>
      <x:c r="I59" s="191">
        <x:v>480</x:v>
      </x:c>
      <x:c r="J59" s="191">
        <x:v>500</x:v>
      </x:c>
      <x:c r="K59" s="191">
        <x:v>0</x:v>
      </x:c>
      <x:c r="L59" s="191">
        <x:v>500</x:v>
      </x:c>
      <x:c r="M59" s="190">
        <x:f t="shared" si="7"/>
        <x:v>-220212.61</x:v>
      </x:c>
      <x:c r="N59" s="192" t="str">
        <x:f t="shared" si="5"/>
        <x:v>KRITISCH</x:v>
      </x:c>
      <x:c r="O59" s="1"/>
      <x:c r="P59" s="1"/>
      <x:c r="Q59" s="1"/>
      <x:c r="R59" s="1"/>
    </x:row>
    <x:row r="60">
      <x:c r="A60" s="189">
        <x:v>47969</x:v>
      </x:c>
      <x:c r="B60" s="190">
        <x:f t="shared" si="6"/>
        <x:v>-220212.61</x:v>
      </x:c>
      <x:c r="C60" s="190" t="n">
        <x:f>SUMIFS(Ausgangsrechnungen!$G$2:$G$301,Ausgangsrechnungen!$J$2:$J$301,"&gt;="&amp;A60,Ausgangsrechnungen!$J$2:$J$301,"&lt;"&amp;EDATE(A60,1))+SUMIFS(Ausgangsrechnungen!$H$2:$H$301,Ausgangsrechnungen!$E$2:$E$301,"&gt;="&amp;A60,Ausgangsrechnungen!$E$2:$E$301,"&lt;"&amp;EDATE(A60,1),Ausgangsrechnungen!$I$2:$I$301,"&lt;&gt;Bezahlt")</x:f>
        <x:v>0</x:v>
      </x:c>
      <x:c r="D60" s="191"/>
      <x:c r="E60" s="190" t="n">
        <x:f>SUMIFS(Eingangsrechnungen!$N$2:$N$301,Eingangsrechnungen!$J$2:$J$301,"&gt;="&amp;A60,Eingangsrechnungen!$J$2:$J$301,"&lt;"&amp;EDATE(A60,1))+SUMIFS(Eingangsrechnungen!$N$2:$N$301,Eingangsrechnungen!$E$2:$E$301,"&gt;="&amp;A60,Eingangsrechnungen!$E$2:$E$301,"&lt;"&amp;EDATE(A60,1),Eingangsrechnungen!$J$2:$J$301,"")</x:f>
        <x:v>0</x:v>
      </x:c>
      <x:c r="F60" s="190" t="n">
        <x:f>SUMIFS(Steuerkalender!$D$2:$D$100,Steuerkalender!$F$2:$F$100,"&gt;="&amp;A60,Steuerkalender!$F$2:$F$100,"&lt;"&amp;EDATE(A60,1))+SUMIFS(Steuerkalender!$D$2:$D$100,Steuerkalender!$B$2:$B$100,"&gt;="&amp;A60,Steuerkalender!$B$2:$B$100,"&lt;"&amp;EDATE(A60,1),Steuerkalender!$E$2:$E$100,"&lt;&gt;Bezahlt")+SUMIFS('USt-Monatsübersicht'!$F$2:$F$115,'USt-Monatsübersicht'!$H$2:$H$115,"&gt;="&amp;A60,'USt-Monatsübersicht'!$H$2:$H$115,"&lt;"&amp;EDATE(A60,1))+SUMIFS('USt-Monatsübersicht'!$F$2:$F$115,'USt-Monatsübersicht'!$B$2:$B$115,"&gt;="&amp;A60,'USt-Monatsübersicht'!$B$2:$B$115,"&lt;"&amp;EDATE(A60,1),'USt-Monatsübersicht'!$G$2:$G$115,"&lt;&gt;Bezahlt")</x:f>
        <x:v>0</x:v>
      </x:c>
      <x:c r="G60" s="191">
        <x:v>2000</x:v>
      </x:c>
      <x:c r="H60" s="191">
        <x:v>0</x:v>
      </x:c>
      <x:c r="I60" s="191">
        <x:v>480</x:v>
      </x:c>
      <x:c r="J60" s="191">
        <x:v>500</x:v>
      </x:c>
      <x:c r="K60" s="191">
        <x:v>0</x:v>
      </x:c>
      <x:c r="L60" s="191">
        <x:v>500</x:v>
      </x:c>
      <x:c r="M60" s="190">
        <x:f t="shared" si="7"/>
        <x:v>-223692.61</x:v>
      </x:c>
      <x:c r="N60" s="192" t="str">
        <x:f t="shared" si="5"/>
        <x:v>KRITISCH</x:v>
      </x:c>
      <x:c r="O60" s="1"/>
      <x:c r="P60" s="1"/>
      <x:c r="Q60" s="1"/>
      <x:c r="R60" s="1"/>
    </x:row>
    <x:row r="61">
      <x:c r="A61" s="189">
        <x:v>48000</x:v>
      </x:c>
      <x:c r="B61" s="190">
        <x:f t="shared" si="6"/>
        <x:v>-223692.61</x:v>
      </x:c>
      <x:c r="C61" s="190" t="n">
        <x:f>SUMIFS(Ausgangsrechnungen!$G$2:$G$301,Ausgangsrechnungen!$J$2:$J$301,"&gt;="&amp;A61,Ausgangsrechnungen!$J$2:$J$301,"&lt;"&amp;EDATE(A61,1))+SUMIFS(Ausgangsrechnungen!$H$2:$H$301,Ausgangsrechnungen!$E$2:$E$301,"&gt;="&amp;A61,Ausgangsrechnungen!$E$2:$E$301,"&lt;"&amp;EDATE(A61,1),Ausgangsrechnungen!$I$2:$I$301,"&lt;&gt;Bezahlt")</x:f>
        <x:v>0</x:v>
      </x:c>
      <x:c r="D61" s="191"/>
      <x:c r="E61" s="190" t="n">
        <x:f>SUMIFS(Eingangsrechnungen!$N$2:$N$301,Eingangsrechnungen!$J$2:$J$301,"&gt;="&amp;A61,Eingangsrechnungen!$J$2:$J$301,"&lt;"&amp;EDATE(A61,1))+SUMIFS(Eingangsrechnungen!$N$2:$N$301,Eingangsrechnungen!$E$2:$E$301,"&gt;="&amp;A61,Eingangsrechnungen!$E$2:$E$301,"&lt;"&amp;EDATE(A61,1),Eingangsrechnungen!$J$2:$J$301,"")</x:f>
        <x:v>0</x:v>
      </x:c>
      <x:c r="F61" s="190" t="n">
        <x:f>SUMIFS(Steuerkalender!$D$2:$D$100,Steuerkalender!$F$2:$F$100,"&gt;="&amp;A61,Steuerkalender!$F$2:$F$100,"&lt;"&amp;EDATE(A61,1))+SUMIFS(Steuerkalender!$D$2:$D$100,Steuerkalender!$B$2:$B$100,"&gt;="&amp;A61,Steuerkalender!$B$2:$B$100,"&lt;"&amp;EDATE(A61,1),Steuerkalender!$E$2:$E$100,"&lt;&gt;Bezahlt")+SUMIFS('USt-Monatsübersicht'!$F$2:$F$115,'USt-Monatsübersicht'!$H$2:$H$115,"&gt;="&amp;A61,'USt-Monatsübersicht'!$H$2:$H$115,"&lt;"&amp;EDATE(A61,1))+SUMIFS('USt-Monatsübersicht'!$F$2:$F$115,'USt-Monatsübersicht'!$B$2:$B$115,"&gt;="&amp;A61,'USt-Monatsübersicht'!$B$2:$B$115,"&lt;"&amp;EDATE(A61,1),'USt-Monatsübersicht'!$G$2:$G$115,"&lt;&gt;Bezahlt")</x:f>
        <x:v>0</x:v>
      </x:c>
      <x:c r="G61" s="191">
        <x:v>2000</x:v>
      </x:c>
      <x:c r="H61" s="191">
        <x:v>0</x:v>
      </x:c>
      <x:c r="I61" s="191">
        <x:v>480</x:v>
      </x:c>
      <x:c r="J61" s="191">
        <x:v>500</x:v>
      </x:c>
      <x:c r="K61" s="191">
        <x:v>0</x:v>
      </x:c>
      <x:c r="L61" s="191">
        <x:v>500</x:v>
      </x:c>
      <x:c r="M61" s="190">
        <x:f t="shared" si="7"/>
        <x:v>-227172.61</x:v>
      </x:c>
      <x:c r="N61" s="192" t="str">
        <x:f t="shared" si="5"/>
        <x:v>KRITISCH</x:v>
      </x:c>
      <x:c r="O61" s="1"/>
      <x:c r="P61" s="1"/>
      <x:c r="Q61" s="1"/>
      <x:c r="R61" s="1"/>
    </x:row>
    <x:row r="62">
      <x:c r="A62" s="189">
        <x:v>48030</x:v>
      </x:c>
      <x:c r="B62" s="190">
        <x:f t="shared" si="6"/>
        <x:v>-227172.61</x:v>
      </x:c>
      <x:c r="C62" s="190" t="n">
        <x:f>SUMIFS(Ausgangsrechnungen!$G$2:$G$301,Ausgangsrechnungen!$J$2:$J$301,"&gt;="&amp;A62,Ausgangsrechnungen!$J$2:$J$301,"&lt;"&amp;EDATE(A62,1))+SUMIFS(Ausgangsrechnungen!$H$2:$H$301,Ausgangsrechnungen!$E$2:$E$301,"&gt;="&amp;A62,Ausgangsrechnungen!$E$2:$E$301,"&lt;"&amp;EDATE(A62,1),Ausgangsrechnungen!$I$2:$I$301,"&lt;&gt;Bezahlt")</x:f>
        <x:v>0</x:v>
      </x:c>
      <x:c r="D62" s="191"/>
      <x:c r="E62" s="190" t="n">
        <x:f>SUMIFS(Eingangsrechnungen!$N$2:$N$301,Eingangsrechnungen!$J$2:$J$301,"&gt;="&amp;A62,Eingangsrechnungen!$J$2:$J$301,"&lt;"&amp;EDATE(A62,1))+SUMIFS(Eingangsrechnungen!$N$2:$N$301,Eingangsrechnungen!$E$2:$E$301,"&gt;="&amp;A62,Eingangsrechnungen!$E$2:$E$301,"&lt;"&amp;EDATE(A62,1),Eingangsrechnungen!$J$2:$J$301,"")</x:f>
        <x:v>0</x:v>
      </x:c>
      <x:c r="F62" s="190" t="n">
        <x:f>SUMIFS(Steuerkalender!$D$2:$D$100,Steuerkalender!$F$2:$F$100,"&gt;="&amp;A62,Steuerkalender!$F$2:$F$100,"&lt;"&amp;EDATE(A62,1))+SUMIFS(Steuerkalender!$D$2:$D$100,Steuerkalender!$B$2:$B$100,"&gt;="&amp;A62,Steuerkalender!$B$2:$B$100,"&lt;"&amp;EDATE(A62,1),Steuerkalender!$E$2:$E$100,"&lt;&gt;Bezahlt")+SUMIFS('USt-Monatsübersicht'!$F$2:$F$115,'USt-Monatsübersicht'!$H$2:$H$115,"&gt;="&amp;A62,'USt-Monatsübersicht'!$H$2:$H$115,"&lt;"&amp;EDATE(A62,1))+SUMIFS('USt-Monatsübersicht'!$F$2:$F$115,'USt-Monatsübersicht'!$B$2:$B$115,"&gt;="&amp;A62,'USt-Monatsübersicht'!$B$2:$B$115,"&lt;"&amp;EDATE(A62,1),'USt-Monatsübersicht'!$G$2:$G$115,"&lt;&gt;Bezahlt")</x:f>
        <x:v>0</x:v>
      </x:c>
      <x:c r="G62" s="191">
        <x:v>2000</x:v>
      </x:c>
      <x:c r="H62" s="191">
        <x:v>0</x:v>
      </x:c>
      <x:c r="I62" s="191">
        <x:v>480</x:v>
      </x:c>
      <x:c r="J62" s="191">
        <x:v>500</x:v>
      </x:c>
      <x:c r="K62" s="191">
        <x:v>0</x:v>
      </x:c>
      <x:c r="L62" s="191">
        <x:v>500</x:v>
      </x:c>
      <x:c r="M62" s="190">
        <x:f t="shared" si="7"/>
        <x:v>-230652.61</x:v>
      </x:c>
      <x:c r="N62" s="192" t="str">
        <x:f t="shared" si="5"/>
        <x:v>KRITISCH</x:v>
      </x:c>
      <x:c r="O62" s="1"/>
      <x:c r="P62" s="1"/>
      <x:c r="Q62" s="1"/>
      <x:c r="R62" s="1"/>
    </x:row>
    <x:row r="63">
      <x:c r="A63" s="189">
        <x:v>48061</x:v>
      </x:c>
      <x:c r="B63" s="190">
        <x:f t="shared" si="6"/>
        <x:v>-230652.61</x:v>
      </x:c>
      <x:c r="C63" s="190" t="n">
        <x:f>SUMIFS(Ausgangsrechnungen!$G$2:$G$301,Ausgangsrechnungen!$J$2:$J$301,"&gt;="&amp;A63,Ausgangsrechnungen!$J$2:$J$301,"&lt;"&amp;EDATE(A63,1))+SUMIFS(Ausgangsrechnungen!$H$2:$H$301,Ausgangsrechnungen!$E$2:$E$301,"&gt;="&amp;A63,Ausgangsrechnungen!$E$2:$E$301,"&lt;"&amp;EDATE(A63,1),Ausgangsrechnungen!$I$2:$I$301,"&lt;&gt;Bezahlt")</x:f>
        <x:v>0</x:v>
      </x:c>
      <x:c r="D63" s="191"/>
      <x:c r="E63" s="190" t="n">
        <x:f>SUMIFS(Eingangsrechnungen!$N$2:$N$301,Eingangsrechnungen!$J$2:$J$301,"&gt;="&amp;A63,Eingangsrechnungen!$J$2:$J$301,"&lt;"&amp;EDATE(A63,1))+SUMIFS(Eingangsrechnungen!$N$2:$N$301,Eingangsrechnungen!$E$2:$E$301,"&gt;="&amp;A63,Eingangsrechnungen!$E$2:$E$301,"&lt;"&amp;EDATE(A63,1),Eingangsrechnungen!$J$2:$J$301,"")</x:f>
        <x:v>0</x:v>
      </x:c>
      <x:c r="F63" s="190" t="n">
        <x:f>SUMIFS(Steuerkalender!$D$2:$D$100,Steuerkalender!$F$2:$F$100,"&gt;="&amp;A63,Steuerkalender!$F$2:$F$100,"&lt;"&amp;EDATE(A63,1))+SUMIFS(Steuerkalender!$D$2:$D$100,Steuerkalender!$B$2:$B$100,"&gt;="&amp;A63,Steuerkalender!$B$2:$B$100,"&lt;"&amp;EDATE(A63,1),Steuerkalender!$E$2:$E$100,"&lt;&gt;Bezahlt")+SUMIFS('USt-Monatsübersicht'!$F$2:$F$115,'USt-Monatsübersicht'!$H$2:$H$115,"&gt;="&amp;A63,'USt-Monatsübersicht'!$H$2:$H$115,"&lt;"&amp;EDATE(A63,1))+SUMIFS('USt-Monatsübersicht'!$F$2:$F$115,'USt-Monatsübersicht'!$B$2:$B$115,"&gt;="&amp;A63,'USt-Monatsübersicht'!$B$2:$B$115,"&lt;"&amp;EDATE(A63,1),'USt-Monatsübersicht'!$G$2:$G$115,"&lt;&gt;Bezahlt")</x:f>
        <x:v>0</x:v>
      </x:c>
      <x:c r="G63" s="191">
        <x:v>2000</x:v>
      </x:c>
      <x:c r="H63" s="191">
        <x:v>0</x:v>
      </x:c>
      <x:c r="I63" s="191">
        <x:v>480</x:v>
      </x:c>
      <x:c r="J63" s="191">
        <x:v>500</x:v>
      </x:c>
      <x:c r="K63" s="191">
        <x:v>0</x:v>
      </x:c>
      <x:c r="L63" s="191">
        <x:v>500</x:v>
      </x:c>
      <x:c r="M63" s="190">
        <x:f t="shared" si="7"/>
        <x:v>-234132.61</x:v>
      </x:c>
      <x:c r="N63" s="192" t="str">
        <x:f t="shared" si="5"/>
        <x:v>KRITISCH</x:v>
      </x:c>
      <x:c r="O63" s="1"/>
      <x:c r="P63" s="1"/>
      <x:c r="Q63" s="1"/>
      <x:c r="R63" s="1"/>
    </x:row>
    <x:row r="64">
      <x:c r="A64" s="189">
        <x:v>48092</x:v>
      </x:c>
      <x:c r="B64" s="190">
        <x:f t="shared" si="6"/>
        <x:v>-234132.61</x:v>
      </x:c>
      <x:c r="C64" s="190" t="n">
        <x:f>SUMIFS(Ausgangsrechnungen!$G$2:$G$301,Ausgangsrechnungen!$J$2:$J$301,"&gt;="&amp;A64,Ausgangsrechnungen!$J$2:$J$301,"&lt;"&amp;EDATE(A64,1))+SUMIFS(Ausgangsrechnungen!$H$2:$H$301,Ausgangsrechnungen!$E$2:$E$301,"&gt;="&amp;A64,Ausgangsrechnungen!$E$2:$E$301,"&lt;"&amp;EDATE(A64,1),Ausgangsrechnungen!$I$2:$I$301,"&lt;&gt;Bezahlt")</x:f>
        <x:v>0</x:v>
      </x:c>
      <x:c r="D64" s="191"/>
      <x:c r="E64" s="190" t="n">
        <x:f>SUMIFS(Eingangsrechnungen!$N$2:$N$301,Eingangsrechnungen!$J$2:$J$301,"&gt;="&amp;A64,Eingangsrechnungen!$J$2:$J$301,"&lt;"&amp;EDATE(A64,1))+SUMIFS(Eingangsrechnungen!$N$2:$N$301,Eingangsrechnungen!$E$2:$E$301,"&gt;="&amp;A64,Eingangsrechnungen!$E$2:$E$301,"&lt;"&amp;EDATE(A64,1),Eingangsrechnungen!$J$2:$J$301,"")</x:f>
        <x:v>0</x:v>
      </x:c>
      <x:c r="F64" s="190" t="n">
        <x:f>SUMIFS(Steuerkalender!$D$2:$D$100,Steuerkalender!$F$2:$F$100,"&gt;="&amp;A64,Steuerkalender!$F$2:$F$100,"&lt;"&amp;EDATE(A64,1))+SUMIFS(Steuerkalender!$D$2:$D$100,Steuerkalender!$B$2:$B$100,"&gt;="&amp;A64,Steuerkalender!$B$2:$B$100,"&lt;"&amp;EDATE(A64,1),Steuerkalender!$E$2:$E$100,"&lt;&gt;Bezahlt")+SUMIFS('USt-Monatsübersicht'!$F$2:$F$115,'USt-Monatsübersicht'!$H$2:$H$115,"&gt;="&amp;A64,'USt-Monatsübersicht'!$H$2:$H$115,"&lt;"&amp;EDATE(A64,1))+SUMIFS('USt-Monatsübersicht'!$F$2:$F$115,'USt-Monatsübersicht'!$B$2:$B$115,"&gt;="&amp;A64,'USt-Monatsübersicht'!$B$2:$B$115,"&lt;"&amp;EDATE(A64,1),'USt-Monatsübersicht'!$G$2:$G$115,"&lt;&gt;Bezahlt")</x:f>
        <x:v>0</x:v>
      </x:c>
      <x:c r="G64" s="191">
        <x:v>2000</x:v>
      </x:c>
      <x:c r="H64" s="191">
        <x:v>0</x:v>
      </x:c>
      <x:c r="I64" s="191">
        <x:v>480</x:v>
      </x:c>
      <x:c r="J64" s="191">
        <x:v>500</x:v>
      </x:c>
      <x:c r="K64" s="191">
        <x:v>0</x:v>
      </x:c>
      <x:c r="L64" s="191">
        <x:v>500</x:v>
      </x:c>
      <x:c r="M64" s="190">
        <x:f t="shared" si="7"/>
        <x:v>-237612.61</x:v>
      </x:c>
      <x:c r="N64" s="192" t="str">
        <x:f t="shared" si="5"/>
        <x:v>KRITISCH</x:v>
      </x:c>
      <x:c r="O64" s="1"/>
      <x:c r="P64" s="1"/>
      <x:c r="Q64" s="1"/>
      <x:c r="R64" s="1"/>
    </x:row>
    <x:row r="65">
      <x:c r="A65" s="189">
        <x:v>48122</x:v>
      </x:c>
      <x:c r="B65" s="190">
        <x:f t="shared" si="6"/>
        <x:v>-237612.61</x:v>
      </x:c>
      <x:c r="C65" s="190" t="n">
        <x:f>SUMIFS(Ausgangsrechnungen!$G$2:$G$301,Ausgangsrechnungen!$J$2:$J$301,"&gt;="&amp;A65,Ausgangsrechnungen!$J$2:$J$301,"&lt;"&amp;EDATE(A65,1))+SUMIFS(Ausgangsrechnungen!$H$2:$H$301,Ausgangsrechnungen!$E$2:$E$301,"&gt;="&amp;A65,Ausgangsrechnungen!$E$2:$E$301,"&lt;"&amp;EDATE(A65,1),Ausgangsrechnungen!$I$2:$I$301,"&lt;&gt;Bezahlt")</x:f>
        <x:v>0</x:v>
      </x:c>
      <x:c r="D65" s="191"/>
      <x:c r="E65" s="190" t="n">
        <x:f>SUMIFS(Eingangsrechnungen!$N$2:$N$301,Eingangsrechnungen!$J$2:$J$301,"&gt;="&amp;A65,Eingangsrechnungen!$J$2:$J$301,"&lt;"&amp;EDATE(A65,1))+SUMIFS(Eingangsrechnungen!$N$2:$N$301,Eingangsrechnungen!$E$2:$E$301,"&gt;="&amp;A65,Eingangsrechnungen!$E$2:$E$301,"&lt;"&amp;EDATE(A65,1),Eingangsrechnungen!$J$2:$J$301,"")</x:f>
        <x:v>0</x:v>
      </x:c>
      <x:c r="F65" s="190" t="n">
        <x:f>SUMIFS(Steuerkalender!$D$2:$D$100,Steuerkalender!$F$2:$F$100,"&gt;="&amp;A65,Steuerkalender!$F$2:$F$100,"&lt;"&amp;EDATE(A65,1))+SUMIFS(Steuerkalender!$D$2:$D$100,Steuerkalender!$B$2:$B$100,"&gt;="&amp;A65,Steuerkalender!$B$2:$B$100,"&lt;"&amp;EDATE(A65,1),Steuerkalender!$E$2:$E$100,"&lt;&gt;Bezahlt")+SUMIFS('USt-Monatsübersicht'!$F$2:$F$115,'USt-Monatsübersicht'!$H$2:$H$115,"&gt;="&amp;A65,'USt-Monatsübersicht'!$H$2:$H$115,"&lt;"&amp;EDATE(A65,1))+SUMIFS('USt-Monatsübersicht'!$F$2:$F$115,'USt-Monatsübersicht'!$B$2:$B$115,"&gt;="&amp;A65,'USt-Monatsübersicht'!$B$2:$B$115,"&lt;"&amp;EDATE(A65,1),'USt-Monatsübersicht'!$G$2:$G$115,"&lt;&gt;Bezahlt")</x:f>
        <x:v>0</x:v>
      </x:c>
      <x:c r="G65" s="191">
        <x:v>2000</x:v>
      </x:c>
      <x:c r="H65" s="191">
        <x:v>0</x:v>
      </x:c>
      <x:c r="I65" s="191">
        <x:v>480</x:v>
      </x:c>
      <x:c r="J65" s="191">
        <x:v>500</x:v>
      </x:c>
      <x:c r="K65" s="191">
        <x:v>0</x:v>
      </x:c>
      <x:c r="L65" s="191">
        <x:v>500</x:v>
      </x:c>
      <x:c r="M65" s="190">
        <x:f t="shared" si="7"/>
        <x:v>-241092.61</x:v>
      </x:c>
      <x:c r="N65" s="192" t="str">
        <x:f t="shared" si="5"/>
        <x:v>KRITISCH</x:v>
      </x:c>
      <x:c r="O65" s="1"/>
      <x:c r="P65" s="1"/>
      <x:c r="Q65" s="1"/>
      <x:c r="R65" s="1"/>
    </x:row>
    <x:row r="66">
      <x:c r="A66" s="189">
        <x:v>48153</x:v>
      </x:c>
      <x:c r="B66" s="190">
        <x:f t="shared" si="6"/>
        <x:v>-241092.61</x:v>
      </x:c>
      <x:c r="C66" s="190" t="n">
        <x:f>SUMIFS(Ausgangsrechnungen!$G$2:$G$301,Ausgangsrechnungen!$J$2:$J$301,"&gt;="&amp;A66,Ausgangsrechnungen!$J$2:$J$301,"&lt;"&amp;EDATE(A66,1))+SUMIFS(Ausgangsrechnungen!$H$2:$H$301,Ausgangsrechnungen!$E$2:$E$301,"&gt;="&amp;A66,Ausgangsrechnungen!$E$2:$E$301,"&lt;"&amp;EDATE(A66,1),Ausgangsrechnungen!$I$2:$I$301,"&lt;&gt;Bezahlt")</x:f>
        <x:v>0</x:v>
      </x:c>
      <x:c r="D66" s="191"/>
      <x:c r="E66" s="190" t="n">
        <x:f>SUMIFS(Eingangsrechnungen!$N$2:$N$301,Eingangsrechnungen!$J$2:$J$301,"&gt;="&amp;A66,Eingangsrechnungen!$J$2:$J$301,"&lt;"&amp;EDATE(A66,1))+SUMIFS(Eingangsrechnungen!$N$2:$N$301,Eingangsrechnungen!$E$2:$E$301,"&gt;="&amp;A66,Eingangsrechnungen!$E$2:$E$301,"&lt;"&amp;EDATE(A66,1),Eingangsrechnungen!$J$2:$J$301,"")</x:f>
        <x:v>0</x:v>
      </x:c>
      <x:c r="F66" s="190" t="n">
        <x:f>SUMIFS(Steuerkalender!$D$2:$D$100,Steuerkalender!$F$2:$F$100,"&gt;="&amp;A66,Steuerkalender!$F$2:$F$100,"&lt;"&amp;EDATE(A66,1))+SUMIFS(Steuerkalender!$D$2:$D$100,Steuerkalender!$B$2:$B$100,"&gt;="&amp;A66,Steuerkalender!$B$2:$B$100,"&lt;"&amp;EDATE(A66,1),Steuerkalender!$E$2:$E$100,"&lt;&gt;Bezahlt")+SUMIFS('USt-Monatsübersicht'!$F$2:$F$115,'USt-Monatsübersicht'!$H$2:$H$115,"&gt;="&amp;A66,'USt-Monatsübersicht'!$H$2:$H$115,"&lt;"&amp;EDATE(A66,1))+SUMIFS('USt-Monatsübersicht'!$F$2:$F$115,'USt-Monatsübersicht'!$B$2:$B$115,"&gt;="&amp;A66,'USt-Monatsübersicht'!$B$2:$B$115,"&lt;"&amp;EDATE(A66,1),'USt-Monatsübersicht'!$G$2:$G$115,"&lt;&gt;Bezahlt")</x:f>
        <x:v>0</x:v>
      </x:c>
      <x:c r="G66" s="191">
        <x:v>2000</x:v>
      </x:c>
      <x:c r="H66" s="191">
        <x:v>0</x:v>
      </x:c>
      <x:c r="I66" s="191">
        <x:v>480</x:v>
      </x:c>
      <x:c r="J66" s="191">
        <x:v>500</x:v>
      </x:c>
      <x:c r="K66" s="191">
        <x:v>0</x:v>
      </x:c>
      <x:c r="L66" s="191">
        <x:v>500</x:v>
      </x:c>
      <x:c r="M66" s="190">
        <x:f t="shared" si="7"/>
        <x:v>-244572.61</x:v>
      </x:c>
      <x:c r="N66" s="192" t="str">
        <x:f t="shared" ref="N66:N97" si="8">IF(M66&lt;0,"KRITISCH",IF(M66&lt;10000,"ACHTUNG","OK"))</x:f>
        <x:v>KRITISCH</x:v>
      </x:c>
      <x:c r="O66" s="1"/>
      <x:c r="P66" s="1"/>
      <x:c r="Q66" s="1"/>
      <x:c r="R66" s="1"/>
    </x:row>
    <x:row r="67">
      <x:c r="A67" s="189">
        <x:v>48183</x:v>
      </x:c>
      <x:c r="B67" s="190">
        <x:f t="shared" si="6"/>
        <x:v>-244572.61</x:v>
      </x:c>
      <x:c r="C67" s="190" t="n">
        <x:f>SUMIFS(Ausgangsrechnungen!$G$2:$G$301,Ausgangsrechnungen!$J$2:$J$301,"&gt;="&amp;A67,Ausgangsrechnungen!$J$2:$J$301,"&lt;"&amp;EDATE(A67,1))+SUMIFS(Ausgangsrechnungen!$H$2:$H$301,Ausgangsrechnungen!$E$2:$E$301,"&gt;="&amp;A67,Ausgangsrechnungen!$E$2:$E$301,"&lt;"&amp;EDATE(A67,1),Ausgangsrechnungen!$I$2:$I$301,"&lt;&gt;Bezahlt")</x:f>
        <x:v>0</x:v>
      </x:c>
      <x:c r="D67" s="191"/>
      <x:c r="E67" s="190" t="n">
        <x:f>SUMIFS(Eingangsrechnungen!$N$2:$N$301,Eingangsrechnungen!$J$2:$J$301,"&gt;="&amp;A67,Eingangsrechnungen!$J$2:$J$301,"&lt;"&amp;EDATE(A67,1))+SUMIFS(Eingangsrechnungen!$N$2:$N$301,Eingangsrechnungen!$E$2:$E$301,"&gt;="&amp;A67,Eingangsrechnungen!$E$2:$E$301,"&lt;"&amp;EDATE(A67,1),Eingangsrechnungen!$J$2:$J$301,"")</x:f>
        <x:v>0</x:v>
      </x:c>
      <x:c r="F67" s="190" t="n">
        <x:f>SUMIFS(Steuerkalender!$D$2:$D$100,Steuerkalender!$F$2:$F$100,"&gt;="&amp;A67,Steuerkalender!$F$2:$F$100,"&lt;"&amp;EDATE(A67,1))+SUMIFS(Steuerkalender!$D$2:$D$100,Steuerkalender!$B$2:$B$100,"&gt;="&amp;A67,Steuerkalender!$B$2:$B$100,"&lt;"&amp;EDATE(A67,1),Steuerkalender!$E$2:$E$100,"&lt;&gt;Bezahlt")+SUMIFS('USt-Monatsübersicht'!$F$2:$F$115,'USt-Monatsübersicht'!$H$2:$H$115,"&gt;="&amp;A67,'USt-Monatsübersicht'!$H$2:$H$115,"&lt;"&amp;EDATE(A67,1))+SUMIFS('USt-Monatsübersicht'!$F$2:$F$115,'USt-Monatsübersicht'!$B$2:$B$115,"&gt;="&amp;A67,'USt-Monatsübersicht'!$B$2:$B$115,"&lt;"&amp;EDATE(A67,1),'USt-Monatsübersicht'!$G$2:$G$115,"&lt;&gt;Bezahlt")</x:f>
        <x:v>0</x:v>
      </x:c>
      <x:c r="G67" s="191">
        <x:v>2000</x:v>
      </x:c>
      <x:c r="H67" s="191">
        <x:v>0</x:v>
      </x:c>
      <x:c r="I67" s="191">
        <x:v>480</x:v>
      </x:c>
      <x:c r="J67" s="191">
        <x:v>500</x:v>
      </x:c>
      <x:c r="K67" s="191">
        <x:v>0</x:v>
      </x:c>
      <x:c r="L67" s="191">
        <x:v>500</x:v>
      </x:c>
      <x:c r="M67" s="190">
        <x:f t="shared" si="7"/>
        <x:v>-248052.61</x:v>
      </x:c>
      <x:c r="N67" s="192" t="str">
        <x:f t="shared" si="8"/>
        <x:v>KRITISCH</x:v>
      </x:c>
      <x:c r="O67" s="1"/>
      <x:c r="P67" s="1"/>
      <x:c r="Q67" s="1"/>
      <x:c r="R67" s="1"/>
    </x:row>
    <x:row r="68">
      <x:c r="A68" s="189">
        <x:v>48214</x:v>
      </x:c>
      <x:c r="B68" s="190">
        <x:f t="shared" si="6"/>
        <x:v>-248052.61</x:v>
      </x:c>
      <x:c r="C68" s="190" t="n">
        <x:f>SUMIFS(Ausgangsrechnungen!$G$2:$G$301,Ausgangsrechnungen!$J$2:$J$301,"&gt;="&amp;A68,Ausgangsrechnungen!$J$2:$J$301,"&lt;"&amp;EDATE(A68,1))+SUMIFS(Ausgangsrechnungen!$H$2:$H$301,Ausgangsrechnungen!$E$2:$E$301,"&gt;="&amp;A68,Ausgangsrechnungen!$E$2:$E$301,"&lt;"&amp;EDATE(A68,1),Ausgangsrechnungen!$I$2:$I$301,"&lt;&gt;Bezahlt")</x:f>
        <x:v>0</x:v>
      </x:c>
      <x:c r="D68" s="191"/>
      <x:c r="E68" s="190" t="n">
        <x:f>SUMIFS(Eingangsrechnungen!$N$2:$N$301,Eingangsrechnungen!$J$2:$J$301,"&gt;="&amp;A68,Eingangsrechnungen!$J$2:$J$301,"&lt;"&amp;EDATE(A68,1))+SUMIFS(Eingangsrechnungen!$N$2:$N$301,Eingangsrechnungen!$E$2:$E$301,"&gt;="&amp;A68,Eingangsrechnungen!$E$2:$E$301,"&lt;"&amp;EDATE(A68,1),Eingangsrechnungen!$J$2:$J$301,"")</x:f>
        <x:v>0</x:v>
      </x:c>
      <x:c r="F68" s="190" t="n">
        <x:f>SUMIFS(Steuerkalender!$D$2:$D$100,Steuerkalender!$F$2:$F$100,"&gt;="&amp;A68,Steuerkalender!$F$2:$F$100,"&lt;"&amp;EDATE(A68,1))+SUMIFS(Steuerkalender!$D$2:$D$100,Steuerkalender!$B$2:$B$100,"&gt;="&amp;A68,Steuerkalender!$B$2:$B$100,"&lt;"&amp;EDATE(A68,1),Steuerkalender!$E$2:$E$100,"&lt;&gt;Bezahlt")+SUMIFS('USt-Monatsübersicht'!$F$2:$F$115,'USt-Monatsübersicht'!$H$2:$H$115,"&gt;="&amp;A68,'USt-Monatsübersicht'!$H$2:$H$115,"&lt;"&amp;EDATE(A68,1))+SUMIFS('USt-Monatsübersicht'!$F$2:$F$115,'USt-Monatsübersicht'!$B$2:$B$115,"&gt;="&amp;A68,'USt-Monatsübersicht'!$B$2:$B$115,"&lt;"&amp;EDATE(A68,1),'USt-Monatsübersicht'!$G$2:$G$115,"&lt;&gt;Bezahlt")</x:f>
        <x:v>0</x:v>
      </x:c>
      <x:c r="G68" s="191">
        <x:v>2000</x:v>
      </x:c>
      <x:c r="H68" s="191">
        <x:v>0</x:v>
      </x:c>
      <x:c r="I68" s="191">
        <x:v>480</x:v>
      </x:c>
      <x:c r="J68" s="191">
        <x:v>500</x:v>
      </x:c>
      <x:c r="K68" s="191">
        <x:v>0</x:v>
      </x:c>
      <x:c r="L68" s="191">
        <x:v>500</x:v>
      </x:c>
      <x:c r="M68" s="190">
        <x:f t="shared" si="7"/>
        <x:v>-251532.61</x:v>
      </x:c>
      <x:c r="N68" s="192" t="str">
        <x:f t="shared" si="8"/>
        <x:v>KRITISCH</x:v>
      </x:c>
      <x:c r="O68" s="1"/>
      <x:c r="P68" s="1"/>
      <x:c r="Q68" s="1"/>
      <x:c r="R68" s="1"/>
    </x:row>
    <x:row r="69">
      <x:c r="A69" s="189">
        <x:v>48245</x:v>
      </x:c>
      <x:c r="B69" s="190">
        <x:f t="shared" si="6"/>
        <x:v>-251532.61</x:v>
      </x:c>
      <x:c r="C69" s="190" t="n">
        <x:f>SUMIFS(Ausgangsrechnungen!$G$2:$G$301,Ausgangsrechnungen!$J$2:$J$301,"&gt;="&amp;A69,Ausgangsrechnungen!$J$2:$J$301,"&lt;"&amp;EDATE(A69,1))+SUMIFS(Ausgangsrechnungen!$H$2:$H$301,Ausgangsrechnungen!$E$2:$E$301,"&gt;="&amp;A69,Ausgangsrechnungen!$E$2:$E$301,"&lt;"&amp;EDATE(A69,1),Ausgangsrechnungen!$I$2:$I$301,"&lt;&gt;Bezahlt")</x:f>
        <x:v>0</x:v>
      </x:c>
      <x:c r="D69" s="191"/>
      <x:c r="E69" s="190" t="n">
        <x:f>SUMIFS(Eingangsrechnungen!$N$2:$N$301,Eingangsrechnungen!$J$2:$J$301,"&gt;="&amp;A69,Eingangsrechnungen!$J$2:$J$301,"&lt;"&amp;EDATE(A69,1))+SUMIFS(Eingangsrechnungen!$N$2:$N$301,Eingangsrechnungen!$E$2:$E$301,"&gt;="&amp;A69,Eingangsrechnungen!$E$2:$E$301,"&lt;"&amp;EDATE(A69,1),Eingangsrechnungen!$J$2:$J$301,"")</x:f>
        <x:v>0</x:v>
      </x:c>
      <x:c r="F69" s="190" t="n">
        <x:f>SUMIFS(Steuerkalender!$D$2:$D$100,Steuerkalender!$F$2:$F$100,"&gt;="&amp;A69,Steuerkalender!$F$2:$F$100,"&lt;"&amp;EDATE(A69,1))+SUMIFS(Steuerkalender!$D$2:$D$100,Steuerkalender!$B$2:$B$100,"&gt;="&amp;A69,Steuerkalender!$B$2:$B$100,"&lt;"&amp;EDATE(A69,1),Steuerkalender!$E$2:$E$100,"&lt;&gt;Bezahlt")+SUMIFS('USt-Monatsübersicht'!$F$2:$F$115,'USt-Monatsübersicht'!$H$2:$H$115,"&gt;="&amp;A69,'USt-Monatsübersicht'!$H$2:$H$115,"&lt;"&amp;EDATE(A69,1))+SUMIFS('USt-Monatsübersicht'!$F$2:$F$115,'USt-Monatsübersicht'!$B$2:$B$115,"&gt;="&amp;A69,'USt-Monatsübersicht'!$B$2:$B$115,"&lt;"&amp;EDATE(A69,1),'USt-Monatsübersicht'!$G$2:$G$115,"&lt;&gt;Bezahlt")</x:f>
        <x:v>0</x:v>
      </x:c>
      <x:c r="G69" s="191">
        <x:v>2000</x:v>
      </x:c>
      <x:c r="H69" s="191">
        <x:v>0</x:v>
      </x:c>
      <x:c r="I69" s="191">
        <x:v>480</x:v>
      </x:c>
      <x:c r="J69" s="191">
        <x:v>500</x:v>
      </x:c>
      <x:c r="K69" s="191">
        <x:v>0</x:v>
      </x:c>
      <x:c r="L69" s="191">
        <x:v>500</x:v>
      </x:c>
      <x:c r="M69" s="190">
        <x:f t="shared" si="7"/>
        <x:v>-255012.61</x:v>
      </x:c>
      <x:c r="N69" s="192" t="str">
        <x:f t="shared" si="8"/>
        <x:v>KRITISCH</x:v>
      </x:c>
      <x:c r="O69" s="1"/>
      <x:c r="P69" s="1"/>
      <x:c r="Q69" s="1"/>
      <x:c r="R69" s="1"/>
    </x:row>
    <x:row r="70">
      <x:c r="A70" s="189">
        <x:v>48274</x:v>
      </x:c>
      <x:c r="B70" s="190">
        <x:f t="shared" si="6"/>
        <x:v>-255012.61</x:v>
      </x:c>
      <x:c r="C70" s="190" t="n">
        <x:f>SUMIFS(Ausgangsrechnungen!$G$2:$G$301,Ausgangsrechnungen!$J$2:$J$301,"&gt;="&amp;A70,Ausgangsrechnungen!$J$2:$J$301,"&lt;"&amp;EDATE(A70,1))+SUMIFS(Ausgangsrechnungen!$H$2:$H$301,Ausgangsrechnungen!$E$2:$E$301,"&gt;="&amp;A70,Ausgangsrechnungen!$E$2:$E$301,"&lt;"&amp;EDATE(A70,1),Ausgangsrechnungen!$I$2:$I$301,"&lt;&gt;Bezahlt")</x:f>
        <x:v>0</x:v>
      </x:c>
      <x:c r="D70" s="191"/>
      <x:c r="E70" s="190" t="n">
        <x:f>SUMIFS(Eingangsrechnungen!$N$2:$N$301,Eingangsrechnungen!$J$2:$J$301,"&gt;="&amp;A70,Eingangsrechnungen!$J$2:$J$301,"&lt;"&amp;EDATE(A70,1))+SUMIFS(Eingangsrechnungen!$N$2:$N$301,Eingangsrechnungen!$E$2:$E$301,"&gt;="&amp;A70,Eingangsrechnungen!$E$2:$E$301,"&lt;"&amp;EDATE(A70,1),Eingangsrechnungen!$J$2:$J$301,"")</x:f>
        <x:v>0</x:v>
      </x:c>
      <x:c r="F70" s="190" t="n">
        <x:f>SUMIFS(Steuerkalender!$D$2:$D$100,Steuerkalender!$F$2:$F$100,"&gt;="&amp;A70,Steuerkalender!$F$2:$F$100,"&lt;"&amp;EDATE(A70,1))+SUMIFS(Steuerkalender!$D$2:$D$100,Steuerkalender!$B$2:$B$100,"&gt;="&amp;A70,Steuerkalender!$B$2:$B$100,"&lt;"&amp;EDATE(A70,1),Steuerkalender!$E$2:$E$100,"&lt;&gt;Bezahlt")+SUMIFS('USt-Monatsübersicht'!$F$2:$F$115,'USt-Monatsübersicht'!$H$2:$H$115,"&gt;="&amp;A70,'USt-Monatsübersicht'!$H$2:$H$115,"&lt;"&amp;EDATE(A70,1))+SUMIFS('USt-Monatsübersicht'!$F$2:$F$115,'USt-Monatsübersicht'!$B$2:$B$115,"&gt;="&amp;A70,'USt-Monatsübersicht'!$B$2:$B$115,"&lt;"&amp;EDATE(A70,1),'USt-Monatsübersicht'!$G$2:$G$115,"&lt;&gt;Bezahlt")</x:f>
        <x:v>0</x:v>
      </x:c>
      <x:c r="G70" s="191">
        <x:v>2000</x:v>
      </x:c>
      <x:c r="H70" s="191">
        <x:v>0</x:v>
      </x:c>
      <x:c r="I70" s="191">
        <x:v>480</x:v>
      </x:c>
      <x:c r="J70" s="191">
        <x:v>500</x:v>
      </x:c>
      <x:c r="K70" s="191">
        <x:v>0</x:v>
      </x:c>
      <x:c r="L70" s="191">
        <x:v>500</x:v>
      </x:c>
      <x:c r="M70" s="190">
        <x:f t="shared" si="7"/>
        <x:v>-258492.61</x:v>
      </x:c>
      <x:c r="N70" s="192" t="str">
        <x:f t="shared" si="8"/>
        <x:v>KRITISCH</x:v>
      </x:c>
      <x:c r="O70" s="1"/>
      <x:c r="P70" s="1"/>
      <x:c r="Q70" s="1"/>
      <x:c r="R70" s="1"/>
    </x:row>
    <x:row r="71">
      <x:c r="A71" s="189">
        <x:v>48305</x:v>
      </x:c>
      <x:c r="B71" s="190">
        <x:f t="shared" si="6"/>
        <x:v>-258492.61</x:v>
      </x:c>
      <x:c r="C71" s="190" t="n">
        <x:f>SUMIFS(Ausgangsrechnungen!$G$2:$G$301,Ausgangsrechnungen!$J$2:$J$301,"&gt;="&amp;A71,Ausgangsrechnungen!$J$2:$J$301,"&lt;"&amp;EDATE(A71,1))+SUMIFS(Ausgangsrechnungen!$H$2:$H$301,Ausgangsrechnungen!$E$2:$E$301,"&gt;="&amp;A71,Ausgangsrechnungen!$E$2:$E$301,"&lt;"&amp;EDATE(A71,1),Ausgangsrechnungen!$I$2:$I$301,"&lt;&gt;Bezahlt")</x:f>
        <x:v>0</x:v>
      </x:c>
      <x:c r="D71" s="191"/>
      <x:c r="E71" s="190" t="n">
        <x:f>SUMIFS(Eingangsrechnungen!$N$2:$N$301,Eingangsrechnungen!$J$2:$J$301,"&gt;="&amp;A71,Eingangsrechnungen!$J$2:$J$301,"&lt;"&amp;EDATE(A71,1))+SUMIFS(Eingangsrechnungen!$N$2:$N$301,Eingangsrechnungen!$E$2:$E$301,"&gt;="&amp;A71,Eingangsrechnungen!$E$2:$E$301,"&lt;"&amp;EDATE(A71,1),Eingangsrechnungen!$J$2:$J$301,"")</x:f>
        <x:v>0</x:v>
      </x:c>
      <x:c r="F71" s="190" t="n">
        <x:f>SUMIFS(Steuerkalender!$D$2:$D$100,Steuerkalender!$F$2:$F$100,"&gt;="&amp;A71,Steuerkalender!$F$2:$F$100,"&lt;"&amp;EDATE(A71,1))+SUMIFS(Steuerkalender!$D$2:$D$100,Steuerkalender!$B$2:$B$100,"&gt;="&amp;A71,Steuerkalender!$B$2:$B$100,"&lt;"&amp;EDATE(A71,1),Steuerkalender!$E$2:$E$100,"&lt;&gt;Bezahlt")+SUMIFS('USt-Monatsübersicht'!$F$2:$F$115,'USt-Monatsübersicht'!$H$2:$H$115,"&gt;="&amp;A71,'USt-Monatsübersicht'!$H$2:$H$115,"&lt;"&amp;EDATE(A71,1))+SUMIFS('USt-Monatsübersicht'!$F$2:$F$115,'USt-Monatsübersicht'!$B$2:$B$115,"&gt;="&amp;A71,'USt-Monatsübersicht'!$B$2:$B$115,"&lt;"&amp;EDATE(A71,1),'USt-Monatsübersicht'!$G$2:$G$115,"&lt;&gt;Bezahlt")</x:f>
        <x:v>0</x:v>
      </x:c>
      <x:c r="G71" s="191">
        <x:v>2000</x:v>
      </x:c>
      <x:c r="H71" s="191">
        <x:v>0</x:v>
      </x:c>
      <x:c r="I71" s="191">
        <x:v>480</x:v>
      </x:c>
      <x:c r="J71" s="191">
        <x:v>500</x:v>
      </x:c>
      <x:c r="K71" s="191">
        <x:v>0</x:v>
      </x:c>
      <x:c r="L71" s="191">
        <x:v>500</x:v>
      </x:c>
      <x:c r="M71" s="190">
        <x:f t="shared" si="7"/>
        <x:v>-261972.61</x:v>
      </x:c>
      <x:c r="N71" s="192" t="str">
        <x:f t="shared" si="8"/>
        <x:v>KRITISCH</x:v>
      </x:c>
      <x:c r="O71" s="1"/>
      <x:c r="P71" s="1"/>
      <x:c r="Q71" s="1"/>
      <x:c r="R71" s="1"/>
    </x:row>
    <x:row r="72">
      <x:c r="A72" s="189">
        <x:v>48335</x:v>
      </x:c>
      <x:c r="B72" s="190">
        <x:f t="shared" si="6"/>
        <x:v>-261972.61</x:v>
      </x:c>
      <x:c r="C72" s="190" t="n">
        <x:f>SUMIFS(Ausgangsrechnungen!$G$2:$G$301,Ausgangsrechnungen!$J$2:$J$301,"&gt;="&amp;A72,Ausgangsrechnungen!$J$2:$J$301,"&lt;"&amp;EDATE(A72,1))+SUMIFS(Ausgangsrechnungen!$H$2:$H$301,Ausgangsrechnungen!$E$2:$E$301,"&gt;="&amp;A72,Ausgangsrechnungen!$E$2:$E$301,"&lt;"&amp;EDATE(A72,1),Ausgangsrechnungen!$I$2:$I$301,"&lt;&gt;Bezahlt")</x:f>
        <x:v>0</x:v>
      </x:c>
      <x:c r="D72" s="191"/>
      <x:c r="E72" s="190" t="n">
        <x:f>SUMIFS(Eingangsrechnungen!$N$2:$N$301,Eingangsrechnungen!$J$2:$J$301,"&gt;="&amp;A72,Eingangsrechnungen!$J$2:$J$301,"&lt;"&amp;EDATE(A72,1))+SUMIFS(Eingangsrechnungen!$N$2:$N$301,Eingangsrechnungen!$E$2:$E$301,"&gt;="&amp;A72,Eingangsrechnungen!$E$2:$E$301,"&lt;"&amp;EDATE(A72,1),Eingangsrechnungen!$J$2:$J$301,"")</x:f>
        <x:v>0</x:v>
      </x:c>
      <x:c r="F72" s="190" t="n">
        <x:f>SUMIFS(Steuerkalender!$D$2:$D$100,Steuerkalender!$F$2:$F$100,"&gt;="&amp;A72,Steuerkalender!$F$2:$F$100,"&lt;"&amp;EDATE(A72,1))+SUMIFS(Steuerkalender!$D$2:$D$100,Steuerkalender!$B$2:$B$100,"&gt;="&amp;A72,Steuerkalender!$B$2:$B$100,"&lt;"&amp;EDATE(A72,1),Steuerkalender!$E$2:$E$100,"&lt;&gt;Bezahlt")+SUMIFS('USt-Monatsübersicht'!$F$2:$F$115,'USt-Monatsübersicht'!$H$2:$H$115,"&gt;="&amp;A72,'USt-Monatsübersicht'!$H$2:$H$115,"&lt;"&amp;EDATE(A72,1))+SUMIFS('USt-Monatsübersicht'!$F$2:$F$115,'USt-Monatsübersicht'!$B$2:$B$115,"&gt;="&amp;A72,'USt-Monatsübersicht'!$B$2:$B$115,"&lt;"&amp;EDATE(A72,1),'USt-Monatsübersicht'!$G$2:$G$115,"&lt;&gt;Bezahlt")</x:f>
        <x:v>0</x:v>
      </x:c>
      <x:c r="G72" s="191">
        <x:v>2000</x:v>
      </x:c>
      <x:c r="H72" s="191">
        <x:v>0</x:v>
      </x:c>
      <x:c r="I72" s="191">
        <x:v>480</x:v>
      </x:c>
      <x:c r="J72" s="191">
        <x:v>500</x:v>
      </x:c>
      <x:c r="K72" s="191">
        <x:v>0</x:v>
      </x:c>
      <x:c r="L72" s="191">
        <x:v>500</x:v>
      </x:c>
      <x:c r="M72" s="190">
        <x:f t="shared" si="7"/>
        <x:v>-265452.61</x:v>
      </x:c>
      <x:c r="N72" s="192" t="str">
        <x:f t="shared" si="8"/>
        <x:v>KRITISCH</x:v>
      </x:c>
      <x:c r="O72" s="1"/>
      <x:c r="P72" s="1"/>
      <x:c r="Q72" s="1"/>
      <x:c r="R72" s="1"/>
    </x:row>
    <x:row r="73">
      <x:c r="A73" s="189">
        <x:v>48366</x:v>
      </x:c>
      <x:c r="B73" s="190">
        <x:f t="shared" si="6"/>
        <x:v>-265452.61</x:v>
      </x:c>
      <x:c r="C73" s="190" t="n">
        <x:f>SUMIFS(Ausgangsrechnungen!$G$2:$G$301,Ausgangsrechnungen!$J$2:$J$301,"&gt;="&amp;A73,Ausgangsrechnungen!$J$2:$J$301,"&lt;"&amp;EDATE(A73,1))+SUMIFS(Ausgangsrechnungen!$H$2:$H$301,Ausgangsrechnungen!$E$2:$E$301,"&gt;="&amp;A73,Ausgangsrechnungen!$E$2:$E$301,"&lt;"&amp;EDATE(A73,1),Ausgangsrechnungen!$I$2:$I$301,"&lt;&gt;Bezahlt")</x:f>
        <x:v>0</x:v>
      </x:c>
      <x:c r="D73" s="191"/>
      <x:c r="E73" s="190" t="n">
        <x:f>SUMIFS(Eingangsrechnungen!$N$2:$N$301,Eingangsrechnungen!$J$2:$J$301,"&gt;="&amp;A73,Eingangsrechnungen!$J$2:$J$301,"&lt;"&amp;EDATE(A73,1))+SUMIFS(Eingangsrechnungen!$N$2:$N$301,Eingangsrechnungen!$E$2:$E$301,"&gt;="&amp;A73,Eingangsrechnungen!$E$2:$E$301,"&lt;"&amp;EDATE(A73,1),Eingangsrechnungen!$J$2:$J$301,"")</x:f>
        <x:v>0</x:v>
      </x:c>
      <x:c r="F73" s="190" t="n">
        <x:f>SUMIFS(Steuerkalender!$D$2:$D$100,Steuerkalender!$F$2:$F$100,"&gt;="&amp;A73,Steuerkalender!$F$2:$F$100,"&lt;"&amp;EDATE(A73,1))+SUMIFS(Steuerkalender!$D$2:$D$100,Steuerkalender!$B$2:$B$100,"&gt;="&amp;A73,Steuerkalender!$B$2:$B$100,"&lt;"&amp;EDATE(A73,1),Steuerkalender!$E$2:$E$100,"&lt;&gt;Bezahlt")+SUMIFS('USt-Monatsübersicht'!$F$2:$F$115,'USt-Monatsübersicht'!$H$2:$H$115,"&gt;="&amp;A73,'USt-Monatsübersicht'!$H$2:$H$115,"&lt;"&amp;EDATE(A73,1))+SUMIFS('USt-Monatsübersicht'!$F$2:$F$115,'USt-Monatsübersicht'!$B$2:$B$115,"&gt;="&amp;A73,'USt-Monatsübersicht'!$B$2:$B$115,"&lt;"&amp;EDATE(A73,1),'USt-Monatsübersicht'!$G$2:$G$115,"&lt;&gt;Bezahlt")</x:f>
        <x:v>0</x:v>
      </x:c>
      <x:c r="G73" s="191">
        <x:v>2000</x:v>
      </x:c>
      <x:c r="H73" s="191">
        <x:v>0</x:v>
      </x:c>
      <x:c r="I73" s="191">
        <x:v>480</x:v>
      </x:c>
      <x:c r="J73" s="191">
        <x:v>500</x:v>
      </x:c>
      <x:c r="K73" s="191">
        <x:v>0</x:v>
      </x:c>
      <x:c r="L73" s="191">
        <x:v>500</x:v>
      </x:c>
      <x:c r="M73" s="190">
        <x:f t="shared" si="7"/>
        <x:v>-268932.61</x:v>
      </x:c>
      <x:c r="N73" s="192" t="str">
        <x:f t="shared" si="8"/>
        <x:v>KRITISCH</x:v>
      </x:c>
      <x:c r="O73" s="1"/>
      <x:c r="P73" s="1"/>
      <x:c r="Q73" s="1"/>
      <x:c r="R73" s="1"/>
    </x:row>
    <x:row r="74">
      <x:c r="A74" s="189">
        <x:v>48396</x:v>
      </x:c>
      <x:c r="B74" s="190">
        <x:f t="shared" si="6"/>
        <x:v>-268932.61</x:v>
      </x:c>
      <x:c r="C74" s="190" t="n">
        <x:f>SUMIFS(Ausgangsrechnungen!$G$2:$G$301,Ausgangsrechnungen!$J$2:$J$301,"&gt;="&amp;A74,Ausgangsrechnungen!$J$2:$J$301,"&lt;"&amp;EDATE(A74,1))+SUMIFS(Ausgangsrechnungen!$H$2:$H$301,Ausgangsrechnungen!$E$2:$E$301,"&gt;="&amp;A74,Ausgangsrechnungen!$E$2:$E$301,"&lt;"&amp;EDATE(A74,1),Ausgangsrechnungen!$I$2:$I$301,"&lt;&gt;Bezahlt")</x:f>
        <x:v>0</x:v>
      </x:c>
      <x:c r="D74" s="191"/>
      <x:c r="E74" s="190" t="n">
        <x:f>SUMIFS(Eingangsrechnungen!$N$2:$N$301,Eingangsrechnungen!$J$2:$J$301,"&gt;="&amp;A74,Eingangsrechnungen!$J$2:$J$301,"&lt;"&amp;EDATE(A74,1))+SUMIFS(Eingangsrechnungen!$N$2:$N$301,Eingangsrechnungen!$E$2:$E$301,"&gt;="&amp;A74,Eingangsrechnungen!$E$2:$E$301,"&lt;"&amp;EDATE(A74,1),Eingangsrechnungen!$J$2:$J$301,"")</x:f>
        <x:v>0</x:v>
      </x:c>
      <x:c r="F74" s="190" t="n">
        <x:f>SUMIFS(Steuerkalender!$D$2:$D$100,Steuerkalender!$F$2:$F$100,"&gt;="&amp;A74,Steuerkalender!$F$2:$F$100,"&lt;"&amp;EDATE(A74,1))+SUMIFS(Steuerkalender!$D$2:$D$100,Steuerkalender!$B$2:$B$100,"&gt;="&amp;A74,Steuerkalender!$B$2:$B$100,"&lt;"&amp;EDATE(A74,1),Steuerkalender!$E$2:$E$100,"&lt;&gt;Bezahlt")+SUMIFS('USt-Monatsübersicht'!$F$2:$F$115,'USt-Monatsübersicht'!$H$2:$H$115,"&gt;="&amp;A74,'USt-Monatsübersicht'!$H$2:$H$115,"&lt;"&amp;EDATE(A74,1))+SUMIFS('USt-Monatsübersicht'!$F$2:$F$115,'USt-Monatsübersicht'!$B$2:$B$115,"&gt;="&amp;A74,'USt-Monatsübersicht'!$B$2:$B$115,"&lt;"&amp;EDATE(A74,1),'USt-Monatsübersicht'!$G$2:$G$115,"&lt;&gt;Bezahlt")</x:f>
        <x:v>0</x:v>
      </x:c>
      <x:c r="G74" s="191">
        <x:v>2000</x:v>
      </x:c>
      <x:c r="H74" s="191">
        <x:v>0</x:v>
      </x:c>
      <x:c r="I74" s="191">
        <x:v>480</x:v>
      </x:c>
      <x:c r="J74" s="191">
        <x:v>500</x:v>
      </x:c>
      <x:c r="K74" s="191">
        <x:v>0</x:v>
      </x:c>
      <x:c r="L74" s="191">
        <x:v>500</x:v>
      </x:c>
      <x:c r="M74" s="190">
        <x:f t="shared" si="7"/>
        <x:v>-272412.61</x:v>
      </x:c>
      <x:c r="N74" s="192" t="str">
        <x:f t="shared" si="8"/>
        <x:v>KRITISCH</x:v>
      </x:c>
      <x:c r="O74" s="1"/>
      <x:c r="P74" s="1"/>
      <x:c r="Q74" s="1"/>
      <x:c r="R74" s="1"/>
    </x:row>
    <x:row r="75">
      <x:c r="A75" s="189">
        <x:v>48427</x:v>
      </x:c>
      <x:c r="B75" s="190">
        <x:f t="shared" si="6"/>
        <x:v>-272412.61</x:v>
      </x:c>
      <x:c r="C75" s="190" t="n">
        <x:f>SUMIFS(Ausgangsrechnungen!$G$2:$G$301,Ausgangsrechnungen!$J$2:$J$301,"&gt;="&amp;A75,Ausgangsrechnungen!$J$2:$J$301,"&lt;"&amp;EDATE(A75,1))+SUMIFS(Ausgangsrechnungen!$H$2:$H$301,Ausgangsrechnungen!$E$2:$E$301,"&gt;="&amp;A75,Ausgangsrechnungen!$E$2:$E$301,"&lt;"&amp;EDATE(A75,1),Ausgangsrechnungen!$I$2:$I$301,"&lt;&gt;Bezahlt")</x:f>
        <x:v>0</x:v>
      </x:c>
      <x:c r="D75" s="191"/>
      <x:c r="E75" s="190" t="n">
        <x:f>SUMIFS(Eingangsrechnungen!$N$2:$N$301,Eingangsrechnungen!$J$2:$J$301,"&gt;="&amp;A75,Eingangsrechnungen!$J$2:$J$301,"&lt;"&amp;EDATE(A75,1))+SUMIFS(Eingangsrechnungen!$N$2:$N$301,Eingangsrechnungen!$E$2:$E$301,"&gt;="&amp;A75,Eingangsrechnungen!$E$2:$E$301,"&lt;"&amp;EDATE(A75,1),Eingangsrechnungen!$J$2:$J$301,"")</x:f>
        <x:v>0</x:v>
      </x:c>
      <x:c r="F75" s="190" t="n">
        <x:f>SUMIFS(Steuerkalender!$D$2:$D$100,Steuerkalender!$F$2:$F$100,"&gt;="&amp;A75,Steuerkalender!$F$2:$F$100,"&lt;"&amp;EDATE(A75,1))+SUMIFS(Steuerkalender!$D$2:$D$100,Steuerkalender!$B$2:$B$100,"&gt;="&amp;A75,Steuerkalender!$B$2:$B$100,"&lt;"&amp;EDATE(A75,1),Steuerkalender!$E$2:$E$100,"&lt;&gt;Bezahlt")+SUMIFS('USt-Monatsübersicht'!$F$2:$F$115,'USt-Monatsübersicht'!$H$2:$H$115,"&gt;="&amp;A75,'USt-Monatsübersicht'!$H$2:$H$115,"&lt;"&amp;EDATE(A75,1))+SUMIFS('USt-Monatsübersicht'!$F$2:$F$115,'USt-Monatsübersicht'!$B$2:$B$115,"&gt;="&amp;A75,'USt-Monatsübersicht'!$B$2:$B$115,"&lt;"&amp;EDATE(A75,1),'USt-Monatsübersicht'!$G$2:$G$115,"&lt;&gt;Bezahlt")</x:f>
        <x:v>0</x:v>
      </x:c>
      <x:c r="G75" s="191">
        <x:v>2000</x:v>
      </x:c>
      <x:c r="H75" s="191">
        <x:v>0</x:v>
      </x:c>
      <x:c r="I75" s="191">
        <x:v>480</x:v>
      </x:c>
      <x:c r="J75" s="191">
        <x:v>500</x:v>
      </x:c>
      <x:c r="K75" s="191">
        <x:v>0</x:v>
      </x:c>
      <x:c r="L75" s="191">
        <x:v>500</x:v>
      </x:c>
      <x:c r="M75" s="190">
        <x:f t="shared" si="7"/>
        <x:v>-275892.61</x:v>
      </x:c>
      <x:c r="N75" s="192" t="str">
        <x:f t="shared" si="8"/>
        <x:v>KRITISCH</x:v>
      </x:c>
      <x:c r="O75" s="1"/>
      <x:c r="P75" s="1"/>
      <x:c r="Q75" s="1"/>
      <x:c r="R75" s="1"/>
    </x:row>
    <x:row r="76">
      <x:c r="A76" s="189">
        <x:v>48458</x:v>
      </x:c>
      <x:c r="B76" s="190">
        <x:f t="shared" si="6"/>
        <x:v>-275892.61</x:v>
      </x:c>
      <x:c r="C76" s="190" t="n">
        <x:f>SUMIFS(Ausgangsrechnungen!$G$2:$G$301,Ausgangsrechnungen!$J$2:$J$301,"&gt;="&amp;A76,Ausgangsrechnungen!$J$2:$J$301,"&lt;"&amp;EDATE(A76,1))+SUMIFS(Ausgangsrechnungen!$H$2:$H$301,Ausgangsrechnungen!$E$2:$E$301,"&gt;="&amp;A76,Ausgangsrechnungen!$E$2:$E$301,"&lt;"&amp;EDATE(A76,1),Ausgangsrechnungen!$I$2:$I$301,"&lt;&gt;Bezahlt")</x:f>
        <x:v>0</x:v>
      </x:c>
      <x:c r="D76" s="191"/>
      <x:c r="E76" s="190" t="n">
        <x:f>SUMIFS(Eingangsrechnungen!$N$2:$N$301,Eingangsrechnungen!$J$2:$J$301,"&gt;="&amp;A76,Eingangsrechnungen!$J$2:$J$301,"&lt;"&amp;EDATE(A76,1))+SUMIFS(Eingangsrechnungen!$N$2:$N$301,Eingangsrechnungen!$E$2:$E$301,"&gt;="&amp;A76,Eingangsrechnungen!$E$2:$E$301,"&lt;"&amp;EDATE(A76,1),Eingangsrechnungen!$J$2:$J$301,"")</x:f>
        <x:v>0</x:v>
      </x:c>
      <x:c r="F76" s="190" t="n">
        <x:f>SUMIFS(Steuerkalender!$D$2:$D$100,Steuerkalender!$F$2:$F$100,"&gt;="&amp;A76,Steuerkalender!$F$2:$F$100,"&lt;"&amp;EDATE(A76,1))+SUMIFS(Steuerkalender!$D$2:$D$100,Steuerkalender!$B$2:$B$100,"&gt;="&amp;A76,Steuerkalender!$B$2:$B$100,"&lt;"&amp;EDATE(A76,1),Steuerkalender!$E$2:$E$100,"&lt;&gt;Bezahlt")+SUMIFS('USt-Monatsübersicht'!$F$2:$F$115,'USt-Monatsübersicht'!$H$2:$H$115,"&gt;="&amp;A76,'USt-Monatsübersicht'!$H$2:$H$115,"&lt;"&amp;EDATE(A76,1))+SUMIFS('USt-Monatsübersicht'!$F$2:$F$115,'USt-Monatsübersicht'!$B$2:$B$115,"&gt;="&amp;A76,'USt-Monatsübersicht'!$B$2:$B$115,"&lt;"&amp;EDATE(A76,1),'USt-Monatsübersicht'!$G$2:$G$115,"&lt;&gt;Bezahlt")</x:f>
        <x:v>0</x:v>
      </x:c>
      <x:c r="G76" s="191">
        <x:v>2000</x:v>
      </x:c>
      <x:c r="H76" s="191">
        <x:v>0</x:v>
      </x:c>
      <x:c r="I76" s="191">
        <x:v>480</x:v>
      </x:c>
      <x:c r="J76" s="191">
        <x:v>500</x:v>
      </x:c>
      <x:c r="K76" s="191">
        <x:v>0</x:v>
      </x:c>
      <x:c r="L76" s="191">
        <x:v>500</x:v>
      </x:c>
      <x:c r="M76" s="190">
        <x:f t="shared" si="7"/>
        <x:v>-279372.61</x:v>
      </x:c>
      <x:c r="N76" s="192" t="str">
        <x:f t="shared" si="8"/>
        <x:v>KRITISCH</x:v>
      </x:c>
      <x:c r="O76" s="1"/>
      <x:c r="P76" s="1"/>
      <x:c r="Q76" s="1"/>
      <x:c r="R76" s="1"/>
    </x:row>
    <x:row r="77">
      <x:c r="A77" s="189">
        <x:v>48488</x:v>
      </x:c>
      <x:c r="B77" s="190">
        <x:f t="shared" si="6"/>
        <x:v>-279372.61</x:v>
      </x:c>
      <x:c r="C77" s="190" t="n">
        <x:f>SUMIFS(Ausgangsrechnungen!$G$2:$G$301,Ausgangsrechnungen!$J$2:$J$301,"&gt;="&amp;A77,Ausgangsrechnungen!$J$2:$J$301,"&lt;"&amp;EDATE(A77,1))+SUMIFS(Ausgangsrechnungen!$H$2:$H$301,Ausgangsrechnungen!$E$2:$E$301,"&gt;="&amp;A77,Ausgangsrechnungen!$E$2:$E$301,"&lt;"&amp;EDATE(A77,1),Ausgangsrechnungen!$I$2:$I$301,"&lt;&gt;Bezahlt")</x:f>
        <x:v>0</x:v>
      </x:c>
      <x:c r="D77" s="191"/>
      <x:c r="E77" s="190" t="n">
        <x:f>SUMIFS(Eingangsrechnungen!$N$2:$N$301,Eingangsrechnungen!$J$2:$J$301,"&gt;="&amp;A77,Eingangsrechnungen!$J$2:$J$301,"&lt;"&amp;EDATE(A77,1))+SUMIFS(Eingangsrechnungen!$N$2:$N$301,Eingangsrechnungen!$E$2:$E$301,"&gt;="&amp;A77,Eingangsrechnungen!$E$2:$E$301,"&lt;"&amp;EDATE(A77,1),Eingangsrechnungen!$J$2:$J$301,"")</x:f>
        <x:v>0</x:v>
      </x:c>
      <x:c r="F77" s="190" t="n">
        <x:f>SUMIFS(Steuerkalender!$D$2:$D$100,Steuerkalender!$F$2:$F$100,"&gt;="&amp;A77,Steuerkalender!$F$2:$F$100,"&lt;"&amp;EDATE(A77,1))+SUMIFS(Steuerkalender!$D$2:$D$100,Steuerkalender!$B$2:$B$100,"&gt;="&amp;A77,Steuerkalender!$B$2:$B$100,"&lt;"&amp;EDATE(A77,1),Steuerkalender!$E$2:$E$100,"&lt;&gt;Bezahlt")+SUMIFS('USt-Monatsübersicht'!$F$2:$F$115,'USt-Monatsübersicht'!$H$2:$H$115,"&gt;="&amp;A77,'USt-Monatsübersicht'!$H$2:$H$115,"&lt;"&amp;EDATE(A77,1))+SUMIFS('USt-Monatsübersicht'!$F$2:$F$115,'USt-Monatsübersicht'!$B$2:$B$115,"&gt;="&amp;A77,'USt-Monatsübersicht'!$B$2:$B$115,"&lt;"&amp;EDATE(A77,1),'USt-Monatsübersicht'!$G$2:$G$115,"&lt;&gt;Bezahlt")</x:f>
        <x:v>0</x:v>
      </x:c>
      <x:c r="G77" s="191">
        <x:v>2000</x:v>
      </x:c>
      <x:c r="H77" s="191">
        <x:v>0</x:v>
      </x:c>
      <x:c r="I77" s="191">
        <x:v>480</x:v>
      </x:c>
      <x:c r="J77" s="191">
        <x:v>500</x:v>
      </x:c>
      <x:c r="K77" s="191">
        <x:v>0</x:v>
      </x:c>
      <x:c r="L77" s="191">
        <x:v>500</x:v>
      </x:c>
      <x:c r="M77" s="190">
        <x:f t="shared" si="7"/>
        <x:v>-282852.61</x:v>
      </x:c>
      <x:c r="N77" s="192" t="str">
        <x:f t="shared" si="8"/>
        <x:v>KRITISCH</x:v>
      </x:c>
      <x:c r="O77" s="1"/>
      <x:c r="P77" s="1"/>
      <x:c r="Q77" s="1"/>
      <x:c r="R77" s="1"/>
    </x:row>
    <x:row r="78">
      <x:c r="A78" s="189">
        <x:v>48519</x:v>
      </x:c>
      <x:c r="B78" s="190">
        <x:f t="shared" si="6"/>
        <x:v>-282852.61</x:v>
      </x:c>
      <x:c r="C78" s="190" t="n">
        <x:f>SUMIFS(Ausgangsrechnungen!$G$2:$G$301,Ausgangsrechnungen!$J$2:$J$301,"&gt;="&amp;A78,Ausgangsrechnungen!$J$2:$J$301,"&lt;"&amp;EDATE(A78,1))+SUMIFS(Ausgangsrechnungen!$H$2:$H$301,Ausgangsrechnungen!$E$2:$E$301,"&gt;="&amp;A78,Ausgangsrechnungen!$E$2:$E$301,"&lt;"&amp;EDATE(A78,1),Ausgangsrechnungen!$I$2:$I$301,"&lt;&gt;Bezahlt")</x:f>
        <x:v>0</x:v>
      </x:c>
      <x:c r="D78" s="191"/>
      <x:c r="E78" s="190" t="n">
        <x:f>SUMIFS(Eingangsrechnungen!$N$2:$N$301,Eingangsrechnungen!$J$2:$J$301,"&gt;="&amp;A78,Eingangsrechnungen!$J$2:$J$301,"&lt;"&amp;EDATE(A78,1))+SUMIFS(Eingangsrechnungen!$N$2:$N$301,Eingangsrechnungen!$E$2:$E$301,"&gt;="&amp;A78,Eingangsrechnungen!$E$2:$E$301,"&lt;"&amp;EDATE(A78,1),Eingangsrechnungen!$J$2:$J$301,"")</x:f>
        <x:v>0</x:v>
      </x:c>
      <x:c r="F78" s="190" t="n">
        <x:f>SUMIFS(Steuerkalender!$D$2:$D$100,Steuerkalender!$F$2:$F$100,"&gt;="&amp;A78,Steuerkalender!$F$2:$F$100,"&lt;"&amp;EDATE(A78,1))+SUMIFS(Steuerkalender!$D$2:$D$100,Steuerkalender!$B$2:$B$100,"&gt;="&amp;A78,Steuerkalender!$B$2:$B$100,"&lt;"&amp;EDATE(A78,1),Steuerkalender!$E$2:$E$100,"&lt;&gt;Bezahlt")+SUMIFS('USt-Monatsübersicht'!$F$2:$F$115,'USt-Monatsübersicht'!$H$2:$H$115,"&gt;="&amp;A78,'USt-Monatsübersicht'!$H$2:$H$115,"&lt;"&amp;EDATE(A78,1))+SUMIFS('USt-Monatsübersicht'!$F$2:$F$115,'USt-Monatsübersicht'!$B$2:$B$115,"&gt;="&amp;A78,'USt-Monatsübersicht'!$B$2:$B$115,"&lt;"&amp;EDATE(A78,1),'USt-Monatsübersicht'!$G$2:$G$115,"&lt;&gt;Bezahlt")</x:f>
        <x:v>0</x:v>
      </x:c>
      <x:c r="G78" s="191">
        <x:v>2000</x:v>
      </x:c>
      <x:c r="H78" s="191">
        <x:v>0</x:v>
      </x:c>
      <x:c r="I78" s="191">
        <x:v>480</x:v>
      </x:c>
      <x:c r="J78" s="191">
        <x:v>500</x:v>
      </x:c>
      <x:c r="K78" s="191">
        <x:v>0</x:v>
      </x:c>
      <x:c r="L78" s="191">
        <x:v>500</x:v>
      </x:c>
      <x:c r="M78" s="190">
        <x:f t="shared" si="7"/>
        <x:v>-286332.61</x:v>
      </x:c>
      <x:c r="N78" s="192" t="str">
        <x:f t="shared" si="8"/>
        <x:v>KRITISCH</x:v>
      </x:c>
      <x:c r="O78" s="1"/>
      <x:c r="P78" s="1"/>
      <x:c r="Q78" s="1"/>
      <x:c r="R78" s="1"/>
    </x:row>
    <x:row r="79">
      <x:c r="A79" s="189">
        <x:v>48549</x:v>
      </x:c>
      <x:c r="B79" s="190">
        <x:f t="shared" si="6"/>
        <x:v>-286332.61</x:v>
      </x:c>
      <x:c r="C79" s="190" t="n">
        <x:f>SUMIFS(Ausgangsrechnungen!$G$2:$G$301,Ausgangsrechnungen!$J$2:$J$301,"&gt;="&amp;A79,Ausgangsrechnungen!$J$2:$J$301,"&lt;"&amp;EDATE(A79,1))+SUMIFS(Ausgangsrechnungen!$H$2:$H$301,Ausgangsrechnungen!$E$2:$E$301,"&gt;="&amp;A79,Ausgangsrechnungen!$E$2:$E$301,"&lt;"&amp;EDATE(A79,1),Ausgangsrechnungen!$I$2:$I$301,"&lt;&gt;Bezahlt")</x:f>
        <x:v>0</x:v>
      </x:c>
      <x:c r="D79" s="191"/>
      <x:c r="E79" s="190" t="n">
        <x:f>SUMIFS(Eingangsrechnungen!$N$2:$N$301,Eingangsrechnungen!$J$2:$J$301,"&gt;="&amp;A79,Eingangsrechnungen!$J$2:$J$301,"&lt;"&amp;EDATE(A79,1))+SUMIFS(Eingangsrechnungen!$N$2:$N$301,Eingangsrechnungen!$E$2:$E$301,"&gt;="&amp;A79,Eingangsrechnungen!$E$2:$E$301,"&lt;"&amp;EDATE(A79,1),Eingangsrechnungen!$J$2:$J$301,"")</x:f>
        <x:v>0</x:v>
      </x:c>
      <x:c r="F79" s="190" t="n">
        <x:f>SUMIFS(Steuerkalender!$D$2:$D$100,Steuerkalender!$F$2:$F$100,"&gt;="&amp;A79,Steuerkalender!$F$2:$F$100,"&lt;"&amp;EDATE(A79,1))+SUMIFS(Steuerkalender!$D$2:$D$100,Steuerkalender!$B$2:$B$100,"&gt;="&amp;A79,Steuerkalender!$B$2:$B$100,"&lt;"&amp;EDATE(A79,1),Steuerkalender!$E$2:$E$100,"&lt;&gt;Bezahlt")+SUMIFS('USt-Monatsübersicht'!$F$2:$F$115,'USt-Monatsübersicht'!$H$2:$H$115,"&gt;="&amp;A79,'USt-Monatsübersicht'!$H$2:$H$115,"&lt;"&amp;EDATE(A79,1))+SUMIFS('USt-Monatsübersicht'!$F$2:$F$115,'USt-Monatsübersicht'!$B$2:$B$115,"&gt;="&amp;A79,'USt-Monatsübersicht'!$B$2:$B$115,"&lt;"&amp;EDATE(A79,1),'USt-Monatsübersicht'!$G$2:$G$115,"&lt;&gt;Bezahlt")</x:f>
        <x:v>0</x:v>
      </x:c>
      <x:c r="G79" s="191">
        <x:v>2000</x:v>
      </x:c>
      <x:c r="H79" s="191">
        <x:v>0</x:v>
      </x:c>
      <x:c r="I79" s="191">
        <x:v>480</x:v>
      </x:c>
      <x:c r="J79" s="191">
        <x:v>500</x:v>
      </x:c>
      <x:c r="K79" s="191">
        <x:v>0</x:v>
      </x:c>
      <x:c r="L79" s="191">
        <x:v>500</x:v>
      </x:c>
      <x:c r="M79" s="190">
        <x:f t="shared" si="7"/>
        <x:v>-289812.61</x:v>
      </x:c>
      <x:c r="N79" s="192" t="str">
        <x:f t="shared" si="8"/>
        <x:v>KRITISCH</x:v>
      </x:c>
      <x:c r="O79" s="1"/>
      <x:c r="P79" s="1"/>
      <x:c r="Q79" s="1"/>
      <x:c r="R79" s="1"/>
    </x:row>
    <x:row r="80">
      <x:c r="A80" s="189">
        <x:v>48580</x:v>
      </x:c>
      <x:c r="B80" s="190">
        <x:f t="shared" si="6"/>
        <x:v>-289812.61</x:v>
      </x:c>
      <x:c r="C80" s="190" t="n">
        <x:f>SUMIFS(Ausgangsrechnungen!$G$2:$G$301,Ausgangsrechnungen!$J$2:$J$301,"&gt;="&amp;A80,Ausgangsrechnungen!$J$2:$J$301,"&lt;"&amp;EDATE(A80,1))+SUMIFS(Ausgangsrechnungen!$H$2:$H$301,Ausgangsrechnungen!$E$2:$E$301,"&gt;="&amp;A80,Ausgangsrechnungen!$E$2:$E$301,"&lt;"&amp;EDATE(A80,1),Ausgangsrechnungen!$I$2:$I$301,"&lt;&gt;Bezahlt")</x:f>
        <x:v>0</x:v>
      </x:c>
      <x:c r="D80" s="191"/>
      <x:c r="E80" s="190" t="n">
        <x:f>SUMIFS(Eingangsrechnungen!$N$2:$N$301,Eingangsrechnungen!$J$2:$J$301,"&gt;="&amp;A80,Eingangsrechnungen!$J$2:$J$301,"&lt;"&amp;EDATE(A80,1))+SUMIFS(Eingangsrechnungen!$N$2:$N$301,Eingangsrechnungen!$E$2:$E$301,"&gt;="&amp;A80,Eingangsrechnungen!$E$2:$E$301,"&lt;"&amp;EDATE(A80,1),Eingangsrechnungen!$J$2:$J$301,"")</x:f>
        <x:v>0</x:v>
      </x:c>
      <x:c r="F80" s="190" t="n">
        <x:f>SUMIFS(Steuerkalender!$D$2:$D$100,Steuerkalender!$F$2:$F$100,"&gt;="&amp;A80,Steuerkalender!$F$2:$F$100,"&lt;"&amp;EDATE(A80,1))+SUMIFS(Steuerkalender!$D$2:$D$100,Steuerkalender!$B$2:$B$100,"&gt;="&amp;A80,Steuerkalender!$B$2:$B$100,"&lt;"&amp;EDATE(A80,1),Steuerkalender!$E$2:$E$100,"&lt;&gt;Bezahlt")+SUMIFS('USt-Monatsübersicht'!$F$2:$F$115,'USt-Monatsübersicht'!$H$2:$H$115,"&gt;="&amp;A80,'USt-Monatsübersicht'!$H$2:$H$115,"&lt;"&amp;EDATE(A80,1))+SUMIFS('USt-Monatsübersicht'!$F$2:$F$115,'USt-Monatsübersicht'!$B$2:$B$115,"&gt;="&amp;A80,'USt-Monatsübersicht'!$B$2:$B$115,"&lt;"&amp;EDATE(A80,1),'USt-Monatsübersicht'!$G$2:$G$115,"&lt;&gt;Bezahlt")</x:f>
        <x:v>0</x:v>
      </x:c>
      <x:c r="G80" s="191">
        <x:v>2000</x:v>
      </x:c>
      <x:c r="H80" s="191">
        <x:v>0</x:v>
      </x:c>
      <x:c r="I80" s="191">
        <x:v>480</x:v>
      </x:c>
      <x:c r="J80" s="191">
        <x:v>500</x:v>
      </x:c>
      <x:c r="K80" s="191">
        <x:v>0</x:v>
      </x:c>
      <x:c r="L80" s="191">
        <x:v>500</x:v>
      </x:c>
      <x:c r="M80" s="190">
        <x:f t="shared" si="7"/>
        <x:v>-293292.61</x:v>
      </x:c>
      <x:c r="N80" s="192" t="str">
        <x:f t="shared" si="8"/>
        <x:v>KRITISCH</x:v>
      </x:c>
      <x:c r="O80" s="1"/>
      <x:c r="P80" s="1"/>
      <x:c r="Q80" s="1"/>
      <x:c r="R80" s="1"/>
    </x:row>
    <x:row r="81">
      <x:c r="A81" s="189">
        <x:v>48611</x:v>
      </x:c>
      <x:c r="B81" s="190">
        <x:f t="shared" si="6"/>
        <x:v>-293292.61</x:v>
      </x:c>
      <x:c r="C81" s="190" t="n">
        <x:f>SUMIFS(Ausgangsrechnungen!$G$2:$G$301,Ausgangsrechnungen!$J$2:$J$301,"&gt;="&amp;A81,Ausgangsrechnungen!$J$2:$J$301,"&lt;"&amp;EDATE(A81,1))+SUMIFS(Ausgangsrechnungen!$H$2:$H$301,Ausgangsrechnungen!$E$2:$E$301,"&gt;="&amp;A81,Ausgangsrechnungen!$E$2:$E$301,"&lt;"&amp;EDATE(A81,1),Ausgangsrechnungen!$I$2:$I$301,"&lt;&gt;Bezahlt")</x:f>
        <x:v>0</x:v>
      </x:c>
      <x:c r="D81" s="191"/>
      <x:c r="E81" s="190" t="n">
        <x:f>SUMIFS(Eingangsrechnungen!$N$2:$N$301,Eingangsrechnungen!$J$2:$J$301,"&gt;="&amp;A81,Eingangsrechnungen!$J$2:$J$301,"&lt;"&amp;EDATE(A81,1))+SUMIFS(Eingangsrechnungen!$N$2:$N$301,Eingangsrechnungen!$E$2:$E$301,"&gt;="&amp;A81,Eingangsrechnungen!$E$2:$E$301,"&lt;"&amp;EDATE(A81,1),Eingangsrechnungen!$J$2:$J$301,"")</x:f>
        <x:v>0</x:v>
      </x:c>
      <x:c r="F81" s="190" t="n">
        <x:f>SUMIFS(Steuerkalender!$D$2:$D$100,Steuerkalender!$F$2:$F$100,"&gt;="&amp;A81,Steuerkalender!$F$2:$F$100,"&lt;"&amp;EDATE(A81,1))+SUMIFS(Steuerkalender!$D$2:$D$100,Steuerkalender!$B$2:$B$100,"&gt;="&amp;A81,Steuerkalender!$B$2:$B$100,"&lt;"&amp;EDATE(A81,1),Steuerkalender!$E$2:$E$100,"&lt;&gt;Bezahlt")+SUMIFS('USt-Monatsübersicht'!$F$2:$F$115,'USt-Monatsübersicht'!$H$2:$H$115,"&gt;="&amp;A81,'USt-Monatsübersicht'!$H$2:$H$115,"&lt;"&amp;EDATE(A81,1))+SUMIFS('USt-Monatsübersicht'!$F$2:$F$115,'USt-Monatsübersicht'!$B$2:$B$115,"&gt;="&amp;A81,'USt-Monatsübersicht'!$B$2:$B$115,"&lt;"&amp;EDATE(A81,1),'USt-Monatsübersicht'!$G$2:$G$115,"&lt;&gt;Bezahlt")</x:f>
        <x:v>0</x:v>
      </x:c>
      <x:c r="G81" s="191">
        <x:v>2000</x:v>
      </x:c>
      <x:c r="H81" s="191">
        <x:v>0</x:v>
      </x:c>
      <x:c r="I81" s="191">
        <x:v>480</x:v>
      </x:c>
      <x:c r="J81" s="191">
        <x:v>500</x:v>
      </x:c>
      <x:c r="K81" s="191">
        <x:v>0</x:v>
      </x:c>
      <x:c r="L81" s="191">
        <x:v>500</x:v>
      </x:c>
      <x:c r="M81" s="190">
        <x:f t="shared" si="7"/>
        <x:v>-296772.61</x:v>
      </x:c>
      <x:c r="N81" s="192" t="str">
        <x:f t="shared" si="8"/>
        <x:v>KRITISCH</x:v>
      </x:c>
      <x:c r="O81" s="1"/>
      <x:c r="P81" s="1"/>
      <x:c r="Q81" s="1"/>
      <x:c r="R81" s="1"/>
    </x:row>
    <x:row r="82">
      <x:c r="A82" s="189">
        <x:v>48639</x:v>
      </x:c>
      <x:c r="B82" s="190">
        <x:f t="shared" si="6"/>
        <x:v>-296772.61</x:v>
      </x:c>
      <x:c r="C82" s="190" t="n">
        <x:f>SUMIFS(Ausgangsrechnungen!$G$2:$G$301,Ausgangsrechnungen!$J$2:$J$301,"&gt;="&amp;A82,Ausgangsrechnungen!$J$2:$J$301,"&lt;"&amp;EDATE(A82,1))+SUMIFS(Ausgangsrechnungen!$H$2:$H$301,Ausgangsrechnungen!$E$2:$E$301,"&gt;="&amp;A82,Ausgangsrechnungen!$E$2:$E$301,"&lt;"&amp;EDATE(A82,1),Ausgangsrechnungen!$I$2:$I$301,"&lt;&gt;Bezahlt")</x:f>
        <x:v>0</x:v>
      </x:c>
      <x:c r="D82" s="191"/>
      <x:c r="E82" s="190" t="n">
        <x:f>SUMIFS(Eingangsrechnungen!$N$2:$N$301,Eingangsrechnungen!$J$2:$J$301,"&gt;="&amp;A82,Eingangsrechnungen!$J$2:$J$301,"&lt;"&amp;EDATE(A82,1))+SUMIFS(Eingangsrechnungen!$N$2:$N$301,Eingangsrechnungen!$E$2:$E$301,"&gt;="&amp;A82,Eingangsrechnungen!$E$2:$E$301,"&lt;"&amp;EDATE(A82,1),Eingangsrechnungen!$J$2:$J$301,"")</x:f>
        <x:v>0</x:v>
      </x:c>
      <x:c r="F82" s="190" t="n">
        <x:f>SUMIFS(Steuerkalender!$D$2:$D$100,Steuerkalender!$F$2:$F$100,"&gt;="&amp;A82,Steuerkalender!$F$2:$F$100,"&lt;"&amp;EDATE(A82,1))+SUMIFS(Steuerkalender!$D$2:$D$100,Steuerkalender!$B$2:$B$100,"&gt;="&amp;A82,Steuerkalender!$B$2:$B$100,"&lt;"&amp;EDATE(A82,1),Steuerkalender!$E$2:$E$100,"&lt;&gt;Bezahlt")+SUMIFS('USt-Monatsübersicht'!$F$2:$F$115,'USt-Monatsübersicht'!$H$2:$H$115,"&gt;="&amp;A82,'USt-Monatsübersicht'!$H$2:$H$115,"&lt;"&amp;EDATE(A82,1))+SUMIFS('USt-Monatsübersicht'!$F$2:$F$115,'USt-Monatsübersicht'!$B$2:$B$115,"&gt;="&amp;A82,'USt-Monatsübersicht'!$B$2:$B$115,"&lt;"&amp;EDATE(A82,1),'USt-Monatsübersicht'!$G$2:$G$115,"&lt;&gt;Bezahlt")</x:f>
        <x:v>0</x:v>
      </x:c>
      <x:c r="G82" s="191">
        <x:v>2000</x:v>
      </x:c>
      <x:c r="H82" s="191">
        <x:v>0</x:v>
      </x:c>
      <x:c r="I82" s="191">
        <x:v>480</x:v>
      </x:c>
      <x:c r="J82" s="191">
        <x:v>500</x:v>
      </x:c>
      <x:c r="K82" s="191">
        <x:v>0</x:v>
      </x:c>
      <x:c r="L82" s="191">
        <x:v>500</x:v>
      </x:c>
      <x:c r="M82" s="190">
        <x:f t="shared" si="7"/>
        <x:v>-300252.61</x:v>
      </x:c>
      <x:c r="N82" s="192" t="str">
        <x:f t="shared" si="8"/>
        <x:v>KRITISCH</x:v>
      </x:c>
      <x:c r="O82" s="1"/>
      <x:c r="P82" s="1"/>
      <x:c r="Q82" s="1"/>
      <x:c r="R82" s="1"/>
    </x:row>
    <x:row r="83">
      <x:c r="A83" s="189">
        <x:v>48670</x:v>
      </x:c>
      <x:c r="B83" s="190">
        <x:f t="shared" si="6"/>
        <x:v>-300252.61</x:v>
      </x:c>
      <x:c r="C83" s="190" t="n">
        <x:f>SUMIFS(Ausgangsrechnungen!$G$2:$G$301,Ausgangsrechnungen!$J$2:$J$301,"&gt;="&amp;A83,Ausgangsrechnungen!$J$2:$J$301,"&lt;"&amp;EDATE(A83,1))+SUMIFS(Ausgangsrechnungen!$H$2:$H$301,Ausgangsrechnungen!$E$2:$E$301,"&gt;="&amp;A83,Ausgangsrechnungen!$E$2:$E$301,"&lt;"&amp;EDATE(A83,1),Ausgangsrechnungen!$I$2:$I$301,"&lt;&gt;Bezahlt")</x:f>
        <x:v>0</x:v>
      </x:c>
      <x:c r="D83" s="191"/>
      <x:c r="E83" s="190" t="n">
        <x:f>SUMIFS(Eingangsrechnungen!$N$2:$N$301,Eingangsrechnungen!$J$2:$J$301,"&gt;="&amp;A83,Eingangsrechnungen!$J$2:$J$301,"&lt;"&amp;EDATE(A83,1))+SUMIFS(Eingangsrechnungen!$N$2:$N$301,Eingangsrechnungen!$E$2:$E$301,"&gt;="&amp;A83,Eingangsrechnungen!$E$2:$E$301,"&lt;"&amp;EDATE(A83,1),Eingangsrechnungen!$J$2:$J$301,"")</x:f>
        <x:v>0</x:v>
      </x:c>
      <x:c r="F83" s="190" t="n">
        <x:f>SUMIFS(Steuerkalender!$D$2:$D$100,Steuerkalender!$F$2:$F$100,"&gt;="&amp;A83,Steuerkalender!$F$2:$F$100,"&lt;"&amp;EDATE(A83,1))+SUMIFS(Steuerkalender!$D$2:$D$100,Steuerkalender!$B$2:$B$100,"&gt;="&amp;A83,Steuerkalender!$B$2:$B$100,"&lt;"&amp;EDATE(A83,1),Steuerkalender!$E$2:$E$100,"&lt;&gt;Bezahlt")+SUMIFS('USt-Monatsübersicht'!$F$2:$F$115,'USt-Monatsübersicht'!$H$2:$H$115,"&gt;="&amp;A83,'USt-Monatsübersicht'!$H$2:$H$115,"&lt;"&amp;EDATE(A83,1))+SUMIFS('USt-Monatsübersicht'!$F$2:$F$115,'USt-Monatsübersicht'!$B$2:$B$115,"&gt;="&amp;A83,'USt-Monatsübersicht'!$B$2:$B$115,"&lt;"&amp;EDATE(A83,1),'USt-Monatsübersicht'!$G$2:$G$115,"&lt;&gt;Bezahlt")</x:f>
        <x:v>0</x:v>
      </x:c>
      <x:c r="G83" s="191">
        <x:v>2000</x:v>
      </x:c>
      <x:c r="H83" s="191">
        <x:v>0</x:v>
      </x:c>
      <x:c r="I83" s="191">
        <x:v>480</x:v>
      </x:c>
      <x:c r="J83" s="191">
        <x:v>500</x:v>
      </x:c>
      <x:c r="K83" s="191">
        <x:v>0</x:v>
      </x:c>
      <x:c r="L83" s="191">
        <x:v>500</x:v>
      </x:c>
      <x:c r="M83" s="190">
        <x:f t="shared" si="7"/>
        <x:v>-303732.61</x:v>
      </x:c>
      <x:c r="N83" s="192" t="str">
        <x:f t="shared" si="8"/>
        <x:v>KRITISCH</x:v>
      </x:c>
      <x:c r="O83" s="1"/>
      <x:c r="P83" s="1"/>
      <x:c r="Q83" s="1"/>
      <x:c r="R83" s="1"/>
    </x:row>
    <x:row r="84">
      <x:c r="A84" s="189">
        <x:v>48700</x:v>
      </x:c>
      <x:c r="B84" s="190" t="n">
        <x:f t="shared" ref="B84:B115" si="9">M83</x:f>
        <x:v>-303732.61</x:v>
      </x:c>
      <x:c r="C84" s="190" t="n">
        <x:f>SUMIFS(Ausgangsrechnungen!$G$2:$G$301,Ausgangsrechnungen!$J$2:$J$301,"&gt;="&amp;A84,Ausgangsrechnungen!$J$2:$J$301,"&lt;"&amp;EDATE(A84,1))+SUMIFS(Ausgangsrechnungen!$H$2:$H$301,Ausgangsrechnungen!$E$2:$E$301,"&gt;="&amp;A84,Ausgangsrechnungen!$E$2:$E$301,"&lt;"&amp;EDATE(A84,1),Ausgangsrechnungen!$I$2:$I$301,"&lt;&gt;Bezahlt")</x:f>
        <x:v>0</x:v>
      </x:c>
      <x:c r="D84" s="191"/>
      <x:c r="E84" s="190" t="n">
        <x:f>SUMIFS(Eingangsrechnungen!$N$2:$N$301,Eingangsrechnungen!$J$2:$J$301,"&gt;="&amp;A84,Eingangsrechnungen!$J$2:$J$301,"&lt;"&amp;EDATE(A84,1))+SUMIFS(Eingangsrechnungen!$N$2:$N$301,Eingangsrechnungen!$E$2:$E$301,"&gt;="&amp;A84,Eingangsrechnungen!$E$2:$E$301,"&lt;"&amp;EDATE(A84,1),Eingangsrechnungen!$J$2:$J$301,"")</x:f>
        <x:v>0</x:v>
      </x:c>
      <x:c r="F84" s="190" t="n">
        <x:f>SUMIFS(Steuerkalender!$D$2:$D$100,Steuerkalender!$F$2:$F$100,"&gt;="&amp;A84,Steuerkalender!$F$2:$F$100,"&lt;"&amp;EDATE(A84,1))+SUMIFS(Steuerkalender!$D$2:$D$100,Steuerkalender!$B$2:$B$100,"&gt;="&amp;A84,Steuerkalender!$B$2:$B$100,"&lt;"&amp;EDATE(A84,1),Steuerkalender!$E$2:$E$100,"&lt;&gt;Bezahlt")+SUMIFS('USt-Monatsübersicht'!$F$2:$F$115,'USt-Monatsübersicht'!$H$2:$H$115,"&gt;="&amp;A84,'USt-Monatsübersicht'!$H$2:$H$115,"&lt;"&amp;EDATE(A84,1))+SUMIFS('USt-Monatsübersicht'!$F$2:$F$115,'USt-Monatsübersicht'!$B$2:$B$115,"&gt;="&amp;A84,'USt-Monatsübersicht'!$B$2:$B$115,"&lt;"&amp;EDATE(A84,1),'USt-Monatsübersicht'!$G$2:$G$115,"&lt;&gt;Bezahlt")</x:f>
        <x:v>0</x:v>
      </x:c>
      <x:c r="G84" s="191">
        <x:v>2000</x:v>
      </x:c>
      <x:c r="H84" s="191">
        <x:v>0</x:v>
      </x:c>
      <x:c r="I84" s="191">
        <x:v>480</x:v>
      </x:c>
      <x:c r="J84" s="191">
        <x:v>500</x:v>
      </x:c>
      <x:c r="K84" s="191">
        <x:v>0</x:v>
      </x:c>
      <x:c r="L84" s="191">
        <x:v>500</x:v>
      </x:c>
      <x:c r="M84" s="190" t="n">
        <x:f t="shared" ref="M84:M115" si="10">B84+C84+D84-E84-F84-G84-H84-I84-J84-K84-L84</x:f>
        <x:v>-307212.61</x:v>
      </x:c>
      <x:c r="N84" s="192" t="str">
        <x:f t="shared" si="8"/>
        <x:v>KRITISCH</x:v>
      </x:c>
      <x:c r="O84" s="1"/>
      <x:c r="P84" s="1"/>
      <x:c r="Q84" s="1"/>
      <x:c r="R84" s="1"/>
    </x:row>
    <x:row r="85">
      <x:c r="A85" s="189">
        <x:v>48731</x:v>
      </x:c>
      <x:c r="B85" s="190">
        <x:f t="shared" si="9"/>
        <x:v>-307212.61</x:v>
      </x:c>
      <x:c r="C85" s="190" t="n">
        <x:f>SUMIFS(Ausgangsrechnungen!$G$2:$G$301,Ausgangsrechnungen!$J$2:$J$301,"&gt;="&amp;A85,Ausgangsrechnungen!$J$2:$J$301,"&lt;"&amp;EDATE(A85,1))+SUMIFS(Ausgangsrechnungen!$H$2:$H$301,Ausgangsrechnungen!$E$2:$E$301,"&gt;="&amp;A85,Ausgangsrechnungen!$E$2:$E$301,"&lt;"&amp;EDATE(A85,1),Ausgangsrechnungen!$I$2:$I$301,"&lt;&gt;Bezahlt")</x:f>
        <x:v>0</x:v>
      </x:c>
      <x:c r="D85" s="191"/>
      <x:c r="E85" s="190" t="n">
        <x:f>SUMIFS(Eingangsrechnungen!$N$2:$N$301,Eingangsrechnungen!$J$2:$J$301,"&gt;="&amp;A85,Eingangsrechnungen!$J$2:$J$301,"&lt;"&amp;EDATE(A85,1))+SUMIFS(Eingangsrechnungen!$N$2:$N$301,Eingangsrechnungen!$E$2:$E$301,"&gt;="&amp;A85,Eingangsrechnungen!$E$2:$E$301,"&lt;"&amp;EDATE(A85,1),Eingangsrechnungen!$J$2:$J$301,"")</x:f>
        <x:v>0</x:v>
      </x:c>
      <x:c r="F85" s="190" t="n">
        <x:f>SUMIFS(Steuerkalender!$D$2:$D$100,Steuerkalender!$F$2:$F$100,"&gt;="&amp;A85,Steuerkalender!$F$2:$F$100,"&lt;"&amp;EDATE(A85,1))+SUMIFS(Steuerkalender!$D$2:$D$100,Steuerkalender!$B$2:$B$100,"&gt;="&amp;A85,Steuerkalender!$B$2:$B$100,"&lt;"&amp;EDATE(A85,1),Steuerkalender!$E$2:$E$100,"&lt;&gt;Bezahlt")+SUMIFS('USt-Monatsübersicht'!$F$2:$F$115,'USt-Monatsübersicht'!$H$2:$H$115,"&gt;="&amp;A85,'USt-Monatsübersicht'!$H$2:$H$115,"&lt;"&amp;EDATE(A85,1))+SUMIFS('USt-Monatsübersicht'!$F$2:$F$115,'USt-Monatsübersicht'!$B$2:$B$115,"&gt;="&amp;A85,'USt-Monatsübersicht'!$B$2:$B$115,"&lt;"&amp;EDATE(A85,1),'USt-Monatsübersicht'!$G$2:$G$115,"&lt;&gt;Bezahlt")</x:f>
        <x:v>0</x:v>
      </x:c>
      <x:c r="G85" s="191">
        <x:v>2000</x:v>
      </x:c>
      <x:c r="H85" s="191">
        <x:v>0</x:v>
      </x:c>
      <x:c r="I85" s="191">
        <x:v>480</x:v>
      </x:c>
      <x:c r="J85" s="191">
        <x:v>500</x:v>
      </x:c>
      <x:c r="K85" s="191">
        <x:v>0</x:v>
      </x:c>
      <x:c r="L85" s="191">
        <x:v>500</x:v>
      </x:c>
      <x:c r="M85" s="190">
        <x:f t="shared" si="10"/>
        <x:v>-310692.61</x:v>
      </x:c>
      <x:c r="N85" s="192" t="str">
        <x:f t="shared" si="8"/>
        <x:v>KRITISCH</x:v>
      </x:c>
      <x:c r="O85" s="1"/>
      <x:c r="P85" s="1"/>
      <x:c r="Q85" s="1"/>
      <x:c r="R85" s="1"/>
    </x:row>
    <x:row r="86">
      <x:c r="A86" s="189">
        <x:v>48761</x:v>
      </x:c>
      <x:c r="B86" s="190">
        <x:f t="shared" si="9"/>
        <x:v>-310692.61</x:v>
      </x:c>
      <x:c r="C86" s="190" t="n">
        <x:f>SUMIFS(Ausgangsrechnungen!$G$2:$G$301,Ausgangsrechnungen!$J$2:$J$301,"&gt;="&amp;A86,Ausgangsrechnungen!$J$2:$J$301,"&lt;"&amp;EDATE(A86,1))+SUMIFS(Ausgangsrechnungen!$H$2:$H$301,Ausgangsrechnungen!$E$2:$E$301,"&gt;="&amp;A86,Ausgangsrechnungen!$E$2:$E$301,"&lt;"&amp;EDATE(A86,1),Ausgangsrechnungen!$I$2:$I$301,"&lt;&gt;Bezahlt")</x:f>
        <x:v>0</x:v>
      </x:c>
      <x:c r="D86" s="191"/>
      <x:c r="E86" s="190" t="n">
        <x:f>SUMIFS(Eingangsrechnungen!$N$2:$N$301,Eingangsrechnungen!$J$2:$J$301,"&gt;="&amp;A86,Eingangsrechnungen!$J$2:$J$301,"&lt;"&amp;EDATE(A86,1))+SUMIFS(Eingangsrechnungen!$N$2:$N$301,Eingangsrechnungen!$E$2:$E$301,"&gt;="&amp;A86,Eingangsrechnungen!$E$2:$E$301,"&lt;"&amp;EDATE(A86,1),Eingangsrechnungen!$J$2:$J$301,"")</x:f>
        <x:v>0</x:v>
      </x:c>
      <x:c r="F86" s="190" t="n">
        <x:f>SUMIFS(Steuerkalender!$D$2:$D$100,Steuerkalender!$F$2:$F$100,"&gt;="&amp;A86,Steuerkalender!$F$2:$F$100,"&lt;"&amp;EDATE(A86,1))+SUMIFS(Steuerkalender!$D$2:$D$100,Steuerkalender!$B$2:$B$100,"&gt;="&amp;A86,Steuerkalender!$B$2:$B$100,"&lt;"&amp;EDATE(A86,1),Steuerkalender!$E$2:$E$100,"&lt;&gt;Bezahlt")+SUMIFS('USt-Monatsübersicht'!$F$2:$F$115,'USt-Monatsübersicht'!$H$2:$H$115,"&gt;="&amp;A86,'USt-Monatsübersicht'!$H$2:$H$115,"&lt;"&amp;EDATE(A86,1))+SUMIFS('USt-Monatsübersicht'!$F$2:$F$115,'USt-Monatsübersicht'!$B$2:$B$115,"&gt;="&amp;A86,'USt-Monatsübersicht'!$B$2:$B$115,"&lt;"&amp;EDATE(A86,1),'USt-Monatsübersicht'!$G$2:$G$115,"&lt;&gt;Bezahlt")</x:f>
        <x:v>0</x:v>
      </x:c>
      <x:c r="G86" s="191">
        <x:v>2000</x:v>
      </x:c>
      <x:c r="H86" s="191">
        <x:v>0</x:v>
      </x:c>
      <x:c r="I86" s="191">
        <x:v>480</x:v>
      </x:c>
      <x:c r="J86" s="191">
        <x:v>500</x:v>
      </x:c>
      <x:c r="K86" s="191">
        <x:v>0</x:v>
      </x:c>
      <x:c r="L86" s="191">
        <x:v>500</x:v>
      </x:c>
      <x:c r="M86" s="190">
        <x:f t="shared" si="10"/>
        <x:v>-314172.61</x:v>
      </x:c>
      <x:c r="N86" s="192" t="str">
        <x:f t="shared" si="8"/>
        <x:v>KRITISCH</x:v>
      </x:c>
      <x:c r="O86" s="1"/>
      <x:c r="P86" s="1"/>
      <x:c r="Q86" s="1"/>
      <x:c r="R86" s="1"/>
    </x:row>
    <x:row r="87">
      <x:c r="A87" s="189">
        <x:v>48792</x:v>
      </x:c>
      <x:c r="B87" s="190">
        <x:f t="shared" si="9"/>
        <x:v>-314172.61</x:v>
      </x:c>
      <x:c r="C87" s="190" t="n">
        <x:f>SUMIFS(Ausgangsrechnungen!$G$2:$G$301,Ausgangsrechnungen!$J$2:$J$301,"&gt;="&amp;A87,Ausgangsrechnungen!$J$2:$J$301,"&lt;"&amp;EDATE(A87,1))+SUMIFS(Ausgangsrechnungen!$H$2:$H$301,Ausgangsrechnungen!$E$2:$E$301,"&gt;="&amp;A87,Ausgangsrechnungen!$E$2:$E$301,"&lt;"&amp;EDATE(A87,1),Ausgangsrechnungen!$I$2:$I$301,"&lt;&gt;Bezahlt")</x:f>
        <x:v>0</x:v>
      </x:c>
      <x:c r="D87" s="191"/>
      <x:c r="E87" s="190" t="n">
        <x:f>SUMIFS(Eingangsrechnungen!$N$2:$N$301,Eingangsrechnungen!$J$2:$J$301,"&gt;="&amp;A87,Eingangsrechnungen!$J$2:$J$301,"&lt;"&amp;EDATE(A87,1))+SUMIFS(Eingangsrechnungen!$N$2:$N$301,Eingangsrechnungen!$E$2:$E$301,"&gt;="&amp;A87,Eingangsrechnungen!$E$2:$E$301,"&lt;"&amp;EDATE(A87,1),Eingangsrechnungen!$J$2:$J$301,"")</x:f>
        <x:v>0</x:v>
      </x:c>
      <x:c r="F87" s="190" t="n">
        <x:f>SUMIFS(Steuerkalender!$D$2:$D$100,Steuerkalender!$F$2:$F$100,"&gt;="&amp;A87,Steuerkalender!$F$2:$F$100,"&lt;"&amp;EDATE(A87,1))+SUMIFS(Steuerkalender!$D$2:$D$100,Steuerkalender!$B$2:$B$100,"&gt;="&amp;A87,Steuerkalender!$B$2:$B$100,"&lt;"&amp;EDATE(A87,1),Steuerkalender!$E$2:$E$100,"&lt;&gt;Bezahlt")+SUMIFS('USt-Monatsübersicht'!$F$2:$F$115,'USt-Monatsübersicht'!$H$2:$H$115,"&gt;="&amp;A87,'USt-Monatsübersicht'!$H$2:$H$115,"&lt;"&amp;EDATE(A87,1))+SUMIFS('USt-Monatsübersicht'!$F$2:$F$115,'USt-Monatsübersicht'!$B$2:$B$115,"&gt;="&amp;A87,'USt-Monatsübersicht'!$B$2:$B$115,"&lt;"&amp;EDATE(A87,1),'USt-Monatsübersicht'!$G$2:$G$115,"&lt;&gt;Bezahlt")</x:f>
        <x:v>0</x:v>
      </x:c>
      <x:c r="G87" s="191">
        <x:v>2000</x:v>
      </x:c>
      <x:c r="H87" s="191">
        <x:v>0</x:v>
      </x:c>
      <x:c r="I87" s="191">
        <x:v>480</x:v>
      </x:c>
      <x:c r="J87" s="191">
        <x:v>500</x:v>
      </x:c>
      <x:c r="K87" s="191">
        <x:v>0</x:v>
      </x:c>
      <x:c r="L87" s="191">
        <x:v>500</x:v>
      </x:c>
      <x:c r="M87" s="190">
        <x:f t="shared" si="10"/>
        <x:v>-317652.61</x:v>
      </x:c>
      <x:c r="N87" s="192" t="str">
        <x:f t="shared" si="8"/>
        <x:v>KRITISCH</x:v>
      </x:c>
      <x:c r="O87" s="1"/>
      <x:c r="P87" s="1"/>
      <x:c r="Q87" s="1"/>
      <x:c r="R87" s="1"/>
    </x:row>
    <x:row r="88">
      <x:c r="A88" s="189">
        <x:v>48823</x:v>
      </x:c>
      <x:c r="B88" s="190">
        <x:f t="shared" si="9"/>
        <x:v>-317652.61</x:v>
      </x:c>
      <x:c r="C88" s="190" t="n">
        <x:f>SUMIFS(Ausgangsrechnungen!$G$2:$G$301,Ausgangsrechnungen!$J$2:$J$301,"&gt;="&amp;A88,Ausgangsrechnungen!$J$2:$J$301,"&lt;"&amp;EDATE(A88,1))+SUMIFS(Ausgangsrechnungen!$H$2:$H$301,Ausgangsrechnungen!$E$2:$E$301,"&gt;="&amp;A88,Ausgangsrechnungen!$E$2:$E$301,"&lt;"&amp;EDATE(A88,1),Ausgangsrechnungen!$I$2:$I$301,"&lt;&gt;Bezahlt")</x:f>
        <x:v>0</x:v>
      </x:c>
      <x:c r="D88" s="191"/>
      <x:c r="E88" s="190" t="n">
        <x:f>SUMIFS(Eingangsrechnungen!$N$2:$N$301,Eingangsrechnungen!$J$2:$J$301,"&gt;="&amp;A88,Eingangsrechnungen!$J$2:$J$301,"&lt;"&amp;EDATE(A88,1))+SUMIFS(Eingangsrechnungen!$N$2:$N$301,Eingangsrechnungen!$E$2:$E$301,"&gt;="&amp;A88,Eingangsrechnungen!$E$2:$E$301,"&lt;"&amp;EDATE(A88,1),Eingangsrechnungen!$J$2:$J$301,"")</x:f>
        <x:v>0</x:v>
      </x:c>
      <x:c r="F88" s="190" t="n">
        <x:f>SUMIFS(Steuerkalender!$D$2:$D$100,Steuerkalender!$F$2:$F$100,"&gt;="&amp;A88,Steuerkalender!$F$2:$F$100,"&lt;"&amp;EDATE(A88,1))+SUMIFS(Steuerkalender!$D$2:$D$100,Steuerkalender!$B$2:$B$100,"&gt;="&amp;A88,Steuerkalender!$B$2:$B$100,"&lt;"&amp;EDATE(A88,1),Steuerkalender!$E$2:$E$100,"&lt;&gt;Bezahlt")+SUMIFS('USt-Monatsübersicht'!$F$2:$F$115,'USt-Monatsübersicht'!$H$2:$H$115,"&gt;="&amp;A88,'USt-Monatsübersicht'!$H$2:$H$115,"&lt;"&amp;EDATE(A88,1))+SUMIFS('USt-Monatsübersicht'!$F$2:$F$115,'USt-Monatsübersicht'!$B$2:$B$115,"&gt;="&amp;A88,'USt-Monatsübersicht'!$B$2:$B$115,"&lt;"&amp;EDATE(A88,1),'USt-Monatsübersicht'!$G$2:$G$115,"&lt;&gt;Bezahlt")</x:f>
        <x:v>0</x:v>
      </x:c>
      <x:c r="G88" s="191">
        <x:v>2000</x:v>
      </x:c>
      <x:c r="H88" s="191">
        <x:v>0</x:v>
      </x:c>
      <x:c r="I88" s="191">
        <x:v>480</x:v>
      </x:c>
      <x:c r="J88" s="191">
        <x:v>500</x:v>
      </x:c>
      <x:c r="K88" s="191">
        <x:v>0</x:v>
      </x:c>
      <x:c r="L88" s="191">
        <x:v>500</x:v>
      </x:c>
      <x:c r="M88" s="190">
        <x:f t="shared" si="10"/>
        <x:v>-321132.61</x:v>
      </x:c>
      <x:c r="N88" s="192" t="str">
        <x:f t="shared" si="8"/>
        <x:v>KRITISCH</x:v>
      </x:c>
      <x:c r="O88" s="1"/>
      <x:c r="P88" s="1"/>
      <x:c r="Q88" s="1"/>
      <x:c r="R88" s="1"/>
    </x:row>
    <x:row r="89">
      <x:c r="A89" s="189">
        <x:v>48853</x:v>
      </x:c>
      <x:c r="B89" s="190">
        <x:f t="shared" si="9"/>
        <x:v>-321132.61</x:v>
      </x:c>
      <x:c r="C89" s="190" t="n">
        <x:f>SUMIFS(Ausgangsrechnungen!$G$2:$G$301,Ausgangsrechnungen!$J$2:$J$301,"&gt;="&amp;A89,Ausgangsrechnungen!$J$2:$J$301,"&lt;"&amp;EDATE(A89,1))+SUMIFS(Ausgangsrechnungen!$H$2:$H$301,Ausgangsrechnungen!$E$2:$E$301,"&gt;="&amp;A89,Ausgangsrechnungen!$E$2:$E$301,"&lt;"&amp;EDATE(A89,1),Ausgangsrechnungen!$I$2:$I$301,"&lt;&gt;Bezahlt")</x:f>
        <x:v>0</x:v>
      </x:c>
      <x:c r="D89" s="191"/>
      <x:c r="E89" s="190" t="n">
        <x:f>SUMIFS(Eingangsrechnungen!$N$2:$N$301,Eingangsrechnungen!$J$2:$J$301,"&gt;="&amp;A89,Eingangsrechnungen!$J$2:$J$301,"&lt;"&amp;EDATE(A89,1))+SUMIFS(Eingangsrechnungen!$N$2:$N$301,Eingangsrechnungen!$E$2:$E$301,"&gt;="&amp;A89,Eingangsrechnungen!$E$2:$E$301,"&lt;"&amp;EDATE(A89,1),Eingangsrechnungen!$J$2:$J$301,"")</x:f>
        <x:v>0</x:v>
      </x:c>
      <x:c r="F89" s="190" t="n">
        <x:f>SUMIFS(Steuerkalender!$D$2:$D$100,Steuerkalender!$F$2:$F$100,"&gt;="&amp;A89,Steuerkalender!$F$2:$F$100,"&lt;"&amp;EDATE(A89,1))+SUMIFS(Steuerkalender!$D$2:$D$100,Steuerkalender!$B$2:$B$100,"&gt;="&amp;A89,Steuerkalender!$B$2:$B$100,"&lt;"&amp;EDATE(A89,1),Steuerkalender!$E$2:$E$100,"&lt;&gt;Bezahlt")+SUMIFS('USt-Monatsübersicht'!$F$2:$F$115,'USt-Monatsübersicht'!$H$2:$H$115,"&gt;="&amp;A89,'USt-Monatsübersicht'!$H$2:$H$115,"&lt;"&amp;EDATE(A89,1))+SUMIFS('USt-Monatsübersicht'!$F$2:$F$115,'USt-Monatsübersicht'!$B$2:$B$115,"&gt;="&amp;A89,'USt-Monatsübersicht'!$B$2:$B$115,"&lt;"&amp;EDATE(A89,1),'USt-Monatsübersicht'!$G$2:$G$115,"&lt;&gt;Bezahlt")</x:f>
        <x:v>0</x:v>
      </x:c>
      <x:c r="G89" s="191">
        <x:v>2000</x:v>
      </x:c>
      <x:c r="H89" s="191">
        <x:v>0</x:v>
      </x:c>
      <x:c r="I89" s="191">
        <x:v>480</x:v>
      </x:c>
      <x:c r="J89" s="191">
        <x:v>500</x:v>
      </x:c>
      <x:c r="K89" s="191">
        <x:v>0</x:v>
      </x:c>
      <x:c r="L89" s="191">
        <x:v>500</x:v>
      </x:c>
      <x:c r="M89" s="190">
        <x:f t="shared" si="10"/>
        <x:v>-324612.61</x:v>
      </x:c>
      <x:c r="N89" s="192" t="str">
        <x:f t="shared" si="8"/>
        <x:v>KRITISCH</x:v>
      </x:c>
      <x:c r="O89" s="1"/>
      <x:c r="P89" s="1"/>
      <x:c r="Q89" s="1"/>
      <x:c r="R89" s="1"/>
    </x:row>
    <x:row r="90">
      <x:c r="A90" s="189">
        <x:v>48884</x:v>
      </x:c>
      <x:c r="B90" s="190">
        <x:f t="shared" si="9"/>
        <x:v>-324612.61</x:v>
      </x:c>
      <x:c r="C90" s="190" t="n">
        <x:f>SUMIFS(Ausgangsrechnungen!$G$2:$G$301,Ausgangsrechnungen!$J$2:$J$301,"&gt;="&amp;A90,Ausgangsrechnungen!$J$2:$J$301,"&lt;"&amp;EDATE(A90,1))+SUMIFS(Ausgangsrechnungen!$H$2:$H$301,Ausgangsrechnungen!$E$2:$E$301,"&gt;="&amp;A90,Ausgangsrechnungen!$E$2:$E$301,"&lt;"&amp;EDATE(A90,1),Ausgangsrechnungen!$I$2:$I$301,"&lt;&gt;Bezahlt")</x:f>
        <x:v>0</x:v>
      </x:c>
      <x:c r="D90" s="191"/>
      <x:c r="E90" s="190" t="n">
        <x:f>SUMIFS(Eingangsrechnungen!$N$2:$N$301,Eingangsrechnungen!$J$2:$J$301,"&gt;="&amp;A90,Eingangsrechnungen!$J$2:$J$301,"&lt;"&amp;EDATE(A90,1))+SUMIFS(Eingangsrechnungen!$N$2:$N$301,Eingangsrechnungen!$E$2:$E$301,"&gt;="&amp;A90,Eingangsrechnungen!$E$2:$E$301,"&lt;"&amp;EDATE(A90,1),Eingangsrechnungen!$J$2:$J$301,"")</x:f>
        <x:v>0</x:v>
      </x:c>
      <x:c r="F90" s="190" t="n">
        <x:f>SUMIFS(Steuerkalender!$D$2:$D$100,Steuerkalender!$F$2:$F$100,"&gt;="&amp;A90,Steuerkalender!$F$2:$F$100,"&lt;"&amp;EDATE(A90,1))+SUMIFS(Steuerkalender!$D$2:$D$100,Steuerkalender!$B$2:$B$100,"&gt;="&amp;A90,Steuerkalender!$B$2:$B$100,"&lt;"&amp;EDATE(A90,1),Steuerkalender!$E$2:$E$100,"&lt;&gt;Bezahlt")+SUMIFS('USt-Monatsübersicht'!$F$2:$F$115,'USt-Monatsübersicht'!$H$2:$H$115,"&gt;="&amp;A90,'USt-Monatsübersicht'!$H$2:$H$115,"&lt;"&amp;EDATE(A90,1))+SUMIFS('USt-Monatsübersicht'!$F$2:$F$115,'USt-Monatsübersicht'!$B$2:$B$115,"&gt;="&amp;A90,'USt-Monatsübersicht'!$B$2:$B$115,"&lt;"&amp;EDATE(A90,1),'USt-Monatsübersicht'!$G$2:$G$115,"&lt;&gt;Bezahlt")</x:f>
        <x:v>0</x:v>
      </x:c>
      <x:c r="G90" s="191">
        <x:v>2000</x:v>
      </x:c>
      <x:c r="H90" s="191">
        <x:v>0</x:v>
      </x:c>
      <x:c r="I90" s="191">
        <x:v>480</x:v>
      </x:c>
      <x:c r="J90" s="191">
        <x:v>500</x:v>
      </x:c>
      <x:c r="K90" s="191">
        <x:v>0</x:v>
      </x:c>
      <x:c r="L90" s="191">
        <x:v>500</x:v>
      </x:c>
      <x:c r="M90" s="190">
        <x:f t="shared" si="10"/>
        <x:v>-328092.61</x:v>
      </x:c>
      <x:c r="N90" s="192" t="str">
        <x:f t="shared" si="8"/>
        <x:v>KRITISCH</x:v>
      </x:c>
      <x:c r="O90" s="1"/>
      <x:c r="P90" s="1"/>
      <x:c r="Q90" s="1"/>
      <x:c r="R90" s="1"/>
    </x:row>
    <x:row r="91">
      <x:c r="A91" s="189">
        <x:v>48914</x:v>
      </x:c>
      <x:c r="B91" s="190">
        <x:f t="shared" si="9"/>
        <x:v>-328092.61</x:v>
      </x:c>
      <x:c r="C91" s="190" t="n">
        <x:f>SUMIFS(Ausgangsrechnungen!$G$2:$G$301,Ausgangsrechnungen!$J$2:$J$301,"&gt;="&amp;A91,Ausgangsrechnungen!$J$2:$J$301,"&lt;"&amp;EDATE(A91,1))+SUMIFS(Ausgangsrechnungen!$H$2:$H$301,Ausgangsrechnungen!$E$2:$E$301,"&gt;="&amp;A91,Ausgangsrechnungen!$E$2:$E$301,"&lt;"&amp;EDATE(A91,1),Ausgangsrechnungen!$I$2:$I$301,"&lt;&gt;Bezahlt")</x:f>
        <x:v>0</x:v>
      </x:c>
      <x:c r="D91" s="191"/>
      <x:c r="E91" s="190" t="n">
        <x:f>SUMIFS(Eingangsrechnungen!$N$2:$N$301,Eingangsrechnungen!$J$2:$J$301,"&gt;="&amp;A91,Eingangsrechnungen!$J$2:$J$301,"&lt;"&amp;EDATE(A91,1))+SUMIFS(Eingangsrechnungen!$N$2:$N$301,Eingangsrechnungen!$E$2:$E$301,"&gt;="&amp;A91,Eingangsrechnungen!$E$2:$E$301,"&lt;"&amp;EDATE(A91,1),Eingangsrechnungen!$J$2:$J$301,"")</x:f>
        <x:v>0</x:v>
      </x:c>
      <x:c r="F91" s="190" t="n">
        <x:f>SUMIFS(Steuerkalender!$D$2:$D$100,Steuerkalender!$F$2:$F$100,"&gt;="&amp;A91,Steuerkalender!$F$2:$F$100,"&lt;"&amp;EDATE(A91,1))+SUMIFS(Steuerkalender!$D$2:$D$100,Steuerkalender!$B$2:$B$100,"&gt;="&amp;A91,Steuerkalender!$B$2:$B$100,"&lt;"&amp;EDATE(A91,1),Steuerkalender!$E$2:$E$100,"&lt;&gt;Bezahlt")+SUMIFS('USt-Monatsübersicht'!$F$2:$F$115,'USt-Monatsübersicht'!$H$2:$H$115,"&gt;="&amp;A91,'USt-Monatsübersicht'!$H$2:$H$115,"&lt;"&amp;EDATE(A91,1))+SUMIFS('USt-Monatsübersicht'!$F$2:$F$115,'USt-Monatsübersicht'!$B$2:$B$115,"&gt;="&amp;A91,'USt-Monatsübersicht'!$B$2:$B$115,"&lt;"&amp;EDATE(A91,1),'USt-Monatsübersicht'!$G$2:$G$115,"&lt;&gt;Bezahlt")</x:f>
        <x:v>0</x:v>
      </x:c>
      <x:c r="G91" s="191">
        <x:v>2000</x:v>
      </x:c>
      <x:c r="H91" s="191">
        <x:v>0</x:v>
      </x:c>
      <x:c r="I91" s="191">
        <x:v>480</x:v>
      </x:c>
      <x:c r="J91" s="191">
        <x:v>500</x:v>
      </x:c>
      <x:c r="K91" s="191">
        <x:v>0</x:v>
      </x:c>
      <x:c r="L91" s="191">
        <x:v>500</x:v>
      </x:c>
      <x:c r="M91" s="190">
        <x:f t="shared" si="10"/>
        <x:v>-331572.61</x:v>
      </x:c>
      <x:c r="N91" s="192" t="str">
        <x:f t="shared" si="8"/>
        <x:v>KRITISCH</x:v>
      </x:c>
      <x:c r="O91" s="1"/>
      <x:c r="P91" s="1"/>
      <x:c r="Q91" s="1"/>
      <x:c r="R91" s="1"/>
    </x:row>
    <x:row r="92">
      <x:c r="A92" s="189">
        <x:v>48945</x:v>
      </x:c>
      <x:c r="B92" s="190">
        <x:f t="shared" si="9"/>
        <x:v>-331572.61</x:v>
      </x:c>
      <x:c r="C92" s="190" t="n">
        <x:f>SUMIFS(Ausgangsrechnungen!$G$2:$G$301,Ausgangsrechnungen!$J$2:$J$301,"&gt;="&amp;A92,Ausgangsrechnungen!$J$2:$J$301,"&lt;"&amp;EDATE(A92,1))+SUMIFS(Ausgangsrechnungen!$H$2:$H$301,Ausgangsrechnungen!$E$2:$E$301,"&gt;="&amp;A92,Ausgangsrechnungen!$E$2:$E$301,"&lt;"&amp;EDATE(A92,1),Ausgangsrechnungen!$I$2:$I$301,"&lt;&gt;Bezahlt")</x:f>
        <x:v>0</x:v>
      </x:c>
      <x:c r="D92" s="191"/>
      <x:c r="E92" s="190" t="n">
        <x:f>SUMIFS(Eingangsrechnungen!$N$2:$N$301,Eingangsrechnungen!$J$2:$J$301,"&gt;="&amp;A92,Eingangsrechnungen!$J$2:$J$301,"&lt;"&amp;EDATE(A92,1))+SUMIFS(Eingangsrechnungen!$N$2:$N$301,Eingangsrechnungen!$E$2:$E$301,"&gt;="&amp;A92,Eingangsrechnungen!$E$2:$E$301,"&lt;"&amp;EDATE(A92,1),Eingangsrechnungen!$J$2:$J$301,"")</x:f>
        <x:v>0</x:v>
      </x:c>
      <x:c r="F92" s="190" t="n">
        <x:f>SUMIFS(Steuerkalender!$D$2:$D$100,Steuerkalender!$F$2:$F$100,"&gt;="&amp;A92,Steuerkalender!$F$2:$F$100,"&lt;"&amp;EDATE(A92,1))+SUMIFS(Steuerkalender!$D$2:$D$100,Steuerkalender!$B$2:$B$100,"&gt;="&amp;A92,Steuerkalender!$B$2:$B$100,"&lt;"&amp;EDATE(A92,1),Steuerkalender!$E$2:$E$100,"&lt;&gt;Bezahlt")+SUMIFS('USt-Monatsübersicht'!$F$2:$F$115,'USt-Monatsübersicht'!$H$2:$H$115,"&gt;="&amp;A92,'USt-Monatsübersicht'!$H$2:$H$115,"&lt;"&amp;EDATE(A92,1))+SUMIFS('USt-Monatsübersicht'!$F$2:$F$115,'USt-Monatsübersicht'!$B$2:$B$115,"&gt;="&amp;A92,'USt-Monatsübersicht'!$B$2:$B$115,"&lt;"&amp;EDATE(A92,1),'USt-Monatsübersicht'!$G$2:$G$115,"&lt;&gt;Bezahlt")</x:f>
        <x:v>0</x:v>
      </x:c>
      <x:c r="G92" s="191">
        <x:v>2000</x:v>
      </x:c>
      <x:c r="H92" s="191">
        <x:v>0</x:v>
      </x:c>
      <x:c r="I92" s="191">
        <x:v>480</x:v>
      </x:c>
      <x:c r="J92" s="191">
        <x:v>500</x:v>
      </x:c>
      <x:c r="K92" s="191">
        <x:v>0</x:v>
      </x:c>
      <x:c r="L92" s="191">
        <x:v>500</x:v>
      </x:c>
      <x:c r="M92" s="190">
        <x:f t="shared" si="10"/>
        <x:v>-335052.61</x:v>
      </x:c>
      <x:c r="N92" s="192" t="str">
        <x:f t="shared" si="8"/>
        <x:v>KRITISCH</x:v>
      </x:c>
      <x:c r="O92" s="1"/>
      <x:c r="P92" s="1"/>
      <x:c r="Q92" s="1"/>
      <x:c r="R92" s="1"/>
    </x:row>
    <x:row r="93">
      <x:c r="A93" s="189">
        <x:v>48976</x:v>
      </x:c>
      <x:c r="B93" s="190">
        <x:f t="shared" si="9"/>
        <x:v>-335052.61</x:v>
      </x:c>
      <x:c r="C93" s="190" t="n">
        <x:f>SUMIFS(Ausgangsrechnungen!$G$2:$G$301,Ausgangsrechnungen!$J$2:$J$301,"&gt;="&amp;A93,Ausgangsrechnungen!$J$2:$J$301,"&lt;"&amp;EDATE(A93,1))+SUMIFS(Ausgangsrechnungen!$H$2:$H$301,Ausgangsrechnungen!$E$2:$E$301,"&gt;="&amp;A93,Ausgangsrechnungen!$E$2:$E$301,"&lt;"&amp;EDATE(A93,1),Ausgangsrechnungen!$I$2:$I$301,"&lt;&gt;Bezahlt")</x:f>
        <x:v>0</x:v>
      </x:c>
      <x:c r="D93" s="191"/>
      <x:c r="E93" s="190" t="n">
        <x:f>SUMIFS(Eingangsrechnungen!$N$2:$N$301,Eingangsrechnungen!$J$2:$J$301,"&gt;="&amp;A93,Eingangsrechnungen!$J$2:$J$301,"&lt;"&amp;EDATE(A93,1))+SUMIFS(Eingangsrechnungen!$N$2:$N$301,Eingangsrechnungen!$E$2:$E$301,"&gt;="&amp;A93,Eingangsrechnungen!$E$2:$E$301,"&lt;"&amp;EDATE(A93,1),Eingangsrechnungen!$J$2:$J$301,"")</x:f>
        <x:v>0</x:v>
      </x:c>
      <x:c r="F93" s="190" t="n">
        <x:f>SUMIFS(Steuerkalender!$D$2:$D$100,Steuerkalender!$F$2:$F$100,"&gt;="&amp;A93,Steuerkalender!$F$2:$F$100,"&lt;"&amp;EDATE(A93,1))+SUMIFS(Steuerkalender!$D$2:$D$100,Steuerkalender!$B$2:$B$100,"&gt;="&amp;A93,Steuerkalender!$B$2:$B$100,"&lt;"&amp;EDATE(A93,1),Steuerkalender!$E$2:$E$100,"&lt;&gt;Bezahlt")+SUMIFS('USt-Monatsübersicht'!$F$2:$F$115,'USt-Monatsübersicht'!$H$2:$H$115,"&gt;="&amp;A93,'USt-Monatsübersicht'!$H$2:$H$115,"&lt;"&amp;EDATE(A93,1))+SUMIFS('USt-Monatsübersicht'!$F$2:$F$115,'USt-Monatsübersicht'!$B$2:$B$115,"&gt;="&amp;A93,'USt-Monatsübersicht'!$B$2:$B$115,"&lt;"&amp;EDATE(A93,1),'USt-Monatsübersicht'!$G$2:$G$115,"&lt;&gt;Bezahlt")</x:f>
        <x:v>0</x:v>
      </x:c>
      <x:c r="G93" s="191">
        <x:v>2000</x:v>
      </x:c>
      <x:c r="H93" s="191">
        <x:v>0</x:v>
      </x:c>
      <x:c r="I93" s="191">
        <x:v>480</x:v>
      </x:c>
      <x:c r="J93" s="191">
        <x:v>500</x:v>
      </x:c>
      <x:c r="K93" s="191">
        <x:v>0</x:v>
      </x:c>
      <x:c r="L93" s="191">
        <x:v>500</x:v>
      </x:c>
      <x:c r="M93" s="190">
        <x:f t="shared" si="10"/>
        <x:v>-338532.61</x:v>
      </x:c>
      <x:c r="N93" s="192" t="str">
        <x:f t="shared" si="8"/>
        <x:v>KRITISCH</x:v>
      </x:c>
      <x:c r="O93" s="1"/>
      <x:c r="P93" s="1"/>
      <x:c r="Q93" s="1"/>
      <x:c r="R93" s="1"/>
    </x:row>
    <x:row r="94">
      <x:c r="A94" s="189">
        <x:v>49004</x:v>
      </x:c>
      <x:c r="B94" s="190">
        <x:f t="shared" si="9"/>
        <x:v>-338532.61</x:v>
      </x:c>
      <x:c r="C94" s="190" t="n">
        <x:f>SUMIFS(Ausgangsrechnungen!$G$2:$G$301,Ausgangsrechnungen!$J$2:$J$301,"&gt;="&amp;A94,Ausgangsrechnungen!$J$2:$J$301,"&lt;"&amp;EDATE(A94,1))+SUMIFS(Ausgangsrechnungen!$H$2:$H$301,Ausgangsrechnungen!$E$2:$E$301,"&gt;="&amp;A94,Ausgangsrechnungen!$E$2:$E$301,"&lt;"&amp;EDATE(A94,1),Ausgangsrechnungen!$I$2:$I$301,"&lt;&gt;Bezahlt")</x:f>
        <x:v>0</x:v>
      </x:c>
      <x:c r="D94" s="191"/>
      <x:c r="E94" s="190" t="n">
        <x:f>SUMIFS(Eingangsrechnungen!$N$2:$N$301,Eingangsrechnungen!$J$2:$J$301,"&gt;="&amp;A94,Eingangsrechnungen!$J$2:$J$301,"&lt;"&amp;EDATE(A94,1))+SUMIFS(Eingangsrechnungen!$N$2:$N$301,Eingangsrechnungen!$E$2:$E$301,"&gt;="&amp;A94,Eingangsrechnungen!$E$2:$E$301,"&lt;"&amp;EDATE(A94,1),Eingangsrechnungen!$J$2:$J$301,"")</x:f>
        <x:v>0</x:v>
      </x:c>
      <x:c r="F94" s="190" t="n">
        <x:f>SUMIFS(Steuerkalender!$D$2:$D$100,Steuerkalender!$F$2:$F$100,"&gt;="&amp;A94,Steuerkalender!$F$2:$F$100,"&lt;"&amp;EDATE(A94,1))+SUMIFS(Steuerkalender!$D$2:$D$100,Steuerkalender!$B$2:$B$100,"&gt;="&amp;A94,Steuerkalender!$B$2:$B$100,"&lt;"&amp;EDATE(A94,1),Steuerkalender!$E$2:$E$100,"&lt;&gt;Bezahlt")+SUMIFS('USt-Monatsübersicht'!$F$2:$F$115,'USt-Monatsübersicht'!$H$2:$H$115,"&gt;="&amp;A94,'USt-Monatsübersicht'!$H$2:$H$115,"&lt;"&amp;EDATE(A94,1))+SUMIFS('USt-Monatsübersicht'!$F$2:$F$115,'USt-Monatsübersicht'!$B$2:$B$115,"&gt;="&amp;A94,'USt-Monatsübersicht'!$B$2:$B$115,"&lt;"&amp;EDATE(A94,1),'USt-Monatsübersicht'!$G$2:$G$115,"&lt;&gt;Bezahlt")</x:f>
        <x:v>0</x:v>
      </x:c>
      <x:c r="G94" s="191">
        <x:v>2000</x:v>
      </x:c>
      <x:c r="H94" s="191">
        <x:v>0</x:v>
      </x:c>
      <x:c r="I94" s="191">
        <x:v>480</x:v>
      </x:c>
      <x:c r="J94" s="191">
        <x:v>500</x:v>
      </x:c>
      <x:c r="K94" s="191">
        <x:v>0</x:v>
      </x:c>
      <x:c r="L94" s="191">
        <x:v>500</x:v>
      </x:c>
      <x:c r="M94" s="190">
        <x:f t="shared" si="10"/>
        <x:v>-342012.61</x:v>
      </x:c>
      <x:c r="N94" s="192" t="str">
        <x:f t="shared" si="8"/>
        <x:v>KRITISCH</x:v>
      </x:c>
      <x:c r="O94" s="1"/>
      <x:c r="P94" s="1"/>
      <x:c r="Q94" s="1"/>
      <x:c r="R94" s="1"/>
    </x:row>
    <x:row r="95">
      <x:c r="A95" s="189">
        <x:v>49035</x:v>
      </x:c>
      <x:c r="B95" s="190">
        <x:f t="shared" si="9"/>
        <x:v>-342012.61</x:v>
      </x:c>
      <x:c r="C95" s="190" t="n">
        <x:f>SUMIFS(Ausgangsrechnungen!$G$2:$G$301,Ausgangsrechnungen!$J$2:$J$301,"&gt;="&amp;A95,Ausgangsrechnungen!$J$2:$J$301,"&lt;"&amp;EDATE(A95,1))+SUMIFS(Ausgangsrechnungen!$H$2:$H$301,Ausgangsrechnungen!$E$2:$E$301,"&gt;="&amp;A95,Ausgangsrechnungen!$E$2:$E$301,"&lt;"&amp;EDATE(A95,1),Ausgangsrechnungen!$I$2:$I$301,"&lt;&gt;Bezahlt")</x:f>
        <x:v>0</x:v>
      </x:c>
      <x:c r="D95" s="191"/>
      <x:c r="E95" s="190" t="n">
        <x:f>SUMIFS(Eingangsrechnungen!$N$2:$N$301,Eingangsrechnungen!$J$2:$J$301,"&gt;="&amp;A95,Eingangsrechnungen!$J$2:$J$301,"&lt;"&amp;EDATE(A95,1))+SUMIFS(Eingangsrechnungen!$N$2:$N$301,Eingangsrechnungen!$E$2:$E$301,"&gt;="&amp;A95,Eingangsrechnungen!$E$2:$E$301,"&lt;"&amp;EDATE(A95,1),Eingangsrechnungen!$J$2:$J$301,"")</x:f>
        <x:v>0</x:v>
      </x:c>
      <x:c r="F95" s="190" t="n">
        <x:f>SUMIFS(Steuerkalender!$D$2:$D$100,Steuerkalender!$F$2:$F$100,"&gt;="&amp;A95,Steuerkalender!$F$2:$F$100,"&lt;"&amp;EDATE(A95,1))+SUMIFS(Steuerkalender!$D$2:$D$100,Steuerkalender!$B$2:$B$100,"&gt;="&amp;A95,Steuerkalender!$B$2:$B$100,"&lt;"&amp;EDATE(A95,1),Steuerkalender!$E$2:$E$100,"&lt;&gt;Bezahlt")+SUMIFS('USt-Monatsübersicht'!$F$2:$F$115,'USt-Monatsübersicht'!$H$2:$H$115,"&gt;="&amp;A95,'USt-Monatsübersicht'!$H$2:$H$115,"&lt;"&amp;EDATE(A95,1))+SUMIFS('USt-Monatsübersicht'!$F$2:$F$115,'USt-Monatsübersicht'!$B$2:$B$115,"&gt;="&amp;A95,'USt-Monatsübersicht'!$B$2:$B$115,"&lt;"&amp;EDATE(A95,1),'USt-Monatsübersicht'!$G$2:$G$115,"&lt;&gt;Bezahlt")</x:f>
        <x:v>0</x:v>
      </x:c>
      <x:c r="G95" s="191">
        <x:v>2000</x:v>
      </x:c>
      <x:c r="H95" s="191">
        <x:v>0</x:v>
      </x:c>
      <x:c r="I95" s="191">
        <x:v>480</x:v>
      </x:c>
      <x:c r="J95" s="191">
        <x:v>500</x:v>
      </x:c>
      <x:c r="K95" s="191">
        <x:v>0</x:v>
      </x:c>
      <x:c r="L95" s="191">
        <x:v>500</x:v>
      </x:c>
      <x:c r="M95" s="190">
        <x:f t="shared" si="10"/>
        <x:v>-345492.61</x:v>
      </x:c>
      <x:c r="N95" s="192" t="str">
        <x:f t="shared" si="8"/>
        <x:v>KRITISCH</x:v>
      </x:c>
      <x:c r="O95" s="1"/>
      <x:c r="P95" s="1"/>
      <x:c r="Q95" s="1"/>
      <x:c r="R95" s="1"/>
    </x:row>
    <x:row r="96">
      <x:c r="A96" s="189">
        <x:v>49065</x:v>
      </x:c>
      <x:c r="B96" s="190">
        <x:f t="shared" si="9"/>
        <x:v>-345492.61</x:v>
      </x:c>
      <x:c r="C96" s="190" t="n">
        <x:f>SUMIFS(Ausgangsrechnungen!$G$2:$G$301,Ausgangsrechnungen!$J$2:$J$301,"&gt;="&amp;A96,Ausgangsrechnungen!$J$2:$J$301,"&lt;"&amp;EDATE(A96,1))+SUMIFS(Ausgangsrechnungen!$H$2:$H$301,Ausgangsrechnungen!$E$2:$E$301,"&gt;="&amp;A96,Ausgangsrechnungen!$E$2:$E$301,"&lt;"&amp;EDATE(A96,1),Ausgangsrechnungen!$I$2:$I$301,"&lt;&gt;Bezahlt")</x:f>
        <x:v>0</x:v>
      </x:c>
      <x:c r="D96" s="191"/>
      <x:c r="E96" s="190" t="n">
        <x:f>SUMIFS(Eingangsrechnungen!$N$2:$N$301,Eingangsrechnungen!$J$2:$J$301,"&gt;="&amp;A96,Eingangsrechnungen!$J$2:$J$301,"&lt;"&amp;EDATE(A96,1))+SUMIFS(Eingangsrechnungen!$N$2:$N$301,Eingangsrechnungen!$E$2:$E$301,"&gt;="&amp;A96,Eingangsrechnungen!$E$2:$E$301,"&lt;"&amp;EDATE(A96,1),Eingangsrechnungen!$J$2:$J$301,"")</x:f>
        <x:v>0</x:v>
      </x:c>
      <x:c r="F96" s="190" t="n">
        <x:f>SUMIFS(Steuerkalender!$D$2:$D$100,Steuerkalender!$F$2:$F$100,"&gt;="&amp;A96,Steuerkalender!$F$2:$F$100,"&lt;"&amp;EDATE(A96,1))+SUMIFS(Steuerkalender!$D$2:$D$100,Steuerkalender!$B$2:$B$100,"&gt;="&amp;A96,Steuerkalender!$B$2:$B$100,"&lt;"&amp;EDATE(A96,1),Steuerkalender!$E$2:$E$100,"&lt;&gt;Bezahlt")+SUMIFS('USt-Monatsübersicht'!$F$2:$F$115,'USt-Monatsübersicht'!$H$2:$H$115,"&gt;="&amp;A96,'USt-Monatsübersicht'!$H$2:$H$115,"&lt;"&amp;EDATE(A96,1))+SUMIFS('USt-Monatsübersicht'!$F$2:$F$115,'USt-Monatsübersicht'!$B$2:$B$115,"&gt;="&amp;A96,'USt-Monatsübersicht'!$B$2:$B$115,"&lt;"&amp;EDATE(A96,1),'USt-Monatsübersicht'!$G$2:$G$115,"&lt;&gt;Bezahlt")</x:f>
        <x:v>0</x:v>
      </x:c>
      <x:c r="G96" s="191">
        <x:v>2000</x:v>
      </x:c>
      <x:c r="H96" s="191">
        <x:v>0</x:v>
      </x:c>
      <x:c r="I96" s="191">
        <x:v>480</x:v>
      </x:c>
      <x:c r="J96" s="191">
        <x:v>500</x:v>
      </x:c>
      <x:c r="K96" s="191">
        <x:v>0</x:v>
      </x:c>
      <x:c r="L96" s="191">
        <x:v>500</x:v>
      </x:c>
      <x:c r="M96" s="190">
        <x:f t="shared" si="10"/>
        <x:v>-348972.61</x:v>
      </x:c>
      <x:c r="N96" s="192" t="str">
        <x:f t="shared" si="8"/>
        <x:v>KRITISCH</x:v>
      </x:c>
      <x:c r="O96" s="1"/>
      <x:c r="P96" s="1"/>
      <x:c r="Q96" s="1"/>
      <x:c r="R96" s="1"/>
    </x:row>
    <x:row r="97">
      <x:c r="A97" s="189">
        <x:v>49096</x:v>
      </x:c>
      <x:c r="B97" s="190">
        <x:f t="shared" si="9"/>
        <x:v>-348972.61</x:v>
      </x:c>
      <x:c r="C97" s="190" t="n">
        <x:f>SUMIFS(Ausgangsrechnungen!$G$2:$G$301,Ausgangsrechnungen!$J$2:$J$301,"&gt;="&amp;A97,Ausgangsrechnungen!$J$2:$J$301,"&lt;"&amp;EDATE(A97,1))+SUMIFS(Ausgangsrechnungen!$H$2:$H$301,Ausgangsrechnungen!$E$2:$E$301,"&gt;="&amp;A97,Ausgangsrechnungen!$E$2:$E$301,"&lt;"&amp;EDATE(A97,1),Ausgangsrechnungen!$I$2:$I$301,"&lt;&gt;Bezahlt")</x:f>
        <x:v>0</x:v>
      </x:c>
      <x:c r="D97" s="191"/>
      <x:c r="E97" s="190" t="n">
        <x:f>SUMIFS(Eingangsrechnungen!$N$2:$N$301,Eingangsrechnungen!$J$2:$J$301,"&gt;="&amp;A97,Eingangsrechnungen!$J$2:$J$301,"&lt;"&amp;EDATE(A97,1))+SUMIFS(Eingangsrechnungen!$N$2:$N$301,Eingangsrechnungen!$E$2:$E$301,"&gt;="&amp;A97,Eingangsrechnungen!$E$2:$E$301,"&lt;"&amp;EDATE(A97,1),Eingangsrechnungen!$J$2:$J$301,"")</x:f>
        <x:v>0</x:v>
      </x:c>
      <x:c r="F97" s="190" t="n">
        <x:f>SUMIFS(Steuerkalender!$D$2:$D$100,Steuerkalender!$F$2:$F$100,"&gt;="&amp;A97,Steuerkalender!$F$2:$F$100,"&lt;"&amp;EDATE(A97,1))+SUMIFS(Steuerkalender!$D$2:$D$100,Steuerkalender!$B$2:$B$100,"&gt;="&amp;A97,Steuerkalender!$B$2:$B$100,"&lt;"&amp;EDATE(A97,1),Steuerkalender!$E$2:$E$100,"&lt;&gt;Bezahlt")+SUMIFS('USt-Monatsübersicht'!$F$2:$F$115,'USt-Monatsübersicht'!$H$2:$H$115,"&gt;="&amp;A97,'USt-Monatsübersicht'!$H$2:$H$115,"&lt;"&amp;EDATE(A97,1))+SUMIFS('USt-Monatsübersicht'!$F$2:$F$115,'USt-Monatsübersicht'!$B$2:$B$115,"&gt;="&amp;A97,'USt-Monatsübersicht'!$B$2:$B$115,"&lt;"&amp;EDATE(A97,1),'USt-Monatsübersicht'!$G$2:$G$115,"&lt;&gt;Bezahlt")</x:f>
        <x:v>0</x:v>
      </x:c>
      <x:c r="G97" s="191">
        <x:v>2000</x:v>
      </x:c>
      <x:c r="H97" s="191">
        <x:v>0</x:v>
      </x:c>
      <x:c r="I97" s="191">
        <x:v>480</x:v>
      </x:c>
      <x:c r="J97" s="191">
        <x:v>500</x:v>
      </x:c>
      <x:c r="K97" s="191">
        <x:v>0</x:v>
      </x:c>
      <x:c r="L97" s="191">
        <x:v>500</x:v>
      </x:c>
      <x:c r="M97" s="190">
        <x:f t="shared" si="10"/>
        <x:v>-352452.61</x:v>
      </x:c>
      <x:c r="N97" s="192" t="str">
        <x:f t="shared" si="8"/>
        <x:v>KRITISCH</x:v>
      </x:c>
      <x:c r="O97" s="1"/>
      <x:c r="P97" s="1"/>
      <x:c r="Q97" s="1"/>
      <x:c r="R97" s="1"/>
    </x:row>
    <x:row r="98">
      <x:c r="A98" s="189">
        <x:v>49126</x:v>
      </x:c>
      <x:c r="B98" s="190">
        <x:f t="shared" si="9"/>
        <x:v>-352452.61</x:v>
      </x:c>
      <x:c r="C98" s="190" t="n">
        <x:f>SUMIFS(Ausgangsrechnungen!$G$2:$G$301,Ausgangsrechnungen!$J$2:$J$301,"&gt;="&amp;A98,Ausgangsrechnungen!$J$2:$J$301,"&lt;"&amp;EDATE(A98,1))+SUMIFS(Ausgangsrechnungen!$H$2:$H$301,Ausgangsrechnungen!$E$2:$E$301,"&gt;="&amp;A98,Ausgangsrechnungen!$E$2:$E$301,"&lt;"&amp;EDATE(A98,1),Ausgangsrechnungen!$I$2:$I$301,"&lt;&gt;Bezahlt")</x:f>
        <x:v>0</x:v>
      </x:c>
      <x:c r="D98" s="191"/>
      <x:c r="E98" s="190" t="n">
        <x:f>SUMIFS(Eingangsrechnungen!$N$2:$N$301,Eingangsrechnungen!$J$2:$J$301,"&gt;="&amp;A98,Eingangsrechnungen!$J$2:$J$301,"&lt;"&amp;EDATE(A98,1))+SUMIFS(Eingangsrechnungen!$N$2:$N$301,Eingangsrechnungen!$E$2:$E$301,"&gt;="&amp;A98,Eingangsrechnungen!$E$2:$E$301,"&lt;"&amp;EDATE(A98,1),Eingangsrechnungen!$J$2:$J$301,"")</x:f>
        <x:v>0</x:v>
      </x:c>
      <x:c r="F98" s="190" t="n">
        <x:f>SUMIFS(Steuerkalender!$D$2:$D$100,Steuerkalender!$F$2:$F$100,"&gt;="&amp;A98,Steuerkalender!$F$2:$F$100,"&lt;"&amp;EDATE(A98,1))+SUMIFS(Steuerkalender!$D$2:$D$100,Steuerkalender!$B$2:$B$100,"&gt;="&amp;A98,Steuerkalender!$B$2:$B$100,"&lt;"&amp;EDATE(A98,1),Steuerkalender!$E$2:$E$100,"&lt;&gt;Bezahlt")+SUMIFS('USt-Monatsübersicht'!$F$2:$F$115,'USt-Monatsübersicht'!$H$2:$H$115,"&gt;="&amp;A98,'USt-Monatsübersicht'!$H$2:$H$115,"&lt;"&amp;EDATE(A98,1))+SUMIFS('USt-Monatsübersicht'!$F$2:$F$115,'USt-Monatsübersicht'!$B$2:$B$115,"&gt;="&amp;A98,'USt-Monatsübersicht'!$B$2:$B$115,"&lt;"&amp;EDATE(A98,1),'USt-Monatsübersicht'!$G$2:$G$115,"&lt;&gt;Bezahlt")</x:f>
        <x:v>0</x:v>
      </x:c>
      <x:c r="G98" s="191">
        <x:v>2000</x:v>
      </x:c>
      <x:c r="H98" s="191">
        <x:v>0</x:v>
      </x:c>
      <x:c r="I98" s="191">
        <x:v>480</x:v>
      </x:c>
      <x:c r="J98" s="191">
        <x:v>500</x:v>
      </x:c>
      <x:c r="K98" s="191">
        <x:v>0</x:v>
      </x:c>
      <x:c r="L98" s="191">
        <x:v>500</x:v>
      </x:c>
      <x:c r="M98" s="190">
        <x:f t="shared" si="10"/>
        <x:v>-355932.61</x:v>
      </x:c>
      <x:c r="N98" s="192" t="str">
        <x:f t="shared" ref="N98:N115" si="11">IF(M98&lt;0,"KRITISCH",IF(M98&lt;10000,"ACHTUNG","OK"))</x:f>
        <x:v>KRITISCH</x:v>
      </x:c>
      <x:c r="O98" s="1"/>
      <x:c r="P98" s="1"/>
      <x:c r="Q98" s="1"/>
      <x:c r="R98" s="1"/>
    </x:row>
    <x:row r="99">
      <x:c r="A99" s="189">
        <x:v>49157</x:v>
      </x:c>
      <x:c r="B99" s="190">
        <x:f t="shared" si="9"/>
        <x:v>-355932.61</x:v>
      </x:c>
      <x:c r="C99" s="190" t="n">
        <x:f>SUMIFS(Ausgangsrechnungen!$G$2:$G$301,Ausgangsrechnungen!$J$2:$J$301,"&gt;="&amp;A99,Ausgangsrechnungen!$J$2:$J$301,"&lt;"&amp;EDATE(A99,1))+SUMIFS(Ausgangsrechnungen!$H$2:$H$301,Ausgangsrechnungen!$E$2:$E$301,"&gt;="&amp;A99,Ausgangsrechnungen!$E$2:$E$301,"&lt;"&amp;EDATE(A99,1),Ausgangsrechnungen!$I$2:$I$301,"&lt;&gt;Bezahlt")</x:f>
        <x:v>0</x:v>
      </x:c>
      <x:c r="D99" s="191"/>
      <x:c r="E99" s="190" t="n">
        <x:f>SUMIFS(Eingangsrechnungen!$N$2:$N$301,Eingangsrechnungen!$J$2:$J$301,"&gt;="&amp;A99,Eingangsrechnungen!$J$2:$J$301,"&lt;"&amp;EDATE(A99,1))+SUMIFS(Eingangsrechnungen!$N$2:$N$301,Eingangsrechnungen!$E$2:$E$301,"&gt;="&amp;A99,Eingangsrechnungen!$E$2:$E$301,"&lt;"&amp;EDATE(A99,1),Eingangsrechnungen!$J$2:$J$301,"")</x:f>
        <x:v>0</x:v>
      </x:c>
      <x:c r="F99" s="190" t="n">
        <x:f>SUMIFS(Steuerkalender!$D$2:$D$100,Steuerkalender!$F$2:$F$100,"&gt;="&amp;A99,Steuerkalender!$F$2:$F$100,"&lt;"&amp;EDATE(A99,1))+SUMIFS(Steuerkalender!$D$2:$D$100,Steuerkalender!$B$2:$B$100,"&gt;="&amp;A99,Steuerkalender!$B$2:$B$100,"&lt;"&amp;EDATE(A99,1),Steuerkalender!$E$2:$E$100,"&lt;&gt;Bezahlt")+SUMIFS('USt-Monatsübersicht'!$F$2:$F$115,'USt-Monatsübersicht'!$H$2:$H$115,"&gt;="&amp;A99,'USt-Monatsübersicht'!$H$2:$H$115,"&lt;"&amp;EDATE(A99,1))+SUMIFS('USt-Monatsübersicht'!$F$2:$F$115,'USt-Monatsübersicht'!$B$2:$B$115,"&gt;="&amp;A99,'USt-Monatsübersicht'!$B$2:$B$115,"&lt;"&amp;EDATE(A99,1),'USt-Monatsübersicht'!$G$2:$G$115,"&lt;&gt;Bezahlt")</x:f>
        <x:v>0</x:v>
      </x:c>
      <x:c r="G99" s="191">
        <x:v>2000</x:v>
      </x:c>
      <x:c r="H99" s="191">
        <x:v>0</x:v>
      </x:c>
      <x:c r="I99" s="191">
        <x:v>480</x:v>
      </x:c>
      <x:c r="J99" s="191">
        <x:v>500</x:v>
      </x:c>
      <x:c r="K99" s="191">
        <x:v>0</x:v>
      </x:c>
      <x:c r="L99" s="191">
        <x:v>500</x:v>
      </x:c>
      <x:c r="M99" s="190">
        <x:f t="shared" si="10"/>
        <x:v>-359412.61</x:v>
      </x:c>
      <x:c r="N99" s="192" t="str">
        <x:f t="shared" si="11"/>
        <x:v>KRITISCH</x:v>
      </x:c>
      <x:c r="O99" s="1"/>
      <x:c r="P99" s="1"/>
      <x:c r="Q99" s="1"/>
      <x:c r="R99" s="1"/>
    </x:row>
    <x:row r="100">
      <x:c r="A100" s="189">
        <x:v>49188</x:v>
      </x:c>
      <x:c r="B100" s="190">
        <x:f t="shared" si="9"/>
        <x:v>-359412.61</x:v>
      </x:c>
      <x:c r="C100" s="190" t="n">
        <x:f>SUMIFS(Ausgangsrechnungen!$G$2:$G$301,Ausgangsrechnungen!$J$2:$J$301,"&gt;="&amp;A100,Ausgangsrechnungen!$J$2:$J$301,"&lt;"&amp;EDATE(A100,1))+SUMIFS(Ausgangsrechnungen!$H$2:$H$301,Ausgangsrechnungen!$E$2:$E$301,"&gt;="&amp;A100,Ausgangsrechnungen!$E$2:$E$301,"&lt;"&amp;EDATE(A100,1),Ausgangsrechnungen!$I$2:$I$301,"&lt;&gt;Bezahlt")</x:f>
        <x:v>0</x:v>
      </x:c>
      <x:c r="D100" s="191"/>
      <x:c r="E100" s="190" t="n">
        <x:f>SUMIFS(Eingangsrechnungen!$N$2:$N$301,Eingangsrechnungen!$J$2:$J$301,"&gt;="&amp;A100,Eingangsrechnungen!$J$2:$J$301,"&lt;"&amp;EDATE(A100,1))+SUMIFS(Eingangsrechnungen!$N$2:$N$301,Eingangsrechnungen!$E$2:$E$301,"&gt;="&amp;A100,Eingangsrechnungen!$E$2:$E$301,"&lt;"&amp;EDATE(A100,1),Eingangsrechnungen!$J$2:$J$301,"")</x:f>
        <x:v>0</x:v>
      </x:c>
      <x:c r="F100" s="190" t="n">
        <x:f>SUMIFS(Steuerkalender!$D$2:$D$100,Steuerkalender!$F$2:$F$100,"&gt;="&amp;A100,Steuerkalender!$F$2:$F$100,"&lt;"&amp;EDATE(A100,1))+SUMIFS(Steuerkalender!$D$2:$D$100,Steuerkalender!$B$2:$B$100,"&gt;="&amp;A100,Steuerkalender!$B$2:$B$100,"&lt;"&amp;EDATE(A100,1),Steuerkalender!$E$2:$E$100,"&lt;&gt;Bezahlt")+SUMIFS('USt-Monatsübersicht'!$F$2:$F$115,'USt-Monatsübersicht'!$H$2:$H$115,"&gt;="&amp;A100,'USt-Monatsübersicht'!$H$2:$H$115,"&lt;"&amp;EDATE(A100,1))+SUMIFS('USt-Monatsübersicht'!$F$2:$F$115,'USt-Monatsübersicht'!$B$2:$B$115,"&gt;="&amp;A100,'USt-Monatsübersicht'!$B$2:$B$115,"&lt;"&amp;EDATE(A100,1),'USt-Monatsübersicht'!$G$2:$G$115,"&lt;&gt;Bezahlt")</x:f>
        <x:v>0</x:v>
      </x:c>
      <x:c r="G100" s="191">
        <x:v>2000</x:v>
      </x:c>
      <x:c r="H100" s="191">
        <x:v>0</x:v>
      </x:c>
      <x:c r="I100" s="191">
        <x:v>480</x:v>
      </x:c>
      <x:c r="J100" s="191">
        <x:v>500</x:v>
      </x:c>
      <x:c r="K100" s="191">
        <x:v>0</x:v>
      </x:c>
      <x:c r="L100" s="191">
        <x:v>500</x:v>
      </x:c>
      <x:c r="M100" s="190">
        <x:f t="shared" si="10"/>
        <x:v>-362892.61</x:v>
      </x:c>
      <x:c r="N100" s="192" t="str">
        <x:f t="shared" si="11"/>
        <x:v>KRITISCH</x:v>
      </x:c>
      <x:c r="O100" s="1"/>
      <x:c r="P100" s="1"/>
      <x:c r="Q100" s="1"/>
      <x:c r="R100" s="1"/>
    </x:row>
    <x:row r="101">
      <x:c r="A101" s="189">
        <x:v>49218</x:v>
      </x:c>
      <x:c r="B101" s="190">
        <x:f t="shared" si="9"/>
        <x:v>-362892.61</x:v>
      </x:c>
      <x:c r="C101" s="190" t="n">
        <x:f>SUMIFS(Ausgangsrechnungen!$G$2:$G$301,Ausgangsrechnungen!$J$2:$J$301,"&gt;="&amp;A101,Ausgangsrechnungen!$J$2:$J$301,"&lt;"&amp;EDATE(A101,1))+SUMIFS(Ausgangsrechnungen!$H$2:$H$301,Ausgangsrechnungen!$E$2:$E$301,"&gt;="&amp;A101,Ausgangsrechnungen!$E$2:$E$301,"&lt;"&amp;EDATE(A101,1),Ausgangsrechnungen!$I$2:$I$301,"&lt;&gt;Bezahlt")</x:f>
        <x:v>0</x:v>
      </x:c>
      <x:c r="D101" s="191"/>
      <x:c r="E101" s="190" t="n">
        <x:f>SUMIFS(Eingangsrechnungen!$N$2:$N$301,Eingangsrechnungen!$J$2:$J$301,"&gt;="&amp;A101,Eingangsrechnungen!$J$2:$J$301,"&lt;"&amp;EDATE(A101,1))+SUMIFS(Eingangsrechnungen!$N$2:$N$301,Eingangsrechnungen!$E$2:$E$301,"&gt;="&amp;A101,Eingangsrechnungen!$E$2:$E$301,"&lt;"&amp;EDATE(A101,1),Eingangsrechnungen!$J$2:$J$301,"")</x:f>
        <x:v>0</x:v>
      </x:c>
      <x:c r="F101" s="190" t="n">
        <x:f>SUMIFS(Steuerkalender!$D$2:$D$100,Steuerkalender!$F$2:$F$100,"&gt;="&amp;A101,Steuerkalender!$F$2:$F$100,"&lt;"&amp;EDATE(A101,1))+SUMIFS(Steuerkalender!$D$2:$D$100,Steuerkalender!$B$2:$B$100,"&gt;="&amp;A101,Steuerkalender!$B$2:$B$100,"&lt;"&amp;EDATE(A101,1),Steuerkalender!$E$2:$E$100,"&lt;&gt;Bezahlt")+SUMIFS('USt-Monatsübersicht'!$F$2:$F$115,'USt-Monatsübersicht'!$H$2:$H$115,"&gt;="&amp;A101,'USt-Monatsübersicht'!$H$2:$H$115,"&lt;"&amp;EDATE(A101,1))+SUMIFS('USt-Monatsübersicht'!$F$2:$F$115,'USt-Monatsübersicht'!$B$2:$B$115,"&gt;="&amp;A101,'USt-Monatsübersicht'!$B$2:$B$115,"&lt;"&amp;EDATE(A101,1),'USt-Monatsübersicht'!$G$2:$G$115,"&lt;&gt;Bezahlt")</x:f>
        <x:v>0</x:v>
      </x:c>
      <x:c r="G101" s="191">
        <x:v>2000</x:v>
      </x:c>
      <x:c r="H101" s="191">
        <x:v>0</x:v>
      </x:c>
      <x:c r="I101" s="191">
        <x:v>480</x:v>
      </x:c>
      <x:c r="J101" s="191">
        <x:v>500</x:v>
      </x:c>
      <x:c r="K101" s="191">
        <x:v>0</x:v>
      </x:c>
      <x:c r="L101" s="191">
        <x:v>500</x:v>
      </x:c>
      <x:c r="M101" s="190">
        <x:f t="shared" si="10"/>
        <x:v>-366372.61</x:v>
      </x:c>
      <x:c r="N101" s="192" t="str">
        <x:f t="shared" si="11"/>
        <x:v>KRITISCH</x:v>
      </x:c>
      <x:c r="O101" s="1"/>
      <x:c r="P101" s="1"/>
      <x:c r="Q101" s="1"/>
      <x:c r="R101" s="1"/>
    </x:row>
    <x:row r="102">
      <x:c r="A102" s="189">
        <x:v>49249</x:v>
      </x:c>
      <x:c r="B102" s="190">
        <x:f t="shared" si="9"/>
        <x:v>-366372.61</x:v>
      </x:c>
      <x:c r="C102" s="190" t="n">
        <x:f>SUMIFS(Ausgangsrechnungen!$G$2:$G$301,Ausgangsrechnungen!$J$2:$J$301,"&gt;="&amp;A102,Ausgangsrechnungen!$J$2:$J$301,"&lt;"&amp;EDATE(A102,1))+SUMIFS(Ausgangsrechnungen!$H$2:$H$301,Ausgangsrechnungen!$E$2:$E$301,"&gt;="&amp;A102,Ausgangsrechnungen!$E$2:$E$301,"&lt;"&amp;EDATE(A102,1),Ausgangsrechnungen!$I$2:$I$301,"&lt;&gt;Bezahlt")</x:f>
        <x:v>0</x:v>
      </x:c>
      <x:c r="D102" s="191"/>
      <x:c r="E102" s="190" t="n">
        <x:f>SUMIFS(Eingangsrechnungen!$N$2:$N$301,Eingangsrechnungen!$J$2:$J$301,"&gt;="&amp;A102,Eingangsrechnungen!$J$2:$J$301,"&lt;"&amp;EDATE(A102,1))+SUMIFS(Eingangsrechnungen!$N$2:$N$301,Eingangsrechnungen!$E$2:$E$301,"&gt;="&amp;A102,Eingangsrechnungen!$E$2:$E$301,"&lt;"&amp;EDATE(A102,1),Eingangsrechnungen!$J$2:$J$301,"")</x:f>
        <x:v>0</x:v>
      </x:c>
      <x:c r="F102" s="190" t="n">
        <x:f>SUMIFS(Steuerkalender!$D$2:$D$100,Steuerkalender!$F$2:$F$100,"&gt;="&amp;A102,Steuerkalender!$F$2:$F$100,"&lt;"&amp;EDATE(A102,1))+SUMIFS(Steuerkalender!$D$2:$D$100,Steuerkalender!$B$2:$B$100,"&gt;="&amp;A102,Steuerkalender!$B$2:$B$100,"&lt;"&amp;EDATE(A102,1),Steuerkalender!$E$2:$E$100,"&lt;&gt;Bezahlt")+SUMIFS('USt-Monatsübersicht'!$F$2:$F$115,'USt-Monatsübersicht'!$H$2:$H$115,"&gt;="&amp;A102,'USt-Monatsübersicht'!$H$2:$H$115,"&lt;"&amp;EDATE(A102,1))+SUMIFS('USt-Monatsübersicht'!$F$2:$F$115,'USt-Monatsübersicht'!$B$2:$B$115,"&gt;="&amp;A102,'USt-Monatsübersicht'!$B$2:$B$115,"&lt;"&amp;EDATE(A102,1),'USt-Monatsübersicht'!$G$2:$G$115,"&lt;&gt;Bezahlt")</x:f>
        <x:v>0</x:v>
      </x:c>
      <x:c r="G102" s="191">
        <x:v>2000</x:v>
      </x:c>
      <x:c r="H102" s="191">
        <x:v>0</x:v>
      </x:c>
      <x:c r="I102" s="191">
        <x:v>480</x:v>
      </x:c>
      <x:c r="J102" s="191">
        <x:v>500</x:v>
      </x:c>
      <x:c r="K102" s="191">
        <x:v>0</x:v>
      </x:c>
      <x:c r="L102" s="191">
        <x:v>500</x:v>
      </x:c>
      <x:c r="M102" s="190">
        <x:f t="shared" si="10"/>
        <x:v>-369852.61</x:v>
      </x:c>
      <x:c r="N102" s="192" t="str">
        <x:f t="shared" si="11"/>
        <x:v>KRITISCH</x:v>
      </x:c>
      <x:c r="O102" s="1"/>
      <x:c r="P102" s="1"/>
      <x:c r="Q102" s="1"/>
      <x:c r="R102" s="1"/>
    </x:row>
    <x:row r="103">
      <x:c r="A103" s="189">
        <x:v>49279</x:v>
      </x:c>
      <x:c r="B103" s="190">
        <x:f t="shared" si="9"/>
        <x:v>-369852.61</x:v>
      </x:c>
      <x:c r="C103" s="190" t="n">
        <x:f>SUMIFS(Ausgangsrechnungen!$G$2:$G$301,Ausgangsrechnungen!$J$2:$J$301,"&gt;="&amp;A103,Ausgangsrechnungen!$J$2:$J$301,"&lt;"&amp;EDATE(A103,1))+SUMIFS(Ausgangsrechnungen!$H$2:$H$301,Ausgangsrechnungen!$E$2:$E$301,"&gt;="&amp;A103,Ausgangsrechnungen!$E$2:$E$301,"&lt;"&amp;EDATE(A103,1),Ausgangsrechnungen!$I$2:$I$301,"&lt;&gt;Bezahlt")</x:f>
        <x:v>0</x:v>
      </x:c>
      <x:c r="D103" s="191"/>
      <x:c r="E103" s="190" t="n">
        <x:f>SUMIFS(Eingangsrechnungen!$N$2:$N$301,Eingangsrechnungen!$J$2:$J$301,"&gt;="&amp;A103,Eingangsrechnungen!$J$2:$J$301,"&lt;"&amp;EDATE(A103,1))+SUMIFS(Eingangsrechnungen!$N$2:$N$301,Eingangsrechnungen!$E$2:$E$301,"&gt;="&amp;A103,Eingangsrechnungen!$E$2:$E$301,"&lt;"&amp;EDATE(A103,1),Eingangsrechnungen!$J$2:$J$301,"")</x:f>
        <x:v>0</x:v>
      </x:c>
      <x:c r="F103" s="190" t="n">
        <x:f>SUMIFS(Steuerkalender!$D$2:$D$100,Steuerkalender!$F$2:$F$100,"&gt;="&amp;A103,Steuerkalender!$F$2:$F$100,"&lt;"&amp;EDATE(A103,1))+SUMIFS(Steuerkalender!$D$2:$D$100,Steuerkalender!$B$2:$B$100,"&gt;="&amp;A103,Steuerkalender!$B$2:$B$100,"&lt;"&amp;EDATE(A103,1),Steuerkalender!$E$2:$E$100,"&lt;&gt;Bezahlt")+SUMIFS('USt-Monatsübersicht'!$F$2:$F$115,'USt-Monatsübersicht'!$H$2:$H$115,"&gt;="&amp;A103,'USt-Monatsübersicht'!$H$2:$H$115,"&lt;"&amp;EDATE(A103,1))+SUMIFS('USt-Monatsübersicht'!$F$2:$F$115,'USt-Monatsübersicht'!$B$2:$B$115,"&gt;="&amp;A103,'USt-Monatsübersicht'!$B$2:$B$115,"&lt;"&amp;EDATE(A103,1),'USt-Monatsübersicht'!$G$2:$G$115,"&lt;&gt;Bezahlt")</x:f>
        <x:v>0</x:v>
      </x:c>
      <x:c r="G103" s="191">
        <x:v>2000</x:v>
      </x:c>
      <x:c r="H103" s="191">
        <x:v>0</x:v>
      </x:c>
      <x:c r="I103" s="191">
        <x:v>480</x:v>
      </x:c>
      <x:c r="J103" s="191">
        <x:v>500</x:v>
      </x:c>
      <x:c r="K103" s="191">
        <x:v>0</x:v>
      </x:c>
      <x:c r="L103" s="191">
        <x:v>500</x:v>
      </x:c>
      <x:c r="M103" s="190">
        <x:f t="shared" si="10"/>
        <x:v>-373332.61</x:v>
      </x:c>
      <x:c r="N103" s="192" t="str">
        <x:f t="shared" si="11"/>
        <x:v>KRITISCH</x:v>
      </x:c>
      <x:c r="O103" s="1"/>
      <x:c r="P103" s="1"/>
      <x:c r="Q103" s="1"/>
      <x:c r="R103" s="1"/>
    </x:row>
    <x:row r="104">
      <x:c r="A104" s="189">
        <x:v>49310</x:v>
      </x:c>
      <x:c r="B104" s="190">
        <x:f t="shared" si="9"/>
        <x:v>-373332.61</x:v>
      </x:c>
      <x:c r="C104" s="190" t="n">
        <x:f>SUMIFS(Ausgangsrechnungen!$G$2:$G$301,Ausgangsrechnungen!$J$2:$J$301,"&gt;="&amp;A104,Ausgangsrechnungen!$J$2:$J$301,"&lt;"&amp;EDATE(A104,1))+SUMIFS(Ausgangsrechnungen!$H$2:$H$301,Ausgangsrechnungen!$E$2:$E$301,"&gt;="&amp;A104,Ausgangsrechnungen!$E$2:$E$301,"&lt;"&amp;EDATE(A104,1),Ausgangsrechnungen!$I$2:$I$301,"&lt;&gt;Bezahlt")</x:f>
        <x:v>0</x:v>
      </x:c>
      <x:c r="D104" s="191"/>
      <x:c r="E104" s="190" t="n">
        <x:f>SUMIFS(Eingangsrechnungen!$N$2:$N$301,Eingangsrechnungen!$J$2:$J$301,"&gt;="&amp;A104,Eingangsrechnungen!$J$2:$J$301,"&lt;"&amp;EDATE(A104,1))+SUMIFS(Eingangsrechnungen!$N$2:$N$301,Eingangsrechnungen!$E$2:$E$301,"&gt;="&amp;A104,Eingangsrechnungen!$E$2:$E$301,"&lt;"&amp;EDATE(A104,1),Eingangsrechnungen!$J$2:$J$301,"")</x:f>
        <x:v>0</x:v>
      </x:c>
      <x:c r="F104" s="190" t="n">
        <x:f>SUMIFS(Steuerkalender!$D$2:$D$100,Steuerkalender!$F$2:$F$100,"&gt;="&amp;A104,Steuerkalender!$F$2:$F$100,"&lt;"&amp;EDATE(A104,1))+SUMIFS(Steuerkalender!$D$2:$D$100,Steuerkalender!$B$2:$B$100,"&gt;="&amp;A104,Steuerkalender!$B$2:$B$100,"&lt;"&amp;EDATE(A104,1),Steuerkalender!$E$2:$E$100,"&lt;&gt;Bezahlt")+SUMIFS('USt-Monatsübersicht'!$F$2:$F$115,'USt-Monatsübersicht'!$H$2:$H$115,"&gt;="&amp;A104,'USt-Monatsübersicht'!$H$2:$H$115,"&lt;"&amp;EDATE(A104,1))+SUMIFS('USt-Monatsübersicht'!$F$2:$F$115,'USt-Monatsübersicht'!$B$2:$B$115,"&gt;="&amp;A104,'USt-Monatsübersicht'!$B$2:$B$115,"&lt;"&amp;EDATE(A104,1),'USt-Monatsübersicht'!$G$2:$G$115,"&lt;&gt;Bezahlt")</x:f>
        <x:v>0</x:v>
      </x:c>
      <x:c r="G104" s="191">
        <x:v>2000</x:v>
      </x:c>
      <x:c r="H104" s="191">
        <x:v>0</x:v>
      </x:c>
      <x:c r="I104" s="191">
        <x:v>480</x:v>
      </x:c>
      <x:c r="J104" s="191">
        <x:v>500</x:v>
      </x:c>
      <x:c r="K104" s="191">
        <x:v>0</x:v>
      </x:c>
      <x:c r="L104" s="191">
        <x:v>500</x:v>
      </x:c>
      <x:c r="M104" s="190">
        <x:f t="shared" si="10"/>
        <x:v>-376812.61</x:v>
      </x:c>
      <x:c r="N104" s="192" t="str">
        <x:f t="shared" si="11"/>
        <x:v>KRITISCH</x:v>
      </x:c>
      <x:c r="O104" s="1"/>
      <x:c r="P104" s="1"/>
      <x:c r="Q104" s="1"/>
      <x:c r="R104" s="1"/>
    </x:row>
    <x:row r="105">
      <x:c r="A105" s="189">
        <x:v>49341</x:v>
      </x:c>
      <x:c r="B105" s="190">
        <x:f t="shared" si="9"/>
        <x:v>-376812.61</x:v>
      </x:c>
      <x:c r="C105" s="190" t="n">
        <x:f>SUMIFS(Ausgangsrechnungen!$G$2:$G$301,Ausgangsrechnungen!$J$2:$J$301,"&gt;="&amp;A105,Ausgangsrechnungen!$J$2:$J$301,"&lt;"&amp;EDATE(A105,1))+SUMIFS(Ausgangsrechnungen!$H$2:$H$301,Ausgangsrechnungen!$E$2:$E$301,"&gt;="&amp;A105,Ausgangsrechnungen!$E$2:$E$301,"&lt;"&amp;EDATE(A105,1),Ausgangsrechnungen!$I$2:$I$301,"&lt;&gt;Bezahlt")</x:f>
        <x:v>0</x:v>
      </x:c>
      <x:c r="D105" s="191"/>
      <x:c r="E105" s="190" t="n">
        <x:f>SUMIFS(Eingangsrechnungen!$N$2:$N$301,Eingangsrechnungen!$J$2:$J$301,"&gt;="&amp;A105,Eingangsrechnungen!$J$2:$J$301,"&lt;"&amp;EDATE(A105,1))+SUMIFS(Eingangsrechnungen!$N$2:$N$301,Eingangsrechnungen!$E$2:$E$301,"&gt;="&amp;A105,Eingangsrechnungen!$E$2:$E$301,"&lt;"&amp;EDATE(A105,1),Eingangsrechnungen!$J$2:$J$301,"")</x:f>
        <x:v>0</x:v>
      </x:c>
      <x:c r="F105" s="190" t="n">
        <x:f>SUMIFS(Steuerkalender!$D$2:$D$100,Steuerkalender!$F$2:$F$100,"&gt;="&amp;A105,Steuerkalender!$F$2:$F$100,"&lt;"&amp;EDATE(A105,1))+SUMIFS(Steuerkalender!$D$2:$D$100,Steuerkalender!$B$2:$B$100,"&gt;="&amp;A105,Steuerkalender!$B$2:$B$100,"&lt;"&amp;EDATE(A105,1),Steuerkalender!$E$2:$E$100,"&lt;&gt;Bezahlt")+SUMIFS('USt-Monatsübersicht'!$F$2:$F$115,'USt-Monatsübersicht'!$H$2:$H$115,"&gt;="&amp;A105,'USt-Monatsübersicht'!$H$2:$H$115,"&lt;"&amp;EDATE(A105,1))+SUMIFS('USt-Monatsübersicht'!$F$2:$F$115,'USt-Monatsübersicht'!$B$2:$B$115,"&gt;="&amp;A105,'USt-Monatsübersicht'!$B$2:$B$115,"&lt;"&amp;EDATE(A105,1),'USt-Monatsübersicht'!$G$2:$G$115,"&lt;&gt;Bezahlt")</x:f>
        <x:v>0</x:v>
      </x:c>
      <x:c r="G105" s="191">
        <x:v>2000</x:v>
      </x:c>
      <x:c r="H105" s="191">
        <x:v>0</x:v>
      </x:c>
      <x:c r="I105" s="191">
        <x:v>480</x:v>
      </x:c>
      <x:c r="J105" s="191">
        <x:v>500</x:v>
      </x:c>
      <x:c r="K105" s="191">
        <x:v>0</x:v>
      </x:c>
      <x:c r="L105" s="191">
        <x:v>500</x:v>
      </x:c>
      <x:c r="M105" s="190">
        <x:f t="shared" si="10"/>
        <x:v>-380292.61</x:v>
      </x:c>
      <x:c r="N105" s="192" t="str">
        <x:f t="shared" si="11"/>
        <x:v>KRITISCH</x:v>
      </x:c>
      <x:c r="O105" s="1"/>
      <x:c r="P105" s="1"/>
      <x:c r="Q105" s="1"/>
      <x:c r="R105" s="1"/>
    </x:row>
    <x:row r="106">
      <x:c r="A106" s="189">
        <x:v>49369</x:v>
      </x:c>
      <x:c r="B106" s="190">
        <x:f t="shared" si="9"/>
        <x:v>-380292.61</x:v>
      </x:c>
      <x:c r="C106" s="190" t="n">
        <x:f>SUMIFS(Ausgangsrechnungen!$G$2:$G$301,Ausgangsrechnungen!$J$2:$J$301,"&gt;="&amp;A106,Ausgangsrechnungen!$J$2:$J$301,"&lt;"&amp;EDATE(A106,1))+SUMIFS(Ausgangsrechnungen!$H$2:$H$301,Ausgangsrechnungen!$E$2:$E$301,"&gt;="&amp;A106,Ausgangsrechnungen!$E$2:$E$301,"&lt;"&amp;EDATE(A106,1),Ausgangsrechnungen!$I$2:$I$301,"&lt;&gt;Bezahlt")</x:f>
        <x:v>0</x:v>
      </x:c>
      <x:c r="D106" s="191"/>
      <x:c r="E106" s="190" t="n">
        <x:f>SUMIFS(Eingangsrechnungen!$N$2:$N$301,Eingangsrechnungen!$J$2:$J$301,"&gt;="&amp;A106,Eingangsrechnungen!$J$2:$J$301,"&lt;"&amp;EDATE(A106,1))+SUMIFS(Eingangsrechnungen!$N$2:$N$301,Eingangsrechnungen!$E$2:$E$301,"&gt;="&amp;A106,Eingangsrechnungen!$E$2:$E$301,"&lt;"&amp;EDATE(A106,1),Eingangsrechnungen!$J$2:$J$301,"")</x:f>
        <x:v>0</x:v>
      </x:c>
      <x:c r="F106" s="190" t="n">
        <x:f>SUMIFS(Steuerkalender!$D$2:$D$100,Steuerkalender!$F$2:$F$100,"&gt;="&amp;A106,Steuerkalender!$F$2:$F$100,"&lt;"&amp;EDATE(A106,1))+SUMIFS(Steuerkalender!$D$2:$D$100,Steuerkalender!$B$2:$B$100,"&gt;="&amp;A106,Steuerkalender!$B$2:$B$100,"&lt;"&amp;EDATE(A106,1),Steuerkalender!$E$2:$E$100,"&lt;&gt;Bezahlt")+SUMIFS('USt-Monatsübersicht'!$F$2:$F$115,'USt-Monatsübersicht'!$H$2:$H$115,"&gt;="&amp;A106,'USt-Monatsübersicht'!$H$2:$H$115,"&lt;"&amp;EDATE(A106,1))+SUMIFS('USt-Monatsübersicht'!$F$2:$F$115,'USt-Monatsübersicht'!$B$2:$B$115,"&gt;="&amp;A106,'USt-Monatsübersicht'!$B$2:$B$115,"&lt;"&amp;EDATE(A106,1),'USt-Monatsübersicht'!$G$2:$G$115,"&lt;&gt;Bezahlt")</x:f>
        <x:v>0</x:v>
      </x:c>
      <x:c r="G106" s="191">
        <x:v>2000</x:v>
      </x:c>
      <x:c r="H106" s="191">
        <x:v>0</x:v>
      </x:c>
      <x:c r="I106" s="191">
        <x:v>480</x:v>
      </x:c>
      <x:c r="J106" s="191">
        <x:v>500</x:v>
      </x:c>
      <x:c r="K106" s="191">
        <x:v>0</x:v>
      </x:c>
      <x:c r="L106" s="191">
        <x:v>500</x:v>
      </x:c>
      <x:c r="M106" s="190">
        <x:f t="shared" si="10"/>
        <x:v>-383772.61</x:v>
      </x:c>
      <x:c r="N106" s="192" t="str">
        <x:f t="shared" si="11"/>
        <x:v>KRITISCH</x:v>
      </x:c>
      <x:c r="O106" s="1"/>
      <x:c r="P106" s="1"/>
      <x:c r="Q106" s="1"/>
      <x:c r="R106" s="1"/>
    </x:row>
    <x:row r="107">
      <x:c r="A107" s="189">
        <x:v>49400</x:v>
      </x:c>
      <x:c r="B107" s="190">
        <x:f t="shared" si="9"/>
        <x:v>-383772.61</x:v>
      </x:c>
      <x:c r="C107" s="190" t="n">
        <x:f>SUMIFS(Ausgangsrechnungen!$G$2:$G$301,Ausgangsrechnungen!$J$2:$J$301,"&gt;="&amp;A107,Ausgangsrechnungen!$J$2:$J$301,"&lt;"&amp;EDATE(A107,1))+SUMIFS(Ausgangsrechnungen!$H$2:$H$301,Ausgangsrechnungen!$E$2:$E$301,"&gt;="&amp;A107,Ausgangsrechnungen!$E$2:$E$301,"&lt;"&amp;EDATE(A107,1),Ausgangsrechnungen!$I$2:$I$301,"&lt;&gt;Bezahlt")</x:f>
        <x:v>0</x:v>
      </x:c>
      <x:c r="D107" s="191"/>
      <x:c r="E107" s="190" t="n">
        <x:f>SUMIFS(Eingangsrechnungen!$N$2:$N$301,Eingangsrechnungen!$J$2:$J$301,"&gt;="&amp;A107,Eingangsrechnungen!$J$2:$J$301,"&lt;"&amp;EDATE(A107,1))+SUMIFS(Eingangsrechnungen!$N$2:$N$301,Eingangsrechnungen!$E$2:$E$301,"&gt;="&amp;A107,Eingangsrechnungen!$E$2:$E$301,"&lt;"&amp;EDATE(A107,1),Eingangsrechnungen!$J$2:$J$301,"")</x:f>
        <x:v>0</x:v>
      </x:c>
      <x:c r="F107" s="190" t="n">
        <x:f>SUMIFS(Steuerkalender!$D$2:$D$100,Steuerkalender!$F$2:$F$100,"&gt;="&amp;A107,Steuerkalender!$F$2:$F$100,"&lt;"&amp;EDATE(A107,1))+SUMIFS(Steuerkalender!$D$2:$D$100,Steuerkalender!$B$2:$B$100,"&gt;="&amp;A107,Steuerkalender!$B$2:$B$100,"&lt;"&amp;EDATE(A107,1),Steuerkalender!$E$2:$E$100,"&lt;&gt;Bezahlt")+SUMIFS('USt-Monatsübersicht'!$F$2:$F$115,'USt-Monatsübersicht'!$H$2:$H$115,"&gt;="&amp;A107,'USt-Monatsübersicht'!$H$2:$H$115,"&lt;"&amp;EDATE(A107,1))+SUMIFS('USt-Monatsübersicht'!$F$2:$F$115,'USt-Monatsübersicht'!$B$2:$B$115,"&gt;="&amp;A107,'USt-Monatsübersicht'!$B$2:$B$115,"&lt;"&amp;EDATE(A107,1),'USt-Monatsübersicht'!$G$2:$G$115,"&lt;&gt;Bezahlt")</x:f>
        <x:v>0</x:v>
      </x:c>
      <x:c r="G107" s="191">
        <x:v>2000</x:v>
      </x:c>
      <x:c r="H107" s="191">
        <x:v>0</x:v>
      </x:c>
      <x:c r="I107" s="191">
        <x:v>480</x:v>
      </x:c>
      <x:c r="J107" s="191">
        <x:v>500</x:v>
      </x:c>
      <x:c r="K107" s="191">
        <x:v>0</x:v>
      </x:c>
      <x:c r="L107" s="191">
        <x:v>500</x:v>
      </x:c>
      <x:c r="M107" s="190">
        <x:f t="shared" si="10"/>
        <x:v>-387252.61</x:v>
      </x:c>
      <x:c r="N107" s="192" t="str">
        <x:f t="shared" si="11"/>
        <x:v>KRITISCH</x:v>
      </x:c>
      <x:c r="O107" s="1"/>
      <x:c r="P107" s="1"/>
      <x:c r="Q107" s="1"/>
      <x:c r="R107" s="1"/>
    </x:row>
    <x:row r="108">
      <x:c r="A108" s="189">
        <x:v>49430</x:v>
      </x:c>
      <x:c r="B108" s="190">
        <x:f t="shared" si="9"/>
        <x:v>-387252.61</x:v>
      </x:c>
      <x:c r="C108" s="190" t="n">
        <x:f>SUMIFS(Ausgangsrechnungen!$G$2:$G$301,Ausgangsrechnungen!$J$2:$J$301,"&gt;="&amp;A108,Ausgangsrechnungen!$J$2:$J$301,"&lt;"&amp;EDATE(A108,1))+SUMIFS(Ausgangsrechnungen!$H$2:$H$301,Ausgangsrechnungen!$E$2:$E$301,"&gt;="&amp;A108,Ausgangsrechnungen!$E$2:$E$301,"&lt;"&amp;EDATE(A108,1),Ausgangsrechnungen!$I$2:$I$301,"&lt;&gt;Bezahlt")</x:f>
        <x:v>0</x:v>
      </x:c>
      <x:c r="D108" s="191"/>
      <x:c r="E108" s="190" t="n">
        <x:f>SUMIFS(Eingangsrechnungen!$N$2:$N$301,Eingangsrechnungen!$J$2:$J$301,"&gt;="&amp;A108,Eingangsrechnungen!$J$2:$J$301,"&lt;"&amp;EDATE(A108,1))+SUMIFS(Eingangsrechnungen!$N$2:$N$301,Eingangsrechnungen!$E$2:$E$301,"&gt;="&amp;A108,Eingangsrechnungen!$E$2:$E$301,"&lt;"&amp;EDATE(A108,1),Eingangsrechnungen!$J$2:$J$301,"")</x:f>
        <x:v>0</x:v>
      </x:c>
      <x:c r="F108" s="190" t="n">
        <x:f>SUMIFS(Steuerkalender!$D$2:$D$100,Steuerkalender!$F$2:$F$100,"&gt;="&amp;A108,Steuerkalender!$F$2:$F$100,"&lt;"&amp;EDATE(A108,1))+SUMIFS(Steuerkalender!$D$2:$D$100,Steuerkalender!$B$2:$B$100,"&gt;="&amp;A108,Steuerkalender!$B$2:$B$100,"&lt;"&amp;EDATE(A108,1),Steuerkalender!$E$2:$E$100,"&lt;&gt;Bezahlt")+SUMIFS('USt-Monatsübersicht'!$F$2:$F$115,'USt-Monatsübersicht'!$H$2:$H$115,"&gt;="&amp;A108,'USt-Monatsübersicht'!$H$2:$H$115,"&lt;"&amp;EDATE(A108,1))+SUMIFS('USt-Monatsübersicht'!$F$2:$F$115,'USt-Monatsübersicht'!$B$2:$B$115,"&gt;="&amp;A108,'USt-Monatsübersicht'!$B$2:$B$115,"&lt;"&amp;EDATE(A108,1),'USt-Monatsübersicht'!$G$2:$G$115,"&lt;&gt;Bezahlt")</x:f>
        <x:v>0</x:v>
      </x:c>
      <x:c r="G108" s="191">
        <x:v>2000</x:v>
      </x:c>
      <x:c r="H108" s="191">
        <x:v>0</x:v>
      </x:c>
      <x:c r="I108" s="191">
        <x:v>480</x:v>
      </x:c>
      <x:c r="J108" s="191">
        <x:v>500</x:v>
      </x:c>
      <x:c r="K108" s="191">
        <x:v>0</x:v>
      </x:c>
      <x:c r="L108" s="191">
        <x:v>500</x:v>
      </x:c>
      <x:c r="M108" s="190">
        <x:f t="shared" si="10"/>
        <x:v>-390732.61</x:v>
      </x:c>
      <x:c r="N108" s="192" t="str">
        <x:f t="shared" si="11"/>
        <x:v>KRITISCH</x:v>
      </x:c>
      <x:c r="O108" s="1"/>
      <x:c r="P108" s="1"/>
      <x:c r="Q108" s="1"/>
      <x:c r="R108" s="1"/>
    </x:row>
    <x:row r="109">
      <x:c r="A109" s="189">
        <x:v>49461</x:v>
      </x:c>
      <x:c r="B109" s="190">
        <x:f t="shared" si="9"/>
        <x:v>-390732.61</x:v>
      </x:c>
      <x:c r="C109" s="190" t="n">
        <x:f>SUMIFS(Ausgangsrechnungen!$G$2:$G$301,Ausgangsrechnungen!$J$2:$J$301,"&gt;="&amp;A109,Ausgangsrechnungen!$J$2:$J$301,"&lt;"&amp;EDATE(A109,1))+SUMIFS(Ausgangsrechnungen!$H$2:$H$301,Ausgangsrechnungen!$E$2:$E$301,"&gt;="&amp;A109,Ausgangsrechnungen!$E$2:$E$301,"&lt;"&amp;EDATE(A109,1),Ausgangsrechnungen!$I$2:$I$301,"&lt;&gt;Bezahlt")</x:f>
        <x:v>0</x:v>
      </x:c>
      <x:c r="D109" s="191"/>
      <x:c r="E109" s="190" t="n">
        <x:f>SUMIFS(Eingangsrechnungen!$N$2:$N$301,Eingangsrechnungen!$J$2:$J$301,"&gt;="&amp;A109,Eingangsrechnungen!$J$2:$J$301,"&lt;"&amp;EDATE(A109,1))+SUMIFS(Eingangsrechnungen!$N$2:$N$301,Eingangsrechnungen!$E$2:$E$301,"&gt;="&amp;A109,Eingangsrechnungen!$E$2:$E$301,"&lt;"&amp;EDATE(A109,1),Eingangsrechnungen!$J$2:$J$301,"")</x:f>
        <x:v>0</x:v>
      </x:c>
      <x:c r="F109" s="190" t="n">
        <x:f>SUMIFS(Steuerkalender!$D$2:$D$100,Steuerkalender!$F$2:$F$100,"&gt;="&amp;A109,Steuerkalender!$F$2:$F$100,"&lt;"&amp;EDATE(A109,1))+SUMIFS(Steuerkalender!$D$2:$D$100,Steuerkalender!$B$2:$B$100,"&gt;="&amp;A109,Steuerkalender!$B$2:$B$100,"&lt;"&amp;EDATE(A109,1),Steuerkalender!$E$2:$E$100,"&lt;&gt;Bezahlt")+SUMIFS('USt-Monatsübersicht'!$F$2:$F$115,'USt-Monatsübersicht'!$H$2:$H$115,"&gt;="&amp;A109,'USt-Monatsübersicht'!$H$2:$H$115,"&lt;"&amp;EDATE(A109,1))+SUMIFS('USt-Monatsübersicht'!$F$2:$F$115,'USt-Monatsübersicht'!$B$2:$B$115,"&gt;="&amp;A109,'USt-Monatsübersicht'!$B$2:$B$115,"&lt;"&amp;EDATE(A109,1),'USt-Monatsübersicht'!$G$2:$G$115,"&lt;&gt;Bezahlt")</x:f>
        <x:v>0</x:v>
      </x:c>
      <x:c r="G109" s="191">
        <x:v>2000</x:v>
      </x:c>
      <x:c r="H109" s="191">
        <x:v>0</x:v>
      </x:c>
      <x:c r="I109" s="191">
        <x:v>480</x:v>
      </x:c>
      <x:c r="J109" s="191">
        <x:v>500</x:v>
      </x:c>
      <x:c r="K109" s="191">
        <x:v>0</x:v>
      </x:c>
      <x:c r="L109" s="191">
        <x:v>500</x:v>
      </x:c>
      <x:c r="M109" s="190">
        <x:f t="shared" si="10"/>
        <x:v>-394212.61</x:v>
      </x:c>
      <x:c r="N109" s="192" t="str">
        <x:f t="shared" si="11"/>
        <x:v>KRITISCH</x:v>
      </x:c>
      <x:c r="O109" s="1"/>
      <x:c r="P109" s="1"/>
      <x:c r="Q109" s="1"/>
      <x:c r="R109" s="1"/>
    </x:row>
    <x:row r="110">
      <x:c r="A110" s="189">
        <x:v>49491</x:v>
      </x:c>
      <x:c r="B110" s="190">
        <x:f t="shared" si="9"/>
        <x:v>-394212.61</x:v>
      </x:c>
      <x:c r="C110" s="190" t="n">
        <x:f>SUMIFS(Ausgangsrechnungen!$G$2:$G$301,Ausgangsrechnungen!$J$2:$J$301,"&gt;="&amp;A110,Ausgangsrechnungen!$J$2:$J$301,"&lt;"&amp;EDATE(A110,1))+SUMIFS(Ausgangsrechnungen!$H$2:$H$301,Ausgangsrechnungen!$E$2:$E$301,"&gt;="&amp;A110,Ausgangsrechnungen!$E$2:$E$301,"&lt;"&amp;EDATE(A110,1),Ausgangsrechnungen!$I$2:$I$301,"&lt;&gt;Bezahlt")</x:f>
        <x:v>0</x:v>
      </x:c>
      <x:c r="D110" s="191"/>
      <x:c r="E110" s="190" t="n">
        <x:f>SUMIFS(Eingangsrechnungen!$N$2:$N$301,Eingangsrechnungen!$J$2:$J$301,"&gt;="&amp;A110,Eingangsrechnungen!$J$2:$J$301,"&lt;"&amp;EDATE(A110,1))+SUMIFS(Eingangsrechnungen!$N$2:$N$301,Eingangsrechnungen!$E$2:$E$301,"&gt;="&amp;A110,Eingangsrechnungen!$E$2:$E$301,"&lt;"&amp;EDATE(A110,1),Eingangsrechnungen!$J$2:$J$301,"")</x:f>
        <x:v>0</x:v>
      </x:c>
      <x:c r="F110" s="190" t="n">
        <x:f>SUMIFS(Steuerkalender!$D$2:$D$100,Steuerkalender!$F$2:$F$100,"&gt;="&amp;A110,Steuerkalender!$F$2:$F$100,"&lt;"&amp;EDATE(A110,1))+SUMIFS(Steuerkalender!$D$2:$D$100,Steuerkalender!$B$2:$B$100,"&gt;="&amp;A110,Steuerkalender!$B$2:$B$100,"&lt;"&amp;EDATE(A110,1),Steuerkalender!$E$2:$E$100,"&lt;&gt;Bezahlt")+SUMIFS('USt-Monatsübersicht'!$F$2:$F$115,'USt-Monatsübersicht'!$H$2:$H$115,"&gt;="&amp;A110,'USt-Monatsübersicht'!$H$2:$H$115,"&lt;"&amp;EDATE(A110,1))+SUMIFS('USt-Monatsübersicht'!$F$2:$F$115,'USt-Monatsübersicht'!$B$2:$B$115,"&gt;="&amp;A110,'USt-Monatsübersicht'!$B$2:$B$115,"&lt;"&amp;EDATE(A110,1),'USt-Monatsübersicht'!$G$2:$G$115,"&lt;&gt;Bezahlt")</x:f>
        <x:v>0</x:v>
      </x:c>
      <x:c r="G110" s="191">
        <x:v>2000</x:v>
      </x:c>
      <x:c r="H110" s="191">
        <x:v>0</x:v>
      </x:c>
      <x:c r="I110" s="191">
        <x:v>480</x:v>
      </x:c>
      <x:c r="J110" s="191">
        <x:v>500</x:v>
      </x:c>
      <x:c r="K110" s="191">
        <x:v>0</x:v>
      </x:c>
      <x:c r="L110" s="191">
        <x:v>500</x:v>
      </x:c>
      <x:c r="M110" s="190">
        <x:f t="shared" si="10"/>
        <x:v>-397692.61</x:v>
      </x:c>
      <x:c r="N110" s="192" t="str">
        <x:f t="shared" si="11"/>
        <x:v>KRITISCH</x:v>
      </x:c>
      <x:c r="O110" s="1"/>
      <x:c r="P110" s="1"/>
      <x:c r="Q110" s="1"/>
      <x:c r="R110" s="1"/>
    </x:row>
    <x:row r="111">
      <x:c r="A111" s="189">
        <x:v>49522</x:v>
      </x:c>
      <x:c r="B111" s="190">
        <x:f t="shared" si="9"/>
        <x:v>-397692.61</x:v>
      </x:c>
      <x:c r="C111" s="190" t="n">
        <x:f>SUMIFS(Ausgangsrechnungen!$G$2:$G$301,Ausgangsrechnungen!$J$2:$J$301,"&gt;="&amp;A111,Ausgangsrechnungen!$J$2:$J$301,"&lt;"&amp;EDATE(A111,1))+SUMIFS(Ausgangsrechnungen!$H$2:$H$301,Ausgangsrechnungen!$E$2:$E$301,"&gt;="&amp;A111,Ausgangsrechnungen!$E$2:$E$301,"&lt;"&amp;EDATE(A111,1),Ausgangsrechnungen!$I$2:$I$301,"&lt;&gt;Bezahlt")</x:f>
        <x:v>0</x:v>
      </x:c>
      <x:c r="D111" s="191"/>
      <x:c r="E111" s="190" t="n">
        <x:f>SUMIFS(Eingangsrechnungen!$N$2:$N$301,Eingangsrechnungen!$J$2:$J$301,"&gt;="&amp;A111,Eingangsrechnungen!$J$2:$J$301,"&lt;"&amp;EDATE(A111,1))+SUMIFS(Eingangsrechnungen!$N$2:$N$301,Eingangsrechnungen!$E$2:$E$301,"&gt;="&amp;A111,Eingangsrechnungen!$E$2:$E$301,"&lt;"&amp;EDATE(A111,1),Eingangsrechnungen!$J$2:$J$301,"")</x:f>
        <x:v>0</x:v>
      </x:c>
      <x:c r="F111" s="190" t="n">
        <x:f>SUMIFS(Steuerkalender!$D$2:$D$100,Steuerkalender!$F$2:$F$100,"&gt;="&amp;A111,Steuerkalender!$F$2:$F$100,"&lt;"&amp;EDATE(A111,1))+SUMIFS(Steuerkalender!$D$2:$D$100,Steuerkalender!$B$2:$B$100,"&gt;="&amp;A111,Steuerkalender!$B$2:$B$100,"&lt;"&amp;EDATE(A111,1),Steuerkalender!$E$2:$E$100,"&lt;&gt;Bezahlt")+SUMIFS('USt-Monatsübersicht'!$F$2:$F$115,'USt-Monatsübersicht'!$H$2:$H$115,"&gt;="&amp;A111,'USt-Monatsübersicht'!$H$2:$H$115,"&lt;"&amp;EDATE(A111,1))+SUMIFS('USt-Monatsübersicht'!$F$2:$F$115,'USt-Monatsübersicht'!$B$2:$B$115,"&gt;="&amp;A111,'USt-Monatsübersicht'!$B$2:$B$115,"&lt;"&amp;EDATE(A111,1),'USt-Monatsübersicht'!$G$2:$G$115,"&lt;&gt;Bezahlt")</x:f>
        <x:v>0</x:v>
      </x:c>
      <x:c r="G111" s="191">
        <x:v>2000</x:v>
      </x:c>
      <x:c r="H111" s="191">
        <x:v>0</x:v>
      </x:c>
      <x:c r="I111" s="191">
        <x:v>480</x:v>
      </x:c>
      <x:c r="J111" s="191">
        <x:v>500</x:v>
      </x:c>
      <x:c r="K111" s="191">
        <x:v>0</x:v>
      </x:c>
      <x:c r="L111" s="191">
        <x:v>500</x:v>
      </x:c>
      <x:c r="M111" s="190">
        <x:f t="shared" si="10"/>
        <x:v>-401172.61</x:v>
      </x:c>
      <x:c r="N111" s="192" t="str">
        <x:f t="shared" si="11"/>
        <x:v>KRITISCH</x:v>
      </x:c>
      <x:c r="O111" s="1"/>
      <x:c r="P111" s="1"/>
      <x:c r="Q111" s="1"/>
      <x:c r="R111" s="1"/>
    </x:row>
    <x:row r="112">
      <x:c r="A112" s="189">
        <x:v>49553</x:v>
      </x:c>
      <x:c r="B112" s="190">
        <x:f t="shared" si="9"/>
        <x:v>-401172.61</x:v>
      </x:c>
      <x:c r="C112" s="190" t="n">
        <x:f>SUMIFS(Ausgangsrechnungen!$G$2:$G$301,Ausgangsrechnungen!$J$2:$J$301,"&gt;="&amp;A112,Ausgangsrechnungen!$J$2:$J$301,"&lt;"&amp;EDATE(A112,1))+SUMIFS(Ausgangsrechnungen!$H$2:$H$301,Ausgangsrechnungen!$E$2:$E$301,"&gt;="&amp;A112,Ausgangsrechnungen!$E$2:$E$301,"&lt;"&amp;EDATE(A112,1),Ausgangsrechnungen!$I$2:$I$301,"&lt;&gt;Bezahlt")</x:f>
        <x:v>0</x:v>
      </x:c>
      <x:c r="D112" s="191"/>
      <x:c r="E112" s="190" t="n">
        <x:f>SUMIFS(Eingangsrechnungen!$N$2:$N$301,Eingangsrechnungen!$J$2:$J$301,"&gt;="&amp;A112,Eingangsrechnungen!$J$2:$J$301,"&lt;"&amp;EDATE(A112,1))+SUMIFS(Eingangsrechnungen!$N$2:$N$301,Eingangsrechnungen!$E$2:$E$301,"&gt;="&amp;A112,Eingangsrechnungen!$E$2:$E$301,"&lt;"&amp;EDATE(A112,1),Eingangsrechnungen!$J$2:$J$301,"")</x:f>
        <x:v>0</x:v>
      </x:c>
      <x:c r="F112" s="190" t="n">
        <x:f>SUMIFS(Steuerkalender!$D$2:$D$100,Steuerkalender!$F$2:$F$100,"&gt;="&amp;A112,Steuerkalender!$F$2:$F$100,"&lt;"&amp;EDATE(A112,1))+SUMIFS(Steuerkalender!$D$2:$D$100,Steuerkalender!$B$2:$B$100,"&gt;="&amp;A112,Steuerkalender!$B$2:$B$100,"&lt;"&amp;EDATE(A112,1),Steuerkalender!$E$2:$E$100,"&lt;&gt;Bezahlt")+SUMIFS('USt-Monatsübersicht'!$F$2:$F$115,'USt-Monatsübersicht'!$H$2:$H$115,"&gt;="&amp;A112,'USt-Monatsübersicht'!$H$2:$H$115,"&lt;"&amp;EDATE(A112,1))+SUMIFS('USt-Monatsübersicht'!$F$2:$F$115,'USt-Monatsübersicht'!$B$2:$B$115,"&gt;="&amp;A112,'USt-Monatsübersicht'!$B$2:$B$115,"&lt;"&amp;EDATE(A112,1),'USt-Monatsübersicht'!$G$2:$G$115,"&lt;&gt;Bezahlt")</x:f>
        <x:v>0</x:v>
      </x:c>
      <x:c r="G112" s="191">
        <x:v>2000</x:v>
      </x:c>
      <x:c r="H112" s="191">
        <x:v>0</x:v>
      </x:c>
      <x:c r="I112" s="191">
        <x:v>480</x:v>
      </x:c>
      <x:c r="J112" s="191">
        <x:v>500</x:v>
      </x:c>
      <x:c r="K112" s="191">
        <x:v>0</x:v>
      </x:c>
      <x:c r="L112" s="191">
        <x:v>500</x:v>
      </x:c>
      <x:c r="M112" s="190">
        <x:f t="shared" si="10"/>
        <x:v>-404652.61</x:v>
      </x:c>
      <x:c r="N112" s="192" t="str">
        <x:f t="shared" si="11"/>
        <x:v>KRITISCH</x:v>
      </x:c>
      <x:c r="O112" s="1"/>
      <x:c r="P112" s="1"/>
      <x:c r="Q112" s="1"/>
      <x:c r="R112" s="1"/>
    </x:row>
    <x:row r="113">
      <x:c r="A113" s="189">
        <x:v>49583</x:v>
      </x:c>
      <x:c r="B113" s="190">
        <x:f t="shared" si="9"/>
        <x:v>-404652.61</x:v>
      </x:c>
      <x:c r="C113" s="190" t="n">
        <x:f>SUMIFS(Ausgangsrechnungen!$G$2:$G$301,Ausgangsrechnungen!$J$2:$J$301,"&gt;="&amp;A113,Ausgangsrechnungen!$J$2:$J$301,"&lt;"&amp;EDATE(A113,1))+SUMIFS(Ausgangsrechnungen!$H$2:$H$301,Ausgangsrechnungen!$E$2:$E$301,"&gt;="&amp;A113,Ausgangsrechnungen!$E$2:$E$301,"&lt;"&amp;EDATE(A113,1),Ausgangsrechnungen!$I$2:$I$301,"&lt;&gt;Bezahlt")</x:f>
        <x:v>0</x:v>
      </x:c>
      <x:c r="D113" s="191"/>
      <x:c r="E113" s="190" t="n">
        <x:f>SUMIFS(Eingangsrechnungen!$N$2:$N$301,Eingangsrechnungen!$J$2:$J$301,"&gt;="&amp;A113,Eingangsrechnungen!$J$2:$J$301,"&lt;"&amp;EDATE(A113,1))+SUMIFS(Eingangsrechnungen!$N$2:$N$301,Eingangsrechnungen!$E$2:$E$301,"&gt;="&amp;A113,Eingangsrechnungen!$E$2:$E$301,"&lt;"&amp;EDATE(A113,1),Eingangsrechnungen!$J$2:$J$301,"")</x:f>
        <x:v>0</x:v>
      </x:c>
      <x:c r="F113" s="190" t="n">
        <x:f>SUMIFS(Steuerkalender!$D$2:$D$100,Steuerkalender!$F$2:$F$100,"&gt;="&amp;A113,Steuerkalender!$F$2:$F$100,"&lt;"&amp;EDATE(A113,1))+SUMIFS(Steuerkalender!$D$2:$D$100,Steuerkalender!$B$2:$B$100,"&gt;="&amp;A113,Steuerkalender!$B$2:$B$100,"&lt;"&amp;EDATE(A113,1),Steuerkalender!$E$2:$E$100,"&lt;&gt;Bezahlt")+SUMIFS('USt-Monatsübersicht'!$F$2:$F$115,'USt-Monatsübersicht'!$H$2:$H$115,"&gt;="&amp;A113,'USt-Monatsübersicht'!$H$2:$H$115,"&lt;"&amp;EDATE(A113,1))+SUMIFS('USt-Monatsübersicht'!$F$2:$F$115,'USt-Monatsübersicht'!$B$2:$B$115,"&gt;="&amp;A113,'USt-Monatsübersicht'!$B$2:$B$115,"&lt;"&amp;EDATE(A113,1),'USt-Monatsübersicht'!$G$2:$G$115,"&lt;&gt;Bezahlt")</x:f>
        <x:v>0</x:v>
      </x:c>
      <x:c r="G113" s="191">
        <x:v>2000</x:v>
      </x:c>
      <x:c r="H113" s="191">
        <x:v>0</x:v>
      </x:c>
      <x:c r="I113" s="191">
        <x:v>480</x:v>
      </x:c>
      <x:c r="J113" s="191">
        <x:v>500</x:v>
      </x:c>
      <x:c r="K113" s="191">
        <x:v>0</x:v>
      </x:c>
      <x:c r="L113" s="191">
        <x:v>500</x:v>
      </x:c>
      <x:c r="M113" s="190">
        <x:f t="shared" si="10"/>
        <x:v>-408132.61</x:v>
      </x:c>
      <x:c r="N113" s="192" t="str">
        <x:f t="shared" si="11"/>
        <x:v>KRITISCH</x:v>
      </x:c>
      <x:c r="O113" s="1"/>
      <x:c r="P113" s="1"/>
      <x:c r="Q113" s="1"/>
      <x:c r="R113" s="1"/>
    </x:row>
    <x:row r="114">
      <x:c r="A114" s="189">
        <x:v>49614</x:v>
      </x:c>
      <x:c r="B114" s="190">
        <x:f t="shared" si="9"/>
        <x:v>-408132.61</x:v>
      </x:c>
      <x:c r="C114" s="190" t="n">
        <x:f>SUMIFS(Ausgangsrechnungen!$G$2:$G$301,Ausgangsrechnungen!$J$2:$J$301,"&gt;="&amp;A114,Ausgangsrechnungen!$J$2:$J$301,"&lt;"&amp;EDATE(A114,1))+SUMIFS(Ausgangsrechnungen!$H$2:$H$301,Ausgangsrechnungen!$E$2:$E$301,"&gt;="&amp;A114,Ausgangsrechnungen!$E$2:$E$301,"&lt;"&amp;EDATE(A114,1),Ausgangsrechnungen!$I$2:$I$301,"&lt;&gt;Bezahlt")</x:f>
        <x:v>0</x:v>
      </x:c>
      <x:c r="D114" s="191"/>
      <x:c r="E114" s="190" t="n">
        <x:f>SUMIFS(Eingangsrechnungen!$N$2:$N$301,Eingangsrechnungen!$J$2:$J$301,"&gt;="&amp;A114,Eingangsrechnungen!$J$2:$J$301,"&lt;"&amp;EDATE(A114,1))+SUMIFS(Eingangsrechnungen!$N$2:$N$301,Eingangsrechnungen!$E$2:$E$301,"&gt;="&amp;A114,Eingangsrechnungen!$E$2:$E$301,"&lt;"&amp;EDATE(A114,1),Eingangsrechnungen!$J$2:$J$301,"")</x:f>
        <x:v>0</x:v>
      </x:c>
      <x:c r="F114" s="190" t="n">
        <x:f>SUMIFS(Steuerkalender!$D$2:$D$100,Steuerkalender!$F$2:$F$100,"&gt;="&amp;A114,Steuerkalender!$F$2:$F$100,"&lt;"&amp;EDATE(A114,1))+SUMIFS(Steuerkalender!$D$2:$D$100,Steuerkalender!$B$2:$B$100,"&gt;="&amp;A114,Steuerkalender!$B$2:$B$100,"&lt;"&amp;EDATE(A114,1),Steuerkalender!$E$2:$E$100,"&lt;&gt;Bezahlt")+SUMIFS('USt-Monatsübersicht'!$F$2:$F$115,'USt-Monatsübersicht'!$H$2:$H$115,"&gt;="&amp;A114,'USt-Monatsübersicht'!$H$2:$H$115,"&lt;"&amp;EDATE(A114,1))+SUMIFS('USt-Monatsübersicht'!$F$2:$F$115,'USt-Monatsübersicht'!$B$2:$B$115,"&gt;="&amp;A114,'USt-Monatsübersicht'!$B$2:$B$115,"&lt;"&amp;EDATE(A114,1),'USt-Monatsübersicht'!$G$2:$G$115,"&lt;&gt;Bezahlt")</x:f>
        <x:v>0</x:v>
      </x:c>
      <x:c r="G114" s="191">
        <x:v>2000</x:v>
      </x:c>
      <x:c r="H114" s="191">
        <x:v>0</x:v>
      </x:c>
      <x:c r="I114" s="191">
        <x:v>480</x:v>
      </x:c>
      <x:c r="J114" s="191">
        <x:v>500</x:v>
      </x:c>
      <x:c r="K114" s="191">
        <x:v>0</x:v>
      </x:c>
      <x:c r="L114" s="191">
        <x:v>500</x:v>
      </x:c>
      <x:c r="M114" s="190">
        <x:f t="shared" si="10"/>
        <x:v>-411612.61</x:v>
      </x:c>
      <x:c r="N114" s="192" t="str">
        <x:f t="shared" si="11"/>
        <x:v>KRITISCH</x:v>
      </x:c>
      <x:c r="O114" s="1"/>
      <x:c r="P114" s="1"/>
      <x:c r="Q114" s="1"/>
      <x:c r="R114" s="1"/>
    </x:row>
    <x:row r="115">
      <x:c r="A115" s="189">
        <x:v>49644</x:v>
      </x:c>
      <x:c r="B115" s="190">
        <x:f t="shared" si="9"/>
        <x:v>-411612.61</x:v>
      </x:c>
      <x:c r="C115" s="190" t="n">
        <x:f>SUMIFS(Ausgangsrechnungen!$G$2:$G$301,Ausgangsrechnungen!$J$2:$J$301,"&gt;="&amp;A115,Ausgangsrechnungen!$J$2:$J$301,"&lt;"&amp;EDATE(A115,1))+SUMIFS(Ausgangsrechnungen!$H$2:$H$301,Ausgangsrechnungen!$E$2:$E$301,"&gt;="&amp;A115,Ausgangsrechnungen!$E$2:$E$301,"&lt;"&amp;EDATE(A115,1),Ausgangsrechnungen!$I$2:$I$301,"&lt;&gt;Bezahlt")</x:f>
        <x:v>0</x:v>
      </x:c>
      <x:c r="D115" s="191"/>
      <x:c r="E115" s="190" t="n">
        <x:f>SUMIFS(Eingangsrechnungen!$N$2:$N$301,Eingangsrechnungen!$J$2:$J$301,"&gt;="&amp;A115,Eingangsrechnungen!$J$2:$J$301,"&lt;"&amp;EDATE(A115,1))+SUMIFS(Eingangsrechnungen!$N$2:$N$301,Eingangsrechnungen!$E$2:$E$301,"&gt;="&amp;A115,Eingangsrechnungen!$E$2:$E$301,"&lt;"&amp;EDATE(A115,1),Eingangsrechnungen!$J$2:$J$301,"")</x:f>
        <x:v>0</x:v>
      </x:c>
      <x:c r="F115" s="190" t="n">
        <x:f>SUMIFS(Steuerkalender!$D$2:$D$100,Steuerkalender!$F$2:$F$100,"&gt;="&amp;A115,Steuerkalender!$F$2:$F$100,"&lt;"&amp;EDATE(A115,1))+SUMIFS(Steuerkalender!$D$2:$D$100,Steuerkalender!$B$2:$B$100,"&gt;="&amp;A115,Steuerkalender!$B$2:$B$100,"&lt;"&amp;EDATE(A115,1),Steuerkalender!$E$2:$E$100,"&lt;&gt;Bezahlt")+SUMIFS('USt-Monatsübersicht'!$F$2:$F$115,'USt-Monatsübersicht'!$H$2:$H$115,"&gt;="&amp;A115,'USt-Monatsübersicht'!$H$2:$H$115,"&lt;"&amp;EDATE(A115,1))+SUMIFS('USt-Monatsübersicht'!$F$2:$F$115,'USt-Monatsübersicht'!$B$2:$B$115,"&gt;="&amp;A115,'USt-Monatsübersicht'!$B$2:$B$115,"&lt;"&amp;EDATE(A115,1),'USt-Monatsübersicht'!$G$2:$G$115,"&lt;&gt;Bezahlt")</x:f>
        <x:v>0</x:v>
      </x:c>
      <x:c r="G115" s="191">
        <x:v>2000</x:v>
      </x:c>
      <x:c r="H115" s="191">
        <x:v>0</x:v>
      </x:c>
      <x:c r="I115" s="191">
        <x:v>480</x:v>
      </x:c>
      <x:c r="J115" s="191">
        <x:v>500</x:v>
      </x:c>
      <x:c r="K115" s="191">
        <x:v>0</x:v>
      </x:c>
      <x:c r="L115" s="191">
        <x:v>500</x:v>
      </x:c>
      <x:c r="M115" s="190">
        <x:f t="shared" si="10"/>
        <x:v>-415092.61</x:v>
      </x:c>
      <x:c r="N115" s="192" t="str">
        <x:f t="shared" si="11"/>
        <x:v>KRITISCH</x:v>
      </x:c>
      <x:c r="O115" s="1"/>
      <x:c r="P115" s="1"/>
      <x:c r="Q115" s="1"/>
      <x:c r="R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</x:row>
  </x:sheetData>
  <x:conditionalFormatting sqref="N2:N19">
    <x:cfRule type="expression" dxfId="22" priority="1">
      <x:formula>N2="OK"</x:formula>
    </x:cfRule>
    <x:cfRule type="expression" dxfId="21" priority="2">
      <x:formula>N2="ACHTUNG"</x:formula>
    </x:cfRule>
    <x:cfRule type="expression" dxfId="20" priority="3">
      <x:formula>N2="KRITISCH"</x:formula>
    </x:cfRule>
  </x:conditionalFormatting>
  <x:conditionalFormatting sqref="N2:N115">
    <x:cfRule type="expression" dxfId="19" priority="4">
      <x:formula>N2="KRITISCH"</x:formula>
    </x:cfRule>
    <x:cfRule type="expression" dxfId="18" priority="5">
      <x:formula>N2="OK"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1902a9d24f4b31"/>
  </x:tableParts>
</x:worksheet>
</file>

<file path=xl/worksheets/sheet7.xml><?xml version="1.0" encoding="utf-8"?>
<x:worksheet xmlns:x="http://schemas.openxmlformats.org/spreadsheetml/2006/main">
  <x:sheetFormatPr baseColWidth="10" defaultColWidth="8.796875" defaultRowHeight="13.800000190734863"/>
  <x:cols>
    <x:col min="1" max="12" width="15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0.850000381469727" customHeight="1">
      <x:c r="A1" s="229" t="s">
        <x:v>176</x:v>
      </x:c>
      <x:c r="B1" s="229"/>
      <x:c r="C1" s="229"/>
      <x:c r="D1" s="229"/>
      <x:c r="E1" s="229"/>
      <x:c r="F1" s="229"/>
      <x:c r="G1" s="229"/>
      <x:c r="H1" s="229"/>
      <x:c r="I1" s="229"/>
      <x:c r="J1" s="229"/>
      <x:c r="K1" s="229"/>
      <x:c r="L1" s="230"/>
      <x:c r="M1" s="1"/>
      <x:c r="N1" s="507" t="str">
        <x:v>Monat</x:v>
      </x:c>
      <x:c r="O1" s="507" t="str">
        <x:v>Liquidität</x:v>
      </x:c>
      <x:c r="P1" s="511" t="str">
        <x:v>Monat</x:v>
      </x:c>
      <x:c r="Q1" s="511" t="str">
        <x:v>Netto-Umsatz</x:v>
      </x:c>
      <x:c r="R1" s="511" t="str">
        <x:v>Gewinn vor Steuern</x:v>
      </x:c>
    </x:row>
    <x:row r="2" ht="20.850000381469727" customHeight="1">
      <x:c r="A2" s="229"/>
      <x:c r="B2" s="229"/>
      <x:c r="C2" s="229"/>
      <x:c r="D2" s="229"/>
      <x:c r="E2" s="229"/>
      <x:c r="F2" s="229"/>
      <x:c r="G2" s="229"/>
      <x:c r="H2" s="229"/>
      <x:c r="I2" s="229"/>
      <x:c r="J2" s="229"/>
      <x:c r="K2" s="229"/>
      <x:c r="L2" s="230"/>
      <x:c r="M2" s="1"/>
      <x:c r="N2" s="507" t="str">
        <x:v>Jul 26</x:v>
      </x:c>
      <x:c r="O2" s="509" t="n">
        <x:v>-11184.359999999999</x:v>
      </x:c>
      <x:c r="P2" s="511" t="str">
        <x:v>Jul 26</x:v>
      </x:c>
      <x:c r="Q2" s="513" t="n">
        <x:v>50796.61</x:v>
      </x:c>
      <x:c r="R2" s="513" t="n">
        <x:v>29201.550000000007</x:v>
      </x:c>
    </x:row>
    <x:row r="3" ht="19.200000762939453" customHeight="1">
      <x:c r="A3" s="231" t="s">
        <x:v>177</x:v>
      </x:c>
      <x:c r="B3" s="231"/>
      <x:c r="C3" s="153">
        <x:v>2026</x:v>
      </x:c>
      <x:c r="D3" s="231" t="s">
        <x:v>178</x:v>
      </x:c>
      <x:c r="E3" s="231"/>
      <x:c r="F3" s="154" t="n">
        <x:f>C3+1</x:f>
        <x:v>2027</x:v>
      </x:c>
      <x:c r="G3" s="231" t="str">
        <x:f>"Auswertung: Januar "&amp;C3&amp;" bis Dezember "&amp;F3</x:f>
        <x:v>Auswertung: Januar 2026 bis Dezember 2027</x:v>
      </x:c>
      <x:c r="H3" s="231"/>
      <x:c r="I3" s="231"/>
      <x:c r="J3" s="231"/>
      <x:c r="K3" s="231" t="str">
        <x:v>Version 1.2.6 – Dashboard Pro</x:v>
      </x:c>
      <x:c r="L3" s="232"/>
      <x:c r="M3" s="1"/>
      <x:c r="N3" s="507" t="str">
        <x:v>Aug 26</x:v>
      </x:c>
      <x:c r="O3" s="509" t="n">
        <x:v>733.6799999999967</x:v>
      </x:c>
      <x:c r="P3" s="511" t="str">
        <x:v>Aug 26</x:v>
      </x:c>
      <x:c r="Q3" s="513" t="n">
        <x:v>0</x:v>
      </x:c>
      <x:c r="R3" s="513" t="n">
        <x:v>-3000</x:v>
      </x:c>
    </x:row>
    <x:row r="4" ht="14.399999618530273">
      <x:c r="A4" s="122"/>
      <x:c r="B4" s="122"/>
      <x:c r="C4" s="123"/>
      <x:c r="D4" s="122"/>
      <x:c r="E4" s="122"/>
      <x:c r="F4" s="123"/>
      <x:c r="G4" s="122"/>
      <x:c r="H4" s="122"/>
      <x:c r="I4" s="123"/>
      <x:c r="J4" s="122"/>
      <x:c r="K4" s="122"/>
      <x:c r="L4" s="1"/>
      <x:c r="M4" s="1"/>
      <x:c r="N4" s="507" t="str">
        <x:v>Sep 26</x:v>
      </x:c>
      <x:c r="O4" s="509" t="n">
        <x:v>-9470.210000000003</x:v>
      </x:c>
      <x:c r="P4" s="511" t="str">
        <x:v>Sep 26</x:v>
      </x:c>
      <x:c r="Q4" s="513" t="n">
        <x:v>0</x:v>
      </x:c>
      <x:c r="R4" s="513" t="n">
        <x:v>-3000</x:v>
      </x:c>
    </x:row>
    <x:row r="5" ht="17.549999237060547" customHeight="1">
      <x:c r="A5" s="233" t="str">
        <x:f>"Kontostand Ende "&amp;$C$3</x:f>
        <x:v>Kontostand Ende 2026</x:v>
      </x:c>
      <x:c r="B5" s="234"/>
      <x:c r="C5" s="233"/>
      <x:c r="D5" s="233" t="str">
        <x:f>"Kontostand Ende "&amp;$F$3</x:f>
        <x:v>Kontostand Ende 2027</x:v>
      </x:c>
      <x:c r="E5" s="234"/>
      <x:c r="F5" s="233"/>
      <x:c r="G5" s="240" t="str">
        <x:f>"Privatentnahmen "&amp;$C$3</x:f>
        <x:v>Privatentnahmen 2026</x:v>
      </x:c>
      <x:c r="H5" s="241"/>
      <x:c r="I5" s="240"/>
      <x:c r="J5" s="240" t="str">
        <x:f>"Privatentnahmen "&amp;$F$3</x:f>
        <x:v>Privatentnahmen 2027</x:v>
      </x:c>
      <x:c r="K5" s="240"/>
      <x:c r="L5" s="246"/>
      <x:c r="M5" s="1"/>
      <x:c r="N5" s="507" t="str">
        <x:v>Okt 26</x:v>
      </x:c>
      <x:c r="O5" s="509" t="n">
        <x:v>-8758.610000000002</x:v>
      </x:c>
      <x:c r="P5" s="511" t="str">
        <x:v>Okt 26</x:v>
      </x:c>
      <x:c r="Q5" s="513" t="n">
        <x:v>0</x:v>
      </x:c>
      <x:c r="R5" s="513" t="n">
        <x:v>-3000</x:v>
      </x:c>
    </x:row>
    <x:row r="6" ht="17.549999237060547" customHeight="1">
      <x:c r="A6" s="235" t="e">
        <x:f>IFERROR(INDEX(Liquiditätsplan!$M$2:$M$115,MATCH(DATE($C$3,12,1),Liquiditätsplan!$A$2:$A$115,0)),0)</x:f>
      </x:c>
      <x:c r="B6" s="235"/>
      <x:c r="C6" s="236"/>
      <x:c r="D6" s="235" t="e">
        <x:f>IFERROR(INDEX(Liquiditätsplan!$M$2:$M$115,MATCH(DATE($F$3,12,1),Liquiditätsplan!$A$2:$A$115,0)),0)</x:f>
      </x:c>
      <x:c r="E6" s="235"/>
      <x:c r="F6" s="236"/>
      <x:c r="G6" s="235" t="e">
        <x:f>SUMIFS(Liquiditätsplan!$K$2:$K$115,Liquiditätsplan!$A$2:$A$115,"&gt;="&amp;DATE($C$3,1,1),Liquiditätsplan!$A$2:$A$115,"&lt;="&amp;DATE($C$3,12,31))</x:f>
      </x:c>
      <x:c r="H6" s="235"/>
      <x:c r="I6" s="242"/>
      <x:c r="J6" s="235" t="e">
        <x:f>SUMIFS(Liquiditätsplan!$K$2:$K$115,Liquiditätsplan!$A$2:$A$115,"&gt;="&amp;DATE($F$3,1,1),Liquiditätsplan!$A$2:$A$115,"&lt;="&amp;DATE($F$3,12,31))</x:f>
      </x:c>
      <x:c r="K6" s="235"/>
      <x:c r="L6" s="247"/>
      <x:c r="M6" s="1"/>
      <x:c r="N6" s="507" t="str">
        <x:v>Nov 26</x:v>
      </x:c>
      <x:c r="O6" s="509" t="n">
        <x:v>-14598.610000000002</x:v>
      </x:c>
      <x:c r="P6" s="511" t="str">
        <x:v>Nov 26</x:v>
      </x:c>
      <x:c r="Q6" s="513" t="n">
        <x:v>0</x:v>
      </x:c>
      <x:c r="R6" s="513" t="n">
        <x:v>-3000</x:v>
      </x:c>
    </x:row>
    <x:row r="7" ht="17.549999237060547" customHeight="1">
      <x:c r="A7" s="237"/>
      <x:c r="B7" s="238"/>
      <x:c r="C7" s="239"/>
      <x:c r="D7" s="237"/>
      <x:c r="E7" s="238"/>
      <x:c r="F7" s="239"/>
      <x:c r="G7" s="243"/>
      <x:c r="H7" s="244"/>
      <x:c r="I7" s="245"/>
      <x:c r="J7" s="243"/>
      <x:c r="K7" s="244"/>
      <x:c r="L7" s="248"/>
      <x:c r="M7" s="1"/>
      <x:c r="N7" s="507" t="str">
        <x:v>Dez 26</x:v>
      </x:c>
      <x:c r="O7" s="509" t="n">
        <x:v>-25734.61</x:v>
      </x:c>
      <x:c r="P7" s="511" t="str">
        <x:v>Dez 26</x:v>
      </x:c>
      <x:c r="Q7" s="513" t="n">
        <x:v>0</x:v>
      </x:c>
      <x:c r="R7" s="513" t="n">
        <x:v>-3000</x:v>
      </x:c>
    </x:row>
    <x:row r="8" ht="17.549999237060547" customHeight="1">
      <x:c r="A8" s="126"/>
      <x:c r="B8" s="127"/>
      <x:c r="C8" s="121"/>
      <x:c r="D8" s="121"/>
      <x:c r="E8" s="121"/>
      <x:c r="F8" s="121"/>
      <x:c r="G8" s="128"/>
      <x:c r="H8" s="129"/>
      <x:c r="I8" s="121"/>
      <x:c r="J8" s="121"/>
      <x:c r="K8" s="121"/>
      <x:c r="L8" s="1"/>
      <x:c r="M8" s="1"/>
      <x:c r="N8" s="507" t="str">
        <x:v>Jan 27</x:v>
      </x:c>
      <x:c r="O8" s="509" t="n">
        <x:v>-31272.61</x:v>
      </x:c>
      <x:c r="P8" s="511" t="str">
        <x:v>Jan 27</x:v>
      </x:c>
      <x:c r="Q8" s="513" t="n">
        <x:v>0</x:v>
      </x:c>
      <x:c r="R8" s="513" t="n">
        <x:v>-3000</x:v>
      </x:c>
    </x:row>
    <x:row r="9" ht="17.549999237060547" customHeight="1">
      <x:c r="A9" s="249" t="str">
        <x:f>"Netto-Umsatz "&amp;$C$3</x:f>
        <x:v>Netto-Umsatz 2026</x:v>
      </x:c>
      <x:c r="B9" s="250"/>
      <x:c r="C9" s="251"/>
      <x:c r="D9" s="251" t="str">
        <x:f>"Netto-Umsatz "&amp;$F$3</x:f>
        <x:v>Netto-Umsatz 2027</x:v>
      </x:c>
      <x:c r="E9" s="251"/>
      <x:c r="F9" s="251"/>
      <x:c r="G9" s="256" t="str">
        <x:f>"Gewinn vor Steuern "&amp;$C$3</x:f>
        <x:v>Gewinn vor Steuern 2026</x:v>
      </x:c>
      <x:c r="H9" s="257"/>
      <x:c r="I9" s="258"/>
      <x:c r="J9" s="258" t="str">
        <x:f>"Gewinn vor Steuern "&amp;$F$3</x:f>
        <x:v>Gewinn vor Steuern 2027</x:v>
      </x:c>
      <x:c r="K9" s="258"/>
      <x:c r="L9" s="263"/>
      <x:c r="M9" s="1"/>
      <x:c r="N9" s="507" t="str">
        <x:v>Feb 27</x:v>
      </x:c>
      <x:c r="O9" s="509" t="n">
        <x:v>-34752.61</x:v>
      </x:c>
      <x:c r="P9" s="511" t="str">
        <x:v>Feb 27</x:v>
      </x:c>
      <x:c r="Q9" s="513" t="n">
        <x:v>0</x:v>
      </x:c>
      <x:c r="R9" s="513" t="n">
        <x:v>-3000</x:v>
      </x:c>
    </x:row>
    <x:row r="10" ht="17.549999237060547" customHeight="1">
      <x:c r="A10" s="235" t="e">
        <x:f>SUMIFS(Gewinnübersicht!$B$3:$B$115,Gewinnübersicht!$A$3:$A$115,"&gt;="&amp;DATE($C$3,1,1),Gewinnübersicht!$A$3:$A$115,"&lt;="&amp;DATE($C$3,12,31))</x:f>
      </x:c>
      <x:c r="B10" s="235"/>
      <x:c r="C10" s="252"/>
      <x:c r="D10" s="235" t="e">
        <x:f>SUMIFS(Gewinnübersicht!$B$3:$B$115,Gewinnübersicht!$A$3:$A$115,"&gt;="&amp;DATE($F$3,1,1),Gewinnübersicht!$A$3:$A$115,"&lt;="&amp;DATE($F$3,12,31))</x:f>
      </x:c>
      <x:c r="E10" s="235"/>
      <x:c r="F10" s="252"/>
      <x:c r="G10" s="235" t="e">
        <x:f>SUMIFS(Gewinnübersicht!$J$3:$J$115,Gewinnübersicht!$A$3:$A$115,"&gt;="&amp;DATE($C$3,1,1),Gewinnübersicht!$A$3:$A$115,"&lt;="&amp;DATE($C$3,12,31))</x:f>
      </x:c>
      <x:c r="H10" s="235"/>
      <x:c r="I10" s="259"/>
      <x:c r="J10" s="235" t="e">
        <x:f>SUMIFS(Gewinnübersicht!$J$3:$J$115,Gewinnübersicht!$A$3:$A$115,"&gt;="&amp;DATE($F$3,1,1),Gewinnübersicht!$A$3:$A$115,"&lt;="&amp;DATE($F$3,12,31))</x:f>
      </x:c>
      <x:c r="K10" s="235"/>
      <x:c r="L10" s="264"/>
      <x:c r="M10" s="1"/>
      <x:c r="N10" s="507" t="str">
        <x:v>Mär 27</x:v>
      </x:c>
      <x:c r="O10" s="509" t="n">
        <x:v>-41097.61</x:v>
      </x:c>
      <x:c r="P10" s="511" t="str">
        <x:v>Mär 27</x:v>
      </x:c>
      <x:c r="Q10" s="513" t="n">
        <x:v>0</x:v>
      </x:c>
      <x:c r="R10" s="513" t="n">
        <x:v>-3000</x:v>
      </x:c>
    </x:row>
    <x:row r="11" ht="17.549999237060547" customHeight="1">
      <x:c r="A11" s="253"/>
      <x:c r="B11" s="254"/>
      <x:c r="C11" s="255"/>
      <x:c r="D11" s="253"/>
      <x:c r="E11" s="254"/>
      <x:c r="F11" s="255"/>
      <x:c r="G11" s="260"/>
      <x:c r="H11" s="261"/>
      <x:c r="I11" s="262"/>
      <x:c r="J11" s="260"/>
      <x:c r="K11" s="261"/>
      <x:c r="L11" s="265"/>
      <x:c r="M11" s="1"/>
      <x:c r="N11" s="507" t="str">
        <x:v>Apr 27</x:v>
      </x:c>
      <x:c r="O11" s="509" t="n">
        <x:v>-44577.61</x:v>
      </x:c>
      <x:c r="P11" s="511" t="str">
        <x:v>Apr 27</x:v>
      </x:c>
      <x:c r="Q11" s="513" t="n">
        <x:v>0</x:v>
      </x:c>
      <x:c r="R11" s="513" t="n">
        <x:v>-3000</x:v>
      </x:c>
    </x:row>
    <x:row r="12" ht="17.549999237060547" customHeight="1">
      <x:c r="A12" s="130"/>
      <x:c r="B12" s="130"/>
      <x:c r="C12" s="130"/>
      <x:c r="D12" s="130"/>
      <x:c r="E12" s="130"/>
      <x:c r="F12" s="130"/>
      <x:c r="G12" s="130"/>
      <x:c r="H12" s="130"/>
      <x:c r="I12" s="130"/>
      <x:c r="J12" s="130"/>
      <x:c r="K12" s="130"/>
      <x:c r="L12" s="1"/>
      <x:c r="M12" s="1"/>
      <x:c r="N12" s="507" t="str">
        <x:v>Mai 27</x:v>
      </x:c>
      <x:c r="O12" s="509" t="n">
        <x:v>-48057.61</x:v>
      </x:c>
      <x:c r="P12" s="511" t="str">
        <x:v>Mai 27</x:v>
      </x:c>
      <x:c r="Q12" s="513" t="n">
        <x:v>0</x:v>
      </x:c>
      <x:c r="R12" s="513" t="n">
        <x:v>-3000</x:v>
      </x:c>
    </x:row>
    <x:row r="13" ht="17.549999237060547" customHeight="1">
      <x:c r="A13" s="266" t="s">
        <x:v>179</x:v>
      </x:c>
      <x:c r="B13" s="266"/>
      <x:c r="C13" s="266"/>
      <x:c r="D13" s="266" t="s">
        <x:v>180</x:v>
      </x:c>
      <x:c r="E13" s="266"/>
      <x:c r="F13" s="266"/>
      <x:c r="G13" s="266" t="s">
        <x:v>181</x:v>
      </x:c>
      <x:c r="H13" s="266"/>
      <x:c r="I13" s="266"/>
      <x:c r="J13" s="266" t="s">
        <x:v>182</x:v>
      </x:c>
      <x:c r="K13" s="266"/>
      <x:c r="L13" s="269"/>
      <x:c r="M13" s="1"/>
      <x:c r="N13" s="507" t="str">
        <x:v>Jun 27</x:v>
      </x:c>
      <x:c r="O13" s="509" t="n">
        <x:v>-54402.61</x:v>
      </x:c>
      <x:c r="P13" s="511" t="str">
        <x:v>Jun 27</x:v>
      </x:c>
      <x:c r="Q13" s="513" t="n">
        <x:v>0</x:v>
      </x:c>
      <x:c r="R13" s="513" t="n">
        <x:v>-3000</x:v>
      </x:c>
    </x:row>
    <x:row r="14" ht="17.549999237060547" customHeight="1">
      <x:c r="A14" s="267" t="n">
        <x:f>SUMIFS(Eingangsrechnungen!$N$2:$N$500,Eingangsrechnungen!$I$2:$I$500,"&lt;&gt;Bezahlt")</x:f>
        <x:v>24714.78</x:v>
      </x:c>
      <x:c r="B14" s="267"/>
      <x:c r="C14" s="267"/>
      <x:c r="D14" s="267" t="n">
        <x:f>SUM(Ausgangsrechnungen!$H$2:$H$500)</x:f>
        <x:v>54956.29</x:v>
      </x:c>
      <x:c r="E14" s="267"/>
      <x:c r="F14" s="267"/>
      <x:c r="G14" s="268" t="n">
        <x:f>COUNTIFS(Projekte!$E$2:$E$101,"&lt;&gt;Abgeschlossen",Projekte!$E$2:$E$101,"&lt;&gt;")</x:f>
        <x:v>0</x:v>
      </x:c>
      <x:c r="H14" s="268"/>
      <x:c r="I14" s="268"/>
      <x:c r="J14" s="267" t="n">
        <x:f>SUMIFS(Steuerkalender!$D$2:$D$200,Steuerkalender!$E$2:$E$200,"Offen")</x:f>
        <x:v>49933.8</x:v>
      </x:c>
      <x:c r="K14" s="267"/>
      <x:c r="L14" s="270"/>
      <x:c r="M14" s="1"/>
      <x:c r="N14" s="507" t="str">
        <x:v>Jul 27</x:v>
      </x:c>
      <x:c r="O14" s="509" t="n">
        <x:v>-57882.61</x:v>
      </x:c>
      <x:c r="P14" s="511" t="str">
        <x:v>Jul 27</x:v>
      </x:c>
      <x:c r="Q14" s="513" t="n">
        <x:v>0</x:v>
      </x:c>
      <x:c r="R14" s="513" t="n">
        <x:v>-3000</x:v>
      </x:c>
    </x:row>
    <x:row r="15">
      <x:c r="A15" s="160" t="s">
        <x:v>183</x:v>
      </x:c>
      <x:c r="B15" s="161"/>
      <x:c r="C15" s="162" t="e">
        <x:f>Finanzstatus!B5</x:f>
      </x:c>
      <x:c r="D15" s="162"/>
      <x:c r="E15" s="162" t="e">
        <x:f>Finanzstatus!B6</x:f>
      </x:c>
      <x:c r="F15" s="162"/>
      <x:c r="G15" s="162" t="e">
        <x:f>Finanzstatus!B7</x:f>
      </x:c>
      <x:c r="H15" s="162"/>
      <x:c r="I15" s="162" t="e">
        <x:f>Finanzstatus!B8</x:f>
      </x:c>
      <x:c r="J15" s="160"/>
      <x:c r="K15" s="161"/>
      <x:c r="L15" s="1"/>
      <x:c r="M15" s="1"/>
      <x:c r="N15" s="507" t="str">
        <x:v>Aug 27</x:v>
      </x:c>
      <x:c r="O15" s="509" t="n">
        <x:v>-61362.61</x:v>
      </x:c>
      <x:c r="P15" s="511" t="str">
        <x:v>Aug 27</x:v>
      </x:c>
      <x:c r="Q15" s="513" t="n">
        <x:v>0</x:v>
      </x:c>
      <x:c r="R15" s="513" t="n">
        <x:v>-3000</x:v>
      </x:c>
    </x:row>
    <x:row r="16" ht="23" customHeight="1">
      <x:c r="A16" s="273" t="s">
        <x:v>184</x:v>
      </x:c>
      <x:c r="B16" s="274"/>
      <x:c r="C16" s="273"/>
      <x:c r="D16" s="273"/>
      <x:c r="E16" s="275"/>
      <x:c r="F16" s="273"/>
      <x:c r="G16" s="273"/>
      <x:c r="H16" s="275"/>
      <x:c r="I16" s="273"/>
      <x:c r="J16" s="273"/>
      <x:c r="K16" s="273"/>
      <x:c r="L16" s="1"/>
      <x:c r="M16" s="1"/>
      <x:c r="N16" s="507" t="str">
        <x:v>Sep 27</x:v>
      </x:c>
      <x:c r="O16" s="509" t="n">
        <x:v>-67707.61</x:v>
      </x:c>
      <x:c r="P16" s="511" t="str">
        <x:v>Sep 27</x:v>
      </x:c>
      <x:c r="Q16" s="513" t="n">
        <x:v>0</x:v>
      </x:c>
      <x:c r="R16" s="513" t="n">
        <x:v>-3000</x:v>
      </x:c>
    </x:row>
    <x:row r="17" ht="23" customHeight="1">
      <x:c r="A17" s="180" t="s">
        <x:v>185</x:v>
      </x:c>
      <x:c r="B17" s="131"/>
      <x:c r="C17" s="180" t="s">
        <x:v>186</x:v>
      </x:c>
      <x:c r="D17" s="124"/>
      <x:c r="E17" s="181" t="s">
        <x:v>21</x:v>
      </x:c>
      <x:c r="F17" s="121"/>
      <x:c r="G17" s="180" t="s">
        <x:v>24</x:v>
      </x:c>
      <x:c r="H17" s="125"/>
      <x:c r="I17" s="180" t="s">
        <x:v>187</x:v>
      </x:c>
      <x:c r="J17" s="121"/>
      <x:c r="K17" s="180" t="s">
        <x:v>29</x:v>
      </x:c>
      <x:c r="L17" s="1"/>
      <x:c r="M17" s="1"/>
      <x:c r="N17" s="507" t="str">
        <x:v>Okt 27</x:v>
      </x:c>
      <x:c r="O17" s="509" t="n">
        <x:v>-71187.61</x:v>
      </x:c>
      <x:c r="P17" s="511" t="str">
        <x:v>Okt 27</x:v>
      </x:c>
      <x:c r="Q17" s="513" t="n">
        <x:v>0</x:v>
      </x:c>
      <x:c r="R17" s="513" t="n">
        <x:v>-3000</x:v>
      </x:c>
    </x:row>
    <x:row r="18" ht="23" customHeight="1">
      <x:c r="A18" s="194" t="n">
        <x:f>COUNTIF(Projekte!$E$2:$E$101,"Angebot")</x:f>
        <x:v>0</x:v>
      </x:c>
      <x:c r="B18" s="121"/>
      <x:c r="C18" s="194" t="n">
        <x:f>COUNTIF(Projekte!$E$2:$E$101,"Auftrag")</x:f>
        <x:v>0</x:v>
      </x:c>
      <x:c r="D18" s="121"/>
      <x:c r="E18" s="194" t="n">
        <x:f>COUNTIF(Projekte!$E$2:$E$101,"Material bestellt")</x:f>
        <x:v>0</x:v>
      </x:c>
      <x:c r="F18" s="121"/>
      <x:c r="G18" s="194" t="n">
        <x:f>COUNTIF(Projekte!$E$2:$E$101,"Montage geplant")</x:f>
        <x:v>0</x:v>
      </x:c>
      <x:c r="H18" s="121"/>
      <x:c r="I18" s="194" t="n">
        <x:f>COUNTIF(Projekte!$U$2:$U$101,"ÜBERFÄLLIG")</x:f>
        <x:v>0</x:v>
      </x:c>
      <x:c r="J18" s="121"/>
      <x:c r="K18" s="194" t="n">
        <x:f>COUNTIF(Projekte!$E$2:$E$101,"Rechnung offen")</x:f>
        <x:v>0</x:v>
      </x:c>
      <x:c r="L18" s="1"/>
      <x:c r="M18" s="1"/>
      <x:c r="N18" s="507" t="str">
        <x:v>Nov 27</x:v>
      </x:c>
      <x:c r="O18" s="509" t="n">
        <x:v>-74667.61</x:v>
      </x:c>
      <x:c r="P18" s="511" t="str">
        <x:v>Nov 27</x:v>
      </x:c>
      <x:c r="Q18" s="513" t="n">
        <x:v>0</x:v>
      </x:c>
      <x:c r="R18" s="513" t="n">
        <x:v>-3000</x:v>
      </x:c>
    </x:row>
    <x:row r="19" ht="23" customHeight="1">
      <x:c r="A19" s="132"/>
      <x:c r="B19" s="132"/>
      <x:c r="C19" s="132"/>
      <x:c r="D19" s="132"/>
      <x:c r="E19" s="132"/>
      <x:c r="F19" s="132"/>
      <x:c r="G19" s="132"/>
      <x:c r="H19" s="132"/>
      <x:c r="I19" s="132"/>
      <x:c r="J19" s="132"/>
      <x:c r="K19" s="132"/>
      <x:c r="L19" s="1"/>
      <x:c r="M19" s="1"/>
      <x:c r="N19" s="507" t="str">
        <x:v>Dez 27</x:v>
      </x:c>
      <x:c r="O19" s="509" t="n">
        <x:v>-81012.61</x:v>
      </x:c>
      <x:c r="P19" s="511" t="str">
        <x:v>Dez 27</x:v>
      </x:c>
      <x:c r="Q19" s="513" t="n">
        <x:v>0</x:v>
      </x:c>
      <x:c r="R19" s="513" t="n">
        <x:v>-3000</x:v>
      </x:c>
    </x:row>
    <x:row r="20" ht="23" customHeight="1">
      <x:c r="A20" s="132"/>
      <x:c r="B20" s="132"/>
      <x:c r="C20" s="132"/>
      <x:c r="D20" s="132"/>
      <x:c r="E20" s="132"/>
      <x:c r="F20" s="132"/>
      <x:c r="G20" s="132"/>
      <x:c r="H20" s="132"/>
      <x:c r="I20" s="132"/>
      <x:c r="J20" s="132"/>
      <x:c r="K20" s="132"/>
      <x:c r="L20" s="1"/>
      <x:c r="M20" s="1"/>
      <x:c r="N20" s="507" t="str">
        <x:v>Jan 28</x:v>
      </x:c>
      <x:c r="O20" s="509" t="n">
        <x:v>-84492.61</x:v>
      </x:c>
      <x:c r="P20" s="511" t="str">
        <x:v>Jan 28</x:v>
      </x:c>
      <x:c r="Q20" s="513" t="n">
        <x:v>0</x:v>
      </x:c>
      <x:c r="R20" s="513" t="n">
        <x:v>-3000</x:v>
      </x:c>
    </x:row>
    <x:row r="21" ht="23" customHeight="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  <x:c r="K21" s="121"/>
      <x:c r="L21" s="1"/>
      <x:c r="M21" s="1"/>
      <x:c r="N21" s="507" t="str">
        <x:v>Feb 28</x:v>
      </x:c>
      <x:c r="O21" s="509" t="n">
        <x:v>-87972.61</x:v>
      </x:c>
      <x:c r="P21" s="511" t="str">
        <x:v>Feb 28</x:v>
      </x:c>
      <x:c r="Q21" s="513" t="n">
        <x:v>0</x:v>
      </x:c>
      <x:c r="R21" s="513" t="n">
        <x:v>-3000</x:v>
      </x:c>
    </x:row>
    <x:row r="22" ht="23" customHeight="1">
      <x:c r="A22" s="121"/>
      <x:c r="B22" s="121"/>
      <x:c r="C22" s="121"/>
      <x:c r="D22" s="121"/>
      <x:c r="E22" s="121"/>
      <x:c r="F22" s="121"/>
      <x:c r="G22" s="121"/>
      <x:c r="H22" s="121"/>
      <x:c r="I22" s="121"/>
      <x:c r="J22" s="121"/>
      <x:c r="K22" s="121"/>
      <x:c r="L22" s="1"/>
      <x:c r="M22" s="1"/>
      <x:c r="N22" s="507" t="str">
        <x:v>Mär 28</x:v>
      </x:c>
      <x:c r="O22" s="509" t="n">
        <x:v>-91452.61</x:v>
      </x:c>
      <x:c r="P22" s="511" t="str">
        <x:v>Mär 28</x:v>
      </x:c>
      <x:c r="Q22" s="513" t="n">
        <x:v>0</x:v>
      </x:c>
      <x:c r="R22" s="513" t="n">
        <x:v>-3000</x:v>
      </x:c>
    </x:row>
    <x:row r="23" ht="23" customHeight="1">
      <x:c r="A23" s="121"/>
      <x:c r="B23" s="121"/>
      <x:c r="C23" s="121"/>
      <x:c r="D23" s="121"/>
      <x:c r="E23" s="121"/>
      <x:c r="F23" s="121"/>
      <x:c r="G23" s="121"/>
      <x:c r="H23" s="121"/>
      <x:c r="I23" s="121"/>
      <x:c r="J23" s="121"/>
      <x:c r="K23" s="121"/>
      <x:c r="L23" s="1"/>
      <x:c r="M23" s="1"/>
      <x:c r="N23" s="507" t="str">
        <x:v>Apr 28</x:v>
      </x:c>
      <x:c r="O23" s="509" t="n">
        <x:v>-94932.61</x:v>
      </x:c>
      <x:c r="P23" s="511" t="str">
        <x:v>Apr 28</x:v>
      </x:c>
      <x:c r="Q23" s="513" t="n">
        <x:v>0</x:v>
      </x:c>
      <x:c r="R23" s="513" t="n">
        <x:v>-3000</x:v>
      </x:c>
    </x:row>
    <x:row r="24" ht="23" customHeight="1">
      <x:c r="A24" s="121"/>
      <x:c r="B24" s="121"/>
      <x:c r="C24" s="121"/>
      <x:c r="D24" s="121"/>
      <x:c r="E24" s="121"/>
      <x:c r="F24" s="121"/>
      <x:c r="G24" s="121"/>
      <x:c r="H24" s="121"/>
      <x:c r="I24" s="121"/>
      <x:c r="J24" s="121"/>
      <x:c r="K24" s="121"/>
      <x:c r="L24" s="1"/>
      <x:c r="M24" s="1"/>
      <x:c r="N24" s="507" t="str">
        <x:v>Mai 28</x:v>
      </x:c>
      <x:c r="O24" s="509" t="n">
        <x:v>-98412.61</x:v>
      </x:c>
      <x:c r="P24" s="511" t="str">
        <x:v>Mai 28</x:v>
      </x:c>
      <x:c r="Q24" s="513" t="n">
        <x:v>0</x:v>
      </x:c>
      <x:c r="R24" s="513" t="n">
        <x:v>-3000</x:v>
      </x:c>
    </x:row>
    <x:row r="25" ht="23" customHeight="1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  <x:c r="K25" s="121"/>
      <x:c r="L25" s="1"/>
      <x:c r="M25" s="1"/>
      <x:c r="N25" s="507" t="str">
        <x:v>Jun 28</x:v>
      </x:c>
      <x:c r="O25" s="509" t="n">
        <x:v>-101892.61</x:v>
      </x:c>
      <x:c r="P25" s="511" t="str">
        <x:v>Jun 28</x:v>
      </x:c>
      <x:c r="Q25" s="513" t="n">
        <x:v>0</x:v>
      </x:c>
      <x:c r="R25" s="513" t="n">
        <x:v>-3000</x:v>
      </x:c>
    </x:row>
    <x:row r="26" ht="23" customHeight="1">
      <x:c r="A26" s="121"/>
      <x:c r="B26" s="121"/>
      <x:c r="C26" s="121"/>
      <x:c r="D26" s="121"/>
      <x:c r="E26" s="121"/>
      <x:c r="F26" s="121"/>
      <x:c r="G26" s="121"/>
      <x:c r="H26" s="121"/>
      <x:c r="I26" s="121"/>
      <x:c r="J26" s="121"/>
      <x:c r="K26" s="121"/>
      <x:c r="L26" s="1"/>
      <x:c r="M26" s="1"/>
      <x:c r="N26" s="507"/>
      <x:c r="O26" s="507"/>
      <x:c r="P26" s="511"/>
      <x:c r="Q26" s="511"/>
      <x:c r="R26" s="511"/>
    </x:row>
    <x:row r="27" ht="23" customHeight="1">
      <x:c r="A27" s="121"/>
      <x:c r="B27" s="121"/>
      <x:c r="C27" s="121"/>
      <x:c r="D27" s="121"/>
      <x:c r="E27" s="121"/>
      <x:c r="F27" s="121"/>
      <x:c r="G27" s="121"/>
      <x:c r="H27" s="121"/>
      <x:c r="I27" s="121"/>
      <x:c r="J27" s="121"/>
      <x:c r="K27" s="121"/>
      <x:c r="L27" s="1"/>
      <x:c r="M27" s="1"/>
      <x:c r="N27" s="1"/>
      <x:c r="O27" s="1"/>
    </x:row>
    <x:row r="28" ht="23" customHeight="1">
      <x:c r="A28" s="121"/>
      <x:c r="B28" s="121"/>
      <x:c r="C28" s="121"/>
      <x:c r="D28" s="121"/>
      <x:c r="E28" s="121"/>
      <x:c r="F28" s="121"/>
      <x:c r="G28" s="121"/>
      <x:c r="H28" s="121"/>
      <x:c r="I28" s="121"/>
      <x:c r="J28" s="121"/>
      <x:c r="K28" s="121"/>
      <x:c r="L28" s="1"/>
      <x:c r="M28" s="1"/>
      <x:c r="N28" s="1"/>
      <x:c r="O28" s="1"/>
    </x:row>
    <x:row r="29" ht="23" customHeight="1">
      <x:c r="A29" s="121"/>
      <x:c r="B29" s="121"/>
      <x:c r="C29" s="121"/>
      <x:c r="D29" s="121"/>
      <x:c r="E29" s="121"/>
      <x:c r="F29" s="121"/>
      <x:c r="G29" s="121"/>
      <x:c r="H29" s="121"/>
      <x:c r="I29" s="121"/>
      <x:c r="J29" s="121"/>
      <x:c r="K29" s="121"/>
      <x:c r="L29" s="1"/>
      <x:c r="M29" s="1"/>
      <x:c r="N29" s="1"/>
      <x:c r="O29" s="1"/>
    </x:row>
    <x:row r="30" ht="23" customHeight="1">
      <x:c r="A30" s="121"/>
      <x:c r="B30" s="121"/>
      <x:c r="C30" s="121"/>
      <x:c r="D30" s="121"/>
      <x:c r="E30" s="121"/>
      <x:c r="F30" s="121"/>
      <x:c r="G30" s="121"/>
      <x:c r="H30" s="121"/>
      <x:c r="I30" s="121"/>
      <x:c r="J30" s="121"/>
      <x:c r="K30" s="12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271" t="s">
        <x:v>188</x:v>
      </x:c>
      <x:c r="B33" s="271"/>
      <x:c r="C33" s="271"/>
      <x:c r="D33" s="271"/>
      <x:c r="E33" s="271"/>
      <x:c r="F33" s="271"/>
      <x:c r="G33" s="271"/>
      <x:c r="H33" s="271"/>
      <x:c r="I33" s="271"/>
      <x:c r="J33" s="271"/>
      <x:c r="K33" s="271"/>
      <x:c r="L33" s="271"/>
      <x:c r="M33" s="1"/>
      <x:c r="N33" s="1"/>
      <x:c r="O33" s="1"/>
    </x:row>
    <x:row r="34">
      <x:c r="A34" s="272" t="s">
        <x:v>189</x:v>
      </x:c>
      <x:c r="B34" s="272"/>
      <x:c r="C34" s="272"/>
      <x:c r="D34" s="272"/>
      <x:c r="E34" s="272"/>
      <x:c r="F34" s="272"/>
      <x:c r="G34" s="272"/>
      <x:c r="H34" s="272"/>
      <x:c r="I34" s="272"/>
      <x:c r="J34" s="272"/>
      <x:c r="K34" s="272"/>
      <x:c r="L34" s="272"/>
      <x:c r="M34" s="1"/>
      <x:c r="N34" s="1"/>
      <x:c r="O34" s="1"/>
    </x:row>
    <x:row r="35">
      <x:c r="A35" s="272"/>
      <x:c r="B35" s="272"/>
      <x:c r="C35" s="272"/>
      <x:c r="D35" s="272"/>
      <x:c r="E35" s="272"/>
      <x:c r="F35" s="272"/>
      <x:c r="G35" s="272"/>
      <x:c r="H35" s="272"/>
      <x:c r="I35" s="272"/>
      <x:c r="J35" s="272"/>
      <x:c r="K35" s="272"/>
      <x:c r="L35" s="272"/>
      <x:c r="M35" s="1"/>
      <x:c r="N35" s="1"/>
      <x:c r="O35" s="1"/>
    </x:row>
    <x:row r="36">
      <x:c r="A36" s="272"/>
      <x:c r="B36" s="272"/>
      <x:c r="C36" s="272"/>
      <x:c r="D36" s="272"/>
      <x:c r="E36" s="272"/>
      <x:c r="F36" s="272"/>
      <x:c r="G36" s="272"/>
      <x:c r="H36" s="272"/>
      <x:c r="I36" s="272"/>
      <x:c r="J36" s="272"/>
      <x:c r="K36" s="272"/>
      <x:c r="L36" s="272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</x:sheetData>
  <x:mergeCells>
    <x:mergeCell ref="J13:L13"/>
    <x:mergeCell ref="J14:L14"/>
    <x:mergeCell ref="A33:L33"/>
    <x:mergeCell ref="A34:L36"/>
    <x:mergeCell ref="A16:K16"/>
    <x:mergeCell ref="A13:C13"/>
    <x:mergeCell ref="A14:C14"/>
    <x:mergeCell ref="D13:F13"/>
    <x:mergeCell ref="D14:F14"/>
    <x:mergeCell ref="G13:I13"/>
    <x:mergeCell ref="G14:I14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5:C5"/>
    <x:mergeCell ref="A6:C7"/>
    <x:mergeCell ref="D5:F5"/>
    <x:mergeCell ref="D6:F7"/>
    <x:mergeCell ref="G5:I5"/>
    <x:mergeCell ref="G6:I7"/>
    <x:mergeCell ref="A1:L2"/>
    <x:mergeCell ref="A3:B3"/>
    <x:mergeCell ref="D3:E3"/>
    <x:mergeCell ref="G3:J3"/>
    <x:mergeCell ref="K3:L3"/>
  </x:mergeCells>
  <x:conditionalFormatting sqref="A6:F7">
    <x:cfRule type="expression" dxfId="17" priority="1">
      <x:formula>A6&lt;0</x:formula>
    </x:cfRule>
  </x:conditionalFormatting>
  <x:conditionalFormatting sqref="G10:L11">
    <x:cfRule type="expression" dxfId="16" priority="3">
      <x:formula>G10&lt;0</x:formula>
    </x:cfRule>
  </x:conditionalFormatting>
  <x:dataValidations count="1">
    <x:dataValidation type="list" sqref="B4">
      <x:formula1>"2026,2027,2028,2029,2030,2031,2032,2033,2034,2035"</x:formula1>
    </x:dataValidation>
  </x:dataValidations>
  <x:pageMargins left="0.7" right="0.7" top="0.75" bottom="0.75" header="0.3" footer="0.3"/>
  <x:drawing xmlns:r="http://schemas.openxmlformats.org/officeDocument/2006/relationships" r:id="R609c10a51d354572"/>
</x:worksheet>
</file>

<file path=xl/worksheets/sheet8.xml><?xml version="1.0" encoding="utf-8"?>
<x:worksheet xmlns:x="http://schemas.openxmlformats.org/spreadsheetml/2006/main">
  <x:sheetFormatPr baseColWidth="10" defaultColWidth="8.796875" defaultRowHeight="13.800000190734863"/>
  <x:cols>
    <x:col min="1" max="1" width="16" customWidth="1"/>
    <x:col min="2" max="6" width="18" customWidth="1"/>
    <x:col min="7" max="7" width="13" customWidth="1"/>
    <x:col min="8" max="8" width="14" customWidth="1"/>
    <x:col min="9" max="9" width="22" customWidth="1"/>
    <x:col min="10" max="10" width="34" customWidth="1"/>
  </x:cols>
  <x:sheetData>
    <x:row r="1" ht="24" customHeight="1">
      <x:c r="A1" s="109" t="s">
        <x:v>190</x:v>
      </x:c>
      <x:c r="B1" s="8" t="s">
        <x:v>191</x:v>
      </x:c>
      <x:c r="C1" s="8" t="s">
        <x:v>192</x:v>
      </x:c>
      <x:c r="D1" s="8" t="s">
        <x:v>193</x:v>
      </x:c>
      <x:c r="E1" s="8" t="s">
        <x:v>194</x:v>
      </x:c>
      <x:c r="F1" s="8" t="s">
        <x:v>195</x:v>
      </x:c>
      <x:c r="G1" s="8" t="s">
        <x:v>42</x:v>
      </x:c>
      <x:c r="H1" s="8" t="s">
        <x:v>59</x:v>
      </x:c>
      <x:c r="I1" s="8" t="s">
        <x:v>196</x:v>
      </x:c>
      <x:c r="J1" s="110" t="s">
        <x:v>46</x:v>
      </x:c>
    </x:row>
    <x:row r="2">
      <x:c r="A2" s="135">
        <x:v>46204</x:v>
      </x:c>
      <x:c r="B2" s="72" t="n">
        <x:f t="shared" ref="B2:B33" si="0">DATE(YEAR(EDATE(A2,2)),MONTH(EDATE(A2,2)),10)</x:f>
        <x:v>46275</x:v>
      </x:c>
      <x:c r="C2" s="72" t="n">
        <x:f>SUMIFS(Ausgangsrechnungen!$O$2:$O$301,Ausgangsrechnungen!$A$2:$A$301,"&gt;="&amp;A2,Ausgangsrechnungen!$A$2:$A$301,"&lt;"&amp;EDATE(A2,1))</x:f>
        <x:v>3840.58</x:v>
      </x:c>
      <x:c r="D2" s="72" t="n">
        <x:f>SUMIFS(Eingangsrechnungen!$G$2:$G$301,Eingangsrechnungen!$A$2:$A$301,"&gt;="&amp;A2,Eingangsrechnungen!$A$2:$A$301,"&lt;"&amp;EDATE(A2,1))</x:f>
        <x:v>2160.26</x:v>
      </x:c>
      <x:c r="E2" s="72" t="n">
        <x:f t="shared" ref="E2:E33" si="1">C2-D2</x:f>
        <x:v>1680.3200000000006</x:v>
      </x:c>
      <x:c r="F2" s="72" t="n">
        <x:f t="shared" ref="F2:F33" si="2">MAX(0,E2)</x:f>
        <x:v>1680.3200000000006</x:v>
      </x:c>
      <x:c r="G2" s="72" t="str">
        <x:f t="shared" ref="G2:G33" si="3">IF(H2&lt;&gt;"","Bezahlt","Offen")</x:f>
        <x:v>Offen</x:v>
      </x:c>
      <x:c r="H2" s="72"/>
      <x:c r="I2" s="72" t="n">
        <x:f>COUNTIFS(Eingangsrechnungen!$A$2:$A$301,"&gt;="&amp;A2,Eingangsrechnungen!$A$2:$A$301,"&lt;"&amp;EDATE(A2,1),Eingangsrechnungen!$H$2:$H$301,"&gt;0",Eingangsrechnungen!$G$2:$G$301,"")</x:f>
        <x:v>0</x:v>
      </x:c>
      <x:c r="J2" s="72" t="str">
        <x:f t="shared" ref="J2:J33" si="4">IF(I2&gt;0,"Vorsteuer bei "&amp;I2&amp;" Eingangsrechnung(en) fehlt",IF(E2&lt;0,"Voraussichtliche Erstattung","Voraussichtliche Zahllast"))</x:f>
        <x:v>Voraussichtliche Zahllast</x:v>
      </x:c>
    </x:row>
    <x:row r="3">
      <x:c r="A3" s="133">
        <x:v>46235</x:v>
      </x:c>
      <x:c r="B3" s="71">
        <x:f t="shared" si="0"/>
        <x:v>46305</x:v>
      </x:c>
      <x:c r="C3" s="71" t="n">
        <x:f>SUMIFS(Ausgangsrechnungen!$O$2:$O$301,Ausgangsrechnungen!$A$2:$A$301,"&gt;="&amp;A3,Ausgangsrechnungen!$A$2:$A$301,"&lt;"&amp;EDATE(A3,1))</x:f>
        <x:v>0</x:v>
      </x:c>
      <x:c r="D3" s="71" t="n">
        <x:f>SUMIFS(Eingangsrechnungen!$G$2:$G$301,Eingangsrechnungen!$A$2:$A$301,"&gt;="&amp;A3,Eingangsrechnungen!$A$2:$A$301,"&lt;"&amp;EDATE(A3,1))</x:f>
        <x:v>0</x:v>
      </x:c>
      <x:c r="E3" s="71">
        <x:f t="shared" si="1"/>
        <x:v>0</x:v>
      </x:c>
      <x:c r="F3" s="71">
        <x:f t="shared" si="2"/>
        <x:v>0</x:v>
      </x:c>
      <x:c r="G3" s="71" t="str">
        <x:f t="shared" si="3"/>
        <x:v>Offen</x:v>
      </x:c>
      <x:c r="H3" s="71"/>
      <x:c r="I3" s="71" t="n">
        <x:f>COUNTIFS(Eingangsrechnungen!$A$2:$A$301,"&gt;="&amp;A3,Eingangsrechnungen!$A$2:$A$301,"&lt;"&amp;EDATE(A3,1),Eingangsrechnungen!$H$2:$H$301,"&gt;0",Eingangsrechnungen!$G$2:$G$301,"")</x:f>
        <x:v>0</x:v>
      </x:c>
      <x:c r="J3" s="71" t="str">
        <x:f t="shared" si="4"/>
        <x:v>Voraussichtliche Zahllast</x:v>
      </x:c>
    </x:row>
    <x:row r="4">
      <x:c r="A4" s="135">
        <x:v>46266</x:v>
      </x:c>
      <x:c r="B4" s="72">
        <x:f t="shared" si="0"/>
        <x:v>46336</x:v>
      </x:c>
      <x:c r="C4" s="72" t="n">
        <x:f>SUMIFS(Ausgangsrechnungen!$O$2:$O$301,Ausgangsrechnungen!$A$2:$A$301,"&gt;="&amp;A4,Ausgangsrechnungen!$A$2:$A$301,"&lt;"&amp;EDATE(A4,1))</x:f>
        <x:v>0</x:v>
      </x:c>
      <x:c r="D4" s="72" t="n">
        <x:f>SUMIFS(Eingangsrechnungen!$G$2:$G$301,Eingangsrechnungen!$A$2:$A$301,"&gt;="&amp;A4,Eingangsrechnungen!$A$2:$A$301,"&lt;"&amp;EDATE(A4,1))</x:f>
        <x:v>0</x:v>
      </x:c>
      <x:c r="E4" s="72">
        <x:f t="shared" si="1"/>
        <x:v>0</x:v>
      </x:c>
      <x:c r="F4" s="72">
        <x:f t="shared" si="2"/>
        <x:v>0</x:v>
      </x:c>
      <x:c r="G4" s="72" t="str">
        <x:f t="shared" si="3"/>
        <x:v>Offen</x:v>
      </x:c>
      <x:c r="H4" s="72"/>
      <x:c r="I4" s="72" t="n">
        <x:f>COUNTIFS(Eingangsrechnungen!$A$2:$A$301,"&gt;="&amp;A4,Eingangsrechnungen!$A$2:$A$301,"&lt;"&amp;EDATE(A4,1),Eingangsrechnungen!$H$2:$H$301,"&gt;0",Eingangsrechnungen!$G$2:$G$301,"")</x:f>
        <x:v>0</x:v>
      </x:c>
      <x:c r="J4" s="72" t="str">
        <x:f t="shared" si="4"/>
        <x:v>Voraussichtliche Zahllast</x:v>
      </x:c>
    </x:row>
    <x:row r="5">
      <x:c r="A5" s="133">
        <x:v>46296</x:v>
      </x:c>
      <x:c r="B5" s="71">
        <x:f t="shared" si="0"/>
        <x:v>46366</x:v>
      </x:c>
      <x:c r="C5" s="71" t="n">
        <x:f>SUMIFS(Ausgangsrechnungen!$O$2:$O$301,Ausgangsrechnungen!$A$2:$A$301,"&gt;="&amp;A5,Ausgangsrechnungen!$A$2:$A$301,"&lt;"&amp;EDATE(A5,1))</x:f>
        <x:v>0</x:v>
      </x:c>
      <x:c r="D5" s="71" t="n">
        <x:f>SUMIFS(Eingangsrechnungen!$G$2:$G$301,Eingangsrechnungen!$A$2:$A$301,"&gt;="&amp;A5,Eingangsrechnungen!$A$2:$A$301,"&lt;"&amp;EDATE(A5,1))</x:f>
        <x:v>0</x:v>
      </x:c>
      <x:c r="E5" s="71">
        <x:f t="shared" si="1"/>
        <x:v>0</x:v>
      </x:c>
      <x:c r="F5" s="71">
        <x:f t="shared" si="2"/>
        <x:v>0</x:v>
      </x:c>
      <x:c r="G5" s="71" t="str">
        <x:f t="shared" si="3"/>
        <x:v>Offen</x:v>
      </x:c>
      <x:c r="H5" s="71"/>
      <x:c r="I5" s="71" t="n">
        <x:f>COUNTIFS(Eingangsrechnungen!$A$2:$A$301,"&gt;="&amp;A5,Eingangsrechnungen!$A$2:$A$301,"&lt;"&amp;EDATE(A5,1),Eingangsrechnungen!$H$2:$H$301,"&gt;0",Eingangsrechnungen!$G$2:$G$301,"")</x:f>
        <x:v>0</x:v>
      </x:c>
      <x:c r="J5" s="71" t="str">
        <x:f t="shared" si="4"/>
        <x:v>Voraussichtliche Zahllast</x:v>
      </x:c>
    </x:row>
    <x:row r="6">
      <x:c r="A6" s="135">
        <x:v>46327</x:v>
      </x:c>
      <x:c r="B6" s="72">
        <x:f t="shared" si="0"/>
        <x:v>46397</x:v>
      </x:c>
      <x:c r="C6" s="72" t="n">
        <x:f>SUMIFS(Ausgangsrechnungen!$O$2:$O$301,Ausgangsrechnungen!$A$2:$A$301,"&gt;="&amp;A6,Ausgangsrechnungen!$A$2:$A$301,"&lt;"&amp;EDATE(A6,1))</x:f>
        <x:v>0</x:v>
      </x:c>
      <x:c r="D6" s="72" t="n">
        <x:f>SUMIFS(Eingangsrechnungen!$G$2:$G$301,Eingangsrechnungen!$A$2:$A$301,"&gt;="&amp;A6,Eingangsrechnungen!$A$2:$A$301,"&lt;"&amp;EDATE(A6,1))</x:f>
        <x:v>0</x:v>
      </x:c>
      <x:c r="E6" s="72">
        <x:f t="shared" si="1"/>
        <x:v>0</x:v>
      </x:c>
      <x:c r="F6" s="72">
        <x:f t="shared" si="2"/>
        <x:v>0</x:v>
      </x:c>
      <x:c r="G6" s="72" t="str">
        <x:f t="shared" si="3"/>
        <x:v>Offen</x:v>
      </x:c>
      <x:c r="H6" s="72"/>
      <x:c r="I6" s="72" t="n">
        <x:f>COUNTIFS(Eingangsrechnungen!$A$2:$A$301,"&gt;="&amp;A6,Eingangsrechnungen!$A$2:$A$301,"&lt;"&amp;EDATE(A6,1),Eingangsrechnungen!$H$2:$H$301,"&gt;0",Eingangsrechnungen!$G$2:$G$301,"")</x:f>
        <x:v>0</x:v>
      </x:c>
      <x:c r="J6" s="72" t="str">
        <x:f t="shared" si="4"/>
        <x:v>Voraussichtliche Zahllast</x:v>
      </x:c>
    </x:row>
    <x:row r="7">
      <x:c r="A7" s="133">
        <x:v>46357</x:v>
      </x:c>
      <x:c r="B7" s="71">
        <x:f t="shared" si="0"/>
        <x:v>46428</x:v>
      </x:c>
      <x:c r="C7" s="71" t="n">
        <x:f>SUMIFS(Ausgangsrechnungen!$O$2:$O$301,Ausgangsrechnungen!$A$2:$A$301,"&gt;="&amp;A7,Ausgangsrechnungen!$A$2:$A$301,"&lt;"&amp;EDATE(A7,1))</x:f>
        <x:v>0</x:v>
      </x:c>
      <x:c r="D7" s="71" t="n">
        <x:f>SUMIFS(Eingangsrechnungen!$G$2:$G$301,Eingangsrechnungen!$A$2:$A$301,"&gt;="&amp;A7,Eingangsrechnungen!$A$2:$A$301,"&lt;"&amp;EDATE(A7,1))</x:f>
        <x:v>0</x:v>
      </x:c>
      <x:c r="E7" s="71">
        <x:f t="shared" si="1"/>
        <x:v>0</x:v>
      </x:c>
      <x:c r="F7" s="71">
        <x:f t="shared" si="2"/>
        <x:v>0</x:v>
      </x:c>
      <x:c r="G7" s="71" t="str">
        <x:f t="shared" si="3"/>
        <x:v>Offen</x:v>
      </x:c>
      <x:c r="H7" s="71"/>
      <x:c r="I7" s="71" t="n">
        <x:f>COUNTIFS(Eingangsrechnungen!$A$2:$A$301,"&gt;="&amp;A7,Eingangsrechnungen!$A$2:$A$301,"&lt;"&amp;EDATE(A7,1),Eingangsrechnungen!$H$2:$H$301,"&gt;0",Eingangsrechnungen!$G$2:$G$301,"")</x:f>
        <x:v>0</x:v>
      </x:c>
      <x:c r="J7" s="71" t="str">
        <x:f t="shared" si="4"/>
        <x:v>Voraussichtliche Zahllast</x:v>
      </x:c>
    </x:row>
    <x:row r="8">
      <x:c r="A8" s="135">
        <x:v>46388</x:v>
      </x:c>
      <x:c r="B8" s="72">
        <x:f t="shared" si="0"/>
        <x:v>46456</x:v>
      </x:c>
      <x:c r="C8" s="72" t="n">
        <x:f>SUMIFS(Ausgangsrechnungen!$O$2:$O$301,Ausgangsrechnungen!$A$2:$A$301,"&gt;="&amp;A8,Ausgangsrechnungen!$A$2:$A$301,"&lt;"&amp;EDATE(A8,1))</x:f>
        <x:v>0</x:v>
      </x:c>
      <x:c r="D8" s="72" t="n">
        <x:f>SUMIFS(Eingangsrechnungen!$G$2:$G$301,Eingangsrechnungen!$A$2:$A$301,"&gt;="&amp;A8,Eingangsrechnungen!$A$2:$A$301,"&lt;"&amp;EDATE(A8,1))</x:f>
        <x:v>0</x:v>
      </x:c>
      <x:c r="E8" s="72">
        <x:f t="shared" si="1"/>
        <x:v>0</x:v>
      </x:c>
      <x:c r="F8" s="72">
        <x:f t="shared" si="2"/>
        <x:v>0</x:v>
      </x:c>
      <x:c r="G8" s="72" t="str">
        <x:f t="shared" si="3"/>
        <x:v>Offen</x:v>
      </x:c>
      <x:c r="H8" s="72"/>
      <x:c r="I8" s="72" t="n">
        <x:f>COUNTIFS(Eingangsrechnungen!$A$2:$A$301,"&gt;="&amp;A8,Eingangsrechnungen!$A$2:$A$301,"&lt;"&amp;EDATE(A8,1),Eingangsrechnungen!$H$2:$H$301,"&gt;0",Eingangsrechnungen!$G$2:$G$301,"")</x:f>
        <x:v>0</x:v>
      </x:c>
      <x:c r="J8" s="72" t="str">
        <x:f t="shared" si="4"/>
        <x:v>Voraussichtliche Zahllast</x:v>
      </x:c>
    </x:row>
    <x:row r="9">
      <x:c r="A9" s="133">
        <x:v>46419</x:v>
      </x:c>
      <x:c r="B9" s="71">
        <x:f t="shared" si="0"/>
        <x:v>46487</x:v>
      </x:c>
      <x:c r="C9" s="71" t="n">
        <x:f>SUMIFS(Ausgangsrechnungen!$O$2:$O$301,Ausgangsrechnungen!$A$2:$A$301,"&gt;="&amp;A9,Ausgangsrechnungen!$A$2:$A$301,"&lt;"&amp;EDATE(A9,1))</x:f>
        <x:v>0</x:v>
      </x:c>
      <x:c r="D9" s="71" t="n">
        <x:f>SUMIFS(Eingangsrechnungen!$G$2:$G$301,Eingangsrechnungen!$A$2:$A$301,"&gt;="&amp;A9,Eingangsrechnungen!$A$2:$A$301,"&lt;"&amp;EDATE(A9,1))</x:f>
        <x:v>0</x:v>
      </x:c>
      <x:c r="E9" s="71">
        <x:f t="shared" si="1"/>
        <x:v>0</x:v>
      </x:c>
      <x:c r="F9" s="71">
        <x:f t="shared" si="2"/>
        <x:v>0</x:v>
      </x:c>
      <x:c r="G9" s="71" t="str">
        <x:f t="shared" si="3"/>
        <x:v>Offen</x:v>
      </x:c>
      <x:c r="H9" s="71"/>
      <x:c r="I9" s="71" t="n">
        <x:f>COUNTIFS(Eingangsrechnungen!$A$2:$A$301,"&gt;="&amp;A9,Eingangsrechnungen!$A$2:$A$301,"&lt;"&amp;EDATE(A9,1),Eingangsrechnungen!$H$2:$H$301,"&gt;0",Eingangsrechnungen!$G$2:$G$301,"")</x:f>
        <x:v>0</x:v>
      </x:c>
      <x:c r="J9" s="71" t="str">
        <x:f t="shared" si="4"/>
        <x:v>Voraussichtliche Zahllast</x:v>
      </x:c>
    </x:row>
    <x:row r="10">
      <x:c r="A10" s="135">
        <x:v>46447</x:v>
      </x:c>
      <x:c r="B10" s="72">
        <x:f t="shared" si="0"/>
        <x:v>46517</x:v>
      </x:c>
      <x:c r="C10" s="72" t="n">
        <x:f>SUMIFS(Ausgangsrechnungen!$O$2:$O$301,Ausgangsrechnungen!$A$2:$A$301,"&gt;="&amp;A10,Ausgangsrechnungen!$A$2:$A$301,"&lt;"&amp;EDATE(A10,1))</x:f>
        <x:v>0</x:v>
      </x:c>
      <x:c r="D10" s="72" t="n">
        <x:f>SUMIFS(Eingangsrechnungen!$G$2:$G$301,Eingangsrechnungen!$A$2:$A$301,"&gt;="&amp;A10,Eingangsrechnungen!$A$2:$A$301,"&lt;"&amp;EDATE(A10,1))</x:f>
        <x:v>0</x:v>
      </x:c>
      <x:c r="E10" s="72">
        <x:f t="shared" si="1"/>
        <x:v>0</x:v>
      </x:c>
      <x:c r="F10" s="72">
        <x:f t="shared" si="2"/>
        <x:v>0</x:v>
      </x:c>
      <x:c r="G10" s="72" t="str">
        <x:f t="shared" si="3"/>
        <x:v>Offen</x:v>
      </x:c>
      <x:c r="H10" s="72"/>
      <x:c r="I10" s="72" t="n">
        <x:f>COUNTIFS(Eingangsrechnungen!$A$2:$A$301,"&gt;="&amp;A10,Eingangsrechnungen!$A$2:$A$301,"&lt;"&amp;EDATE(A10,1),Eingangsrechnungen!$H$2:$H$301,"&gt;0",Eingangsrechnungen!$G$2:$G$301,"")</x:f>
        <x:v>0</x:v>
      </x:c>
      <x:c r="J10" s="72" t="str">
        <x:f t="shared" si="4"/>
        <x:v>Voraussichtliche Zahllast</x:v>
      </x:c>
    </x:row>
    <x:row r="11">
      <x:c r="A11" s="133">
        <x:v>46478</x:v>
      </x:c>
      <x:c r="B11" s="71">
        <x:f t="shared" si="0"/>
        <x:v>46548</x:v>
      </x:c>
      <x:c r="C11" s="71" t="n">
        <x:f>SUMIFS(Ausgangsrechnungen!$O$2:$O$301,Ausgangsrechnungen!$A$2:$A$301,"&gt;="&amp;A11,Ausgangsrechnungen!$A$2:$A$301,"&lt;"&amp;EDATE(A11,1))</x:f>
        <x:v>0</x:v>
      </x:c>
      <x:c r="D11" s="71" t="n">
        <x:f>SUMIFS(Eingangsrechnungen!$G$2:$G$301,Eingangsrechnungen!$A$2:$A$301,"&gt;="&amp;A11,Eingangsrechnungen!$A$2:$A$301,"&lt;"&amp;EDATE(A11,1))</x:f>
        <x:v>0</x:v>
      </x:c>
      <x:c r="E11" s="71">
        <x:f t="shared" si="1"/>
        <x:v>0</x:v>
      </x:c>
      <x:c r="F11" s="71">
        <x:f t="shared" si="2"/>
        <x:v>0</x:v>
      </x:c>
      <x:c r="G11" s="71" t="str">
        <x:f t="shared" si="3"/>
        <x:v>Offen</x:v>
      </x:c>
      <x:c r="H11" s="71"/>
      <x:c r="I11" s="71" t="n">
        <x:f>COUNTIFS(Eingangsrechnungen!$A$2:$A$301,"&gt;="&amp;A11,Eingangsrechnungen!$A$2:$A$301,"&lt;"&amp;EDATE(A11,1),Eingangsrechnungen!$H$2:$H$301,"&gt;0",Eingangsrechnungen!$G$2:$G$301,"")</x:f>
        <x:v>0</x:v>
      </x:c>
      <x:c r="J11" s="71" t="str">
        <x:f t="shared" si="4"/>
        <x:v>Voraussichtliche Zahllast</x:v>
      </x:c>
    </x:row>
    <x:row r="12">
      <x:c r="A12" s="135">
        <x:v>46508</x:v>
      </x:c>
      <x:c r="B12" s="72">
        <x:f t="shared" si="0"/>
        <x:v>46578</x:v>
      </x:c>
      <x:c r="C12" s="72" t="n">
        <x:f>SUMIFS(Ausgangsrechnungen!$O$2:$O$301,Ausgangsrechnungen!$A$2:$A$301,"&gt;="&amp;A12,Ausgangsrechnungen!$A$2:$A$301,"&lt;"&amp;EDATE(A12,1))</x:f>
        <x:v>0</x:v>
      </x:c>
      <x:c r="D12" s="72" t="n">
        <x:f>SUMIFS(Eingangsrechnungen!$G$2:$G$301,Eingangsrechnungen!$A$2:$A$301,"&gt;="&amp;A12,Eingangsrechnungen!$A$2:$A$301,"&lt;"&amp;EDATE(A12,1))</x:f>
        <x:v>0</x:v>
      </x:c>
      <x:c r="E12" s="72">
        <x:f t="shared" si="1"/>
        <x:v>0</x:v>
      </x:c>
      <x:c r="F12" s="72">
        <x:f t="shared" si="2"/>
        <x:v>0</x:v>
      </x:c>
      <x:c r="G12" s="72" t="str">
        <x:f t="shared" si="3"/>
        <x:v>Offen</x:v>
      </x:c>
      <x:c r="H12" s="72"/>
      <x:c r="I12" s="72" t="n">
        <x:f>COUNTIFS(Eingangsrechnungen!$A$2:$A$301,"&gt;="&amp;A12,Eingangsrechnungen!$A$2:$A$301,"&lt;"&amp;EDATE(A12,1),Eingangsrechnungen!$H$2:$H$301,"&gt;0",Eingangsrechnungen!$G$2:$G$301,"")</x:f>
        <x:v>0</x:v>
      </x:c>
      <x:c r="J12" s="72" t="str">
        <x:f t="shared" si="4"/>
        <x:v>Voraussichtliche Zahllast</x:v>
      </x:c>
    </x:row>
    <x:row r="13">
      <x:c r="A13" s="133">
        <x:v>46539</x:v>
      </x:c>
      <x:c r="B13" s="71">
        <x:f t="shared" si="0"/>
        <x:v>46609</x:v>
      </x:c>
      <x:c r="C13" s="71" t="n">
        <x:f>SUMIFS(Ausgangsrechnungen!$O$2:$O$301,Ausgangsrechnungen!$A$2:$A$301,"&gt;="&amp;A13,Ausgangsrechnungen!$A$2:$A$301,"&lt;"&amp;EDATE(A13,1))</x:f>
        <x:v>0</x:v>
      </x:c>
      <x:c r="D13" s="71" t="n">
        <x:f>SUMIFS(Eingangsrechnungen!$G$2:$G$301,Eingangsrechnungen!$A$2:$A$301,"&gt;="&amp;A13,Eingangsrechnungen!$A$2:$A$301,"&lt;"&amp;EDATE(A13,1))</x:f>
        <x:v>0</x:v>
      </x:c>
      <x:c r="E13" s="71">
        <x:f t="shared" si="1"/>
        <x:v>0</x:v>
      </x:c>
      <x:c r="F13" s="71">
        <x:f t="shared" si="2"/>
        <x:v>0</x:v>
      </x:c>
      <x:c r="G13" s="71" t="str">
        <x:f t="shared" si="3"/>
        <x:v>Offen</x:v>
      </x:c>
      <x:c r="H13" s="71"/>
      <x:c r="I13" s="71" t="n">
        <x:f>COUNTIFS(Eingangsrechnungen!$A$2:$A$301,"&gt;="&amp;A13,Eingangsrechnungen!$A$2:$A$301,"&lt;"&amp;EDATE(A13,1),Eingangsrechnungen!$H$2:$H$301,"&gt;0",Eingangsrechnungen!$G$2:$G$301,"")</x:f>
        <x:v>0</x:v>
      </x:c>
      <x:c r="J13" s="71" t="str">
        <x:f t="shared" si="4"/>
        <x:v>Voraussichtliche Zahllast</x:v>
      </x:c>
    </x:row>
    <x:row r="14">
      <x:c r="A14" s="135">
        <x:v>46569</x:v>
      </x:c>
      <x:c r="B14" s="72">
        <x:f t="shared" si="0"/>
        <x:v>46640</x:v>
      </x:c>
      <x:c r="C14" s="72" t="n">
        <x:f>SUMIFS(Ausgangsrechnungen!$O$2:$O$301,Ausgangsrechnungen!$A$2:$A$301,"&gt;="&amp;A14,Ausgangsrechnungen!$A$2:$A$301,"&lt;"&amp;EDATE(A14,1))</x:f>
        <x:v>0</x:v>
      </x:c>
      <x:c r="D14" s="72" t="n">
        <x:f>SUMIFS(Eingangsrechnungen!$G$2:$G$301,Eingangsrechnungen!$A$2:$A$301,"&gt;="&amp;A14,Eingangsrechnungen!$A$2:$A$301,"&lt;"&amp;EDATE(A14,1))</x:f>
        <x:v>0</x:v>
      </x:c>
      <x:c r="E14" s="72">
        <x:f t="shared" si="1"/>
        <x:v>0</x:v>
      </x:c>
      <x:c r="F14" s="72">
        <x:f t="shared" si="2"/>
        <x:v>0</x:v>
      </x:c>
      <x:c r="G14" s="72" t="str">
        <x:f t="shared" si="3"/>
        <x:v>Offen</x:v>
      </x:c>
      <x:c r="H14" s="72"/>
      <x:c r="I14" s="72" t="n">
        <x:f>COUNTIFS(Eingangsrechnungen!$A$2:$A$301,"&gt;="&amp;A14,Eingangsrechnungen!$A$2:$A$301,"&lt;"&amp;EDATE(A14,1),Eingangsrechnungen!$H$2:$H$301,"&gt;0",Eingangsrechnungen!$G$2:$G$301,"")</x:f>
        <x:v>0</x:v>
      </x:c>
      <x:c r="J14" s="72" t="str">
        <x:f t="shared" si="4"/>
        <x:v>Voraussichtliche Zahllast</x:v>
      </x:c>
    </x:row>
    <x:row r="15">
      <x:c r="A15" s="133">
        <x:v>46600</x:v>
      </x:c>
      <x:c r="B15" s="71">
        <x:f t="shared" si="0"/>
        <x:v>46670</x:v>
      </x:c>
      <x:c r="C15" s="71" t="n">
        <x:f>SUMIFS(Ausgangsrechnungen!$O$2:$O$301,Ausgangsrechnungen!$A$2:$A$301,"&gt;="&amp;A15,Ausgangsrechnungen!$A$2:$A$301,"&lt;"&amp;EDATE(A15,1))</x:f>
        <x:v>0</x:v>
      </x:c>
      <x:c r="D15" s="71" t="n">
        <x:f>SUMIFS(Eingangsrechnungen!$G$2:$G$301,Eingangsrechnungen!$A$2:$A$301,"&gt;="&amp;A15,Eingangsrechnungen!$A$2:$A$301,"&lt;"&amp;EDATE(A15,1))</x:f>
        <x:v>0</x:v>
      </x:c>
      <x:c r="E15" s="71">
        <x:f t="shared" si="1"/>
        <x:v>0</x:v>
      </x:c>
      <x:c r="F15" s="71">
        <x:f t="shared" si="2"/>
        <x:v>0</x:v>
      </x:c>
      <x:c r="G15" s="71" t="str">
        <x:f t="shared" si="3"/>
        <x:v>Offen</x:v>
      </x:c>
      <x:c r="H15" s="71"/>
      <x:c r="I15" s="71" t="n">
        <x:f>COUNTIFS(Eingangsrechnungen!$A$2:$A$301,"&gt;="&amp;A15,Eingangsrechnungen!$A$2:$A$301,"&lt;"&amp;EDATE(A15,1),Eingangsrechnungen!$H$2:$H$301,"&gt;0",Eingangsrechnungen!$G$2:$G$301,"")</x:f>
        <x:v>0</x:v>
      </x:c>
      <x:c r="J15" s="71" t="str">
        <x:f t="shared" si="4"/>
        <x:v>Voraussichtliche Zahllast</x:v>
      </x:c>
    </x:row>
    <x:row r="16">
      <x:c r="A16" s="135">
        <x:v>46631</x:v>
      </x:c>
      <x:c r="B16" s="72">
        <x:f t="shared" si="0"/>
        <x:v>46701</x:v>
      </x:c>
      <x:c r="C16" s="72" t="n">
        <x:f>SUMIFS(Ausgangsrechnungen!$O$2:$O$301,Ausgangsrechnungen!$A$2:$A$301,"&gt;="&amp;A16,Ausgangsrechnungen!$A$2:$A$301,"&lt;"&amp;EDATE(A16,1))</x:f>
        <x:v>0</x:v>
      </x:c>
      <x:c r="D16" s="72" t="n">
        <x:f>SUMIFS(Eingangsrechnungen!$G$2:$G$301,Eingangsrechnungen!$A$2:$A$301,"&gt;="&amp;A16,Eingangsrechnungen!$A$2:$A$301,"&lt;"&amp;EDATE(A16,1))</x:f>
        <x:v>0</x:v>
      </x:c>
      <x:c r="E16" s="72">
        <x:f t="shared" si="1"/>
        <x:v>0</x:v>
      </x:c>
      <x:c r="F16" s="72">
        <x:f t="shared" si="2"/>
        <x:v>0</x:v>
      </x:c>
      <x:c r="G16" s="72" t="str">
        <x:f t="shared" si="3"/>
        <x:v>Offen</x:v>
      </x:c>
      <x:c r="H16" s="72"/>
      <x:c r="I16" s="72" t="n">
        <x:f>COUNTIFS(Eingangsrechnungen!$A$2:$A$301,"&gt;="&amp;A16,Eingangsrechnungen!$A$2:$A$301,"&lt;"&amp;EDATE(A16,1),Eingangsrechnungen!$H$2:$H$301,"&gt;0",Eingangsrechnungen!$G$2:$G$301,"")</x:f>
        <x:v>0</x:v>
      </x:c>
      <x:c r="J16" s="72" t="str">
        <x:f t="shared" si="4"/>
        <x:v>Voraussichtliche Zahllast</x:v>
      </x:c>
    </x:row>
    <x:row r="17">
      <x:c r="A17" s="133">
        <x:v>46661</x:v>
      </x:c>
      <x:c r="B17" s="71">
        <x:f t="shared" si="0"/>
        <x:v>46731</x:v>
      </x:c>
      <x:c r="C17" s="71" t="n">
        <x:f>SUMIFS(Ausgangsrechnungen!$O$2:$O$301,Ausgangsrechnungen!$A$2:$A$301,"&gt;="&amp;A17,Ausgangsrechnungen!$A$2:$A$301,"&lt;"&amp;EDATE(A17,1))</x:f>
        <x:v>0</x:v>
      </x:c>
      <x:c r="D17" s="71" t="n">
        <x:f>SUMIFS(Eingangsrechnungen!$G$2:$G$301,Eingangsrechnungen!$A$2:$A$301,"&gt;="&amp;A17,Eingangsrechnungen!$A$2:$A$301,"&lt;"&amp;EDATE(A17,1))</x:f>
        <x:v>0</x:v>
      </x:c>
      <x:c r="E17" s="71">
        <x:f t="shared" si="1"/>
        <x:v>0</x:v>
      </x:c>
      <x:c r="F17" s="71">
        <x:f t="shared" si="2"/>
        <x:v>0</x:v>
      </x:c>
      <x:c r="G17" s="71" t="str">
        <x:f t="shared" si="3"/>
        <x:v>Offen</x:v>
      </x:c>
      <x:c r="H17" s="71"/>
      <x:c r="I17" s="71" t="n">
        <x:f>COUNTIFS(Eingangsrechnungen!$A$2:$A$301,"&gt;="&amp;A17,Eingangsrechnungen!$A$2:$A$301,"&lt;"&amp;EDATE(A17,1),Eingangsrechnungen!$H$2:$H$301,"&gt;0",Eingangsrechnungen!$G$2:$G$301,"")</x:f>
        <x:v>0</x:v>
      </x:c>
      <x:c r="J17" s="71" t="str">
        <x:f t="shared" si="4"/>
        <x:v>Voraussichtliche Zahllast</x:v>
      </x:c>
    </x:row>
    <x:row r="18">
      <x:c r="A18" s="135">
        <x:v>46692</x:v>
      </x:c>
      <x:c r="B18" s="72">
        <x:f t="shared" si="0"/>
        <x:v>46762</x:v>
      </x:c>
      <x:c r="C18" s="72" t="n">
        <x:f>SUMIFS(Ausgangsrechnungen!$O$2:$O$301,Ausgangsrechnungen!$A$2:$A$301,"&gt;="&amp;A18,Ausgangsrechnungen!$A$2:$A$301,"&lt;"&amp;EDATE(A18,1))</x:f>
        <x:v>0</x:v>
      </x:c>
      <x:c r="D18" s="72" t="n">
        <x:f>SUMIFS(Eingangsrechnungen!$G$2:$G$301,Eingangsrechnungen!$A$2:$A$301,"&gt;="&amp;A18,Eingangsrechnungen!$A$2:$A$301,"&lt;"&amp;EDATE(A18,1))</x:f>
        <x:v>0</x:v>
      </x:c>
      <x:c r="E18" s="72">
        <x:f t="shared" si="1"/>
        <x:v>0</x:v>
      </x:c>
      <x:c r="F18" s="72">
        <x:f t="shared" si="2"/>
        <x:v>0</x:v>
      </x:c>
      <x:c r="G18" s="72" t="str">
        <x:f t="shared" si="3"/>
        <x:v>Offen</x:v>
      </x:c>
      <x:c r="H18" s="72"/>
      <x:c r="I18" s="72" t="n">
        <x:f>COUNTIFS(Eingangsrechnungen!$A$2:$A$301,"&gt;="&amp;A18,Eingangsrechnungen!$A$2:$A$301,"&lt;"&amp;EDATE(A18,1),Eingangsrechnungen!$H$2:$H$301,"&gt;0",Eingangsrechnungen!$G$2:$G$301,"")</x:f>
        <x:v>0</x:v>
      </x:c>
      <x:c r="J18" s="72" t="str">
        <x:f t="shared" si="4"/>
        <x:v>Voraussichtliche Zahllast</x:v>
      </x:c>
    </x:row>
    <x:row r="19">
      <x:c r="A19" s="134">
        <x:v>46722</x:v>
      </x:c>
      <x:c r="B19" s="111">
        <x:f t="shared" si="0"/>
        <x:v>46793</x:v>
      </x:c>
      <x:c r="C19" s="111" t="n">
        <x:f>SUMIFS(Ausgangsrechnungen!$O$2:$O$301,Ausgangsrechnungen!$A$2:$A$301,"&gt;="&amp;A19,Ausgangsrechnungen!$A$2:$A$301,"&lt;"&amp;EDATE(A19,1))</x:f>
        <x:v>0</x:v>
      </x:c>
      <x:c r="D19" s="111" t="n">
        <x:f>SUMIFS(Eingangsrechnungen!$G$2:$G$301,Eingangsrechnungen!$A$2:$A$301,"&gt;="&amp;A19,Eingangsrechnungen!$A$2:$A$301,"&lt;"&amp;EDATE(A19,1))</x:f>
        <x:v>0</x:v>
      </x:c>
      <x:c r="E19" s="111">
        <x:f t="shared" si="1"/>
        <x:v>0</x:v>
      </x:c>
      <x:c r="F19" s="111">
        <x:f t="shared" si="2"/>
        <x:v>0</x:v>
      </x:c>
      <x:c r="G19" s="111" t="str">
        <x:f t="shared" si="3"/>
        <x:v>Offen</x:v>
      </x:c>
      <x:c r="H19" s="111"/>
      <x:c r="I19" s="111" t="n">
        <x:f>COUNTIFS(Eingangsrechnungen!$A$2:$A$301,"&gt;="&amp;A19,Eingangsrechnungen!$A$2:$A$301,"&lt;"&amp;EDATE(A19,1),Eingangsrechnungen!$H$2:$H$301,"&gt;0",Eingangsrechnungen!$G$2:$G$301,"")</x:f>
        <x:v>0</x:v>
      </x:c>
      <x:c r="J19" s="111" t="str">
        <x:f t="shared" si="4"/>
        <x:v>Voraussichtliche Zahllast</x:v>
      </x:c>
    </x:row>
    <x:row r="20">
      <x:c r="A20" s="135">
        <x:v>46753</x:v>
      </x:c>
      <x:c r="B20" s="72">
        <x:f t="shared" si="0"/>
        <x:v>46822</x:v>
      </x:c>
      <x:c r="C20" s="72" t="n">
        <x:f>SUMIFS(Ausgangsrechnungen!$O$2:$O$301,Ausgangsrechnungen!$A$2:$A$301,"&gt;="&amp;A20,Ausgangsrechnungen!$A$2:$A$301,"&lt;"&amp;EDATE(A20,1))</x:f>
        <x:v>0</x:v>
      </x:c>
      <x:c r="D20" s="72" t="n">
        <x:f>SUMIFS(Eingangsrechnungen!$G$2:$G$301,Eingangsrechnungen!$A$2:$A$301,"&gt;="&amp;A20,Eingangsrechnungen!$A$2:$A$301,"&lt;"&amp;EDATE(A20,1))</x:f>
        <x:v>0</x:v>
      </x:c>
      <x:c r="E20" s="72">
        <x:f t="shared" si="1"/>
        <x:v>0</x:v>
      </x:c>
      <x:c r="F20" s="72">
        <x:f t="shared" si="2"/>
        <x:v>0</x:v>
      </x:c>
      <x:c r="G20" s="72" t="str">
        <x:f t="shared" si="3"/>
        <x:v>Offen</x:v>
      </x:c>
      <x:c r="H20" s="72"/>
      <x:c r="I20" s="72" t="n">
        <x:f>COUNTIFS(Eingangsrechnungen!$A$2:$A$301,"&gt;="&amp;A20,Eingangsrechnungen!$A$2:$A$301,"&lt;"&amp;EDATE(A20,1),Eingangsrechnungen!$H$2:$H$301,"&gt;0",Eingangsrechnungen!$G$2:$G$301,"")</x:f>
        <x:v>0</x:v>
      </x:c>
      <x:c r="J20" s="72" t="str">
        <x:f t="shared" si="4"/>
        <x:v>Voraussichtliche Zahllast</x:v>
      </x:c>
    </x:row>
    <x:row r="21">
      <x:c r="A21" s="133">
        <x:v>46784</x:v>
      </x:c>
      <x:c r="B21" s="71">
        <x:f t="shared" si="0"/>
        <x:v>46853</x:v>
      </x:c>
      <x:c r="C21" s="71" t="n">
        <x:f>SUMIFS(Ausgangsrechnungen!$O$2:$O$301,Ausgangsrechnungen!$A$2:$A$301,"&gt;="&amp;A21,Ausgangsrechnungen!$A$2:$A$301,"&lt;"&amp;EDATE(A21,1))</x:f>
        <x:v>0</x:v>
      </x:c>
      <x:c r="D21" s="71" t="n">
        <x:f>SUMIFS(Eingangsrechnungen!$G$2:$G$301,Eingangsrechnungen!$A$2:$A$301,"&gt;="&amp;A21,Eingangsrechnungen!$A$2:$A$301,"&lt;"&amp;EDATE(A21,1))</x:f>
        <x:v>0</x:v>
      </x:c>
      <x:c r="E21" s="71">
        <x:f t="shared" si="1"/>
        <x:v>0</x:v>
      </x:c>
      <x:c r="F21" s="71">
        <x:f t="shared" si="2"/>
        <x:v>0</x:v>
      </x:c>
      <x:c r="G21" s="71" t="str">
        <x:f t="shared" si="3"/>
        <x:v>Offen</x:v>
      </x:c>
      <x:c r="H21" s="71"/>
      <x:c r="I21" s="71" t="n">
        <x:f>COUNTIFS(Eingangsrechnungen!$A$2:$A$301,"&gt;="&amp;A21,Eingangsrechnungen!$A$2:$A$301,"&lt;"&amp;EDATE(A21,1),Eingangsrechnungen!$H$2:$H$301,"&gt;0",Eingangsrechnungen!$G$2:$G$301,"")</x:f>
        <x:v>0</x:v>
      </x:c>
      <x:c r="J21" s="71" t="str">
        <x:f t="shared" si="4"/>
        <x:v>Voraussichtliche Zahllast</x:v>
      </x:c>
    </x:row>
    <x:row r="22">
      <x:c r="A22" s="135">
        <x:v>46813</x:v>
      </x:c>
      <x:c r="B22" s="72">
        <x:f t="shared" si="0"/>
        <x:v>46883</x:v>
      </x:c>
      <x:c r="C22" s="72" t="n">
        <x:f>SUMIFS(Ausgangsrechnungen!$O$2:$O$301,Ausgangsrechnungen!$A$2:$A$301,"&gt;="&amp;A22,Ausgangsrechnungen!$A$2:$A$301,"&lt;"&amp;EDATE(A22,1))</x:f>
        <x:v>0</x:v>
      </x:c>
      <x:c r="D22" s="72" t="n">
        <x:f>SUMIFS(Eingangsrechnungen!$G$2:$G$301,Eingangsrechnungen!$A$2:$A$301,"&gt;="&amp;A22,Eingangsrechnungen!$A$2:$A$301,"&lt;"&amp;EDATE(A22,1))</x:f>
        <x:v>0</x:v>
      </x:c>
      <x:c r="E22" s="72">
        <x:f t="shared" si="1"/>
        <x:v>0</x:v>
      </x:c>
      <x:c r="F22" s="72">
        <x:f t="shared" si="2"/>
        <x:v>0</x:v>
      </x:c>
      <x:c r="G22" s="72" t="str">
        <x:f t="shared" si="3"/>
        <x:v>Offen</x:v>
      </x:c>
      <x:c r="H22" s="72"/>
      <x:c r="I22" s="72" t="n">
        <x:f>COUNTIFS(Eingangsrechnungen!$A$2:$A$301,"&gt;="&amp;A22,Eingangsrechnungen!$A$2:$A$301,"&lt;"&amp;EDATE(A22,1),Eingangsrechnungen!$H$2:$H$301,"&gt;0",Eingangsrechnungen!$G$2:$G$301,"")</x:f>
        <x:v>0</x:v>
      </x:c>
      <x:c r="J22" s="72" t="str">
        <x:f t="shared" si="4"/>
        <x:v>Voraussichtliche Zahllast</x:v>
      </x:c>
    </x:row>
    <x:row r="23">
      <x:c r="A23" s="133">
        <x:v>46844</x:v>
      </x:c>
      <x:c r="B23" s="71">
        <x:f t="shared" si="0"/>
        <x:v>46914</x:v>
      </x:c>
      <x:c r="C23" s="71" t="n">
        <x:f>SUMIFS(Ausgangsrechnungen!$O$2:$O$301,Ausgangsrechnungen!$A$2:$A$301,"&gt;="&amp;A23,Ausgangsrechnungen!$A$2:$A$301,"&lt;"&amp;EDATE(A23,1))</x:f>
        <x:v>0</x:v>
      </x:c>
      <x:c r="D23" s="71" t="n">
        <x:f>SUMIFS(Eingangsrechnungen!$G$2:$G$301,Eingangsrechnungen!$A$2:$A$301,"&gt;="&amp;A23,Eingangsrechnungen!$A$2:$A$301,"&lt;"&amp;EDATE(A23,1))</x:f>
        <x:v>0</x:v>
      </x:c>
      <x:c r="E23" s="71">
        <x:f t="shared" si="1"/>
        <x:v>0</x:v>
      </x:c>
      <x:c r="F23" s="71">
        <x:f t="shared" si="2"/>
        <x:v>0</x:v>
      </x:c>
      <x:c r="G23" s="71" t="str">
        <x:f t="shared" si="3"/>
        <x:v>Offen</x:v>
      </x:c>
      <x:c r="H23" s="71"/>
      <x:c r="I23" s="71" t="n">
        <x:f>COUNTIFS(Eingangsrechnungen!$A$2:$A$301,"&gt;="&amp;A23,Eingangsrechnungen!$A$2:$A$301,"&lt;"&amp;EDATE(A23,1),Eingangsrechnungen!$H$2:$H$301,"&gt;0",Eingangsrechnungen!$G$2:$G$301,"")</x:f>
        <x:v>0</x:v>
      </x:c>
      <x:c r="J23" s="71" t="str">
        <x:f t="shared" si="4"/>
        <x:v>Voraussichtliche Zahllast</x:v>
      </x:c>
    </x:row>
    <x:row r="24">
      <x:c r="A24" s="135">
        <x:v>46874</x:v>
      </x:c>
      <x:c r="B24" s="72">
        <x:f t="shared" si="0"/>
        <x:v>46944</x:v>
      </x:c>
      <x:c r="C24" s="72" t="n">
        <x:f>SUMIFS(Ausgangsrechnungen!$O$2:$O$301,Ausgangsrechnungen!$A$2:$A$301,"&gt;="&amp;A24,Ausgangsrechnungen!$A$2:$A$301,"&lt;"&amp;EDATE(A24,1))</x:f>
        <x:v>0</x:v>
      </x:c>
      <x:c r="D24" s="72" t="n">
        <x:f>SUMIFS(Eingangsrechnungen!$G$2:$G$301,Eingangsrechnungen!$A$2:$A$301,"&gt;="&amp;A24,Eingangsrechnungen!$A$2:$A$301,"&lt;"&amp;EDATE(A24,1))</x:f>
        <x:v>0</x:v>
      </x:c>
      <x:c r="E24" s="72">
        <x:f t="shared" si="1"/>
        <x:v>0</x:v>
      </x:c>
      <x:c r="F24" s="72">
        <x:f t="shared" si="2"/>
        <x:v>0</x:v>
      </x:c>
      <x:c r="G24" s="72" t="str">
        <x:f t="shared" si="3"/>
        <x:v>Offen</x:v>
      </x:c>
      <x:c r="H24" s="72"/>
      <x:c r="I24" s="72" t="n">
        <x:f>COUNTIFS(Eingangsrechnungen!$A$2:$A$301,"&gt;="&amp;A24,Eingangsrechnungen!$A$2:$A$301,"&lt;"&amp;EDATE(A24,1),Eingangsrechnungen!$H$2:$H$301,"&gt;0",Eingangsrechnungen!$G$2:$G$301,"")</x:f>
        <x:v>0</x:v>
      </x:c>
      <x:c r="J24" s="72" t="str">
        <x:f t="shared" si="4"/>
        <x:v>Voraussichtliche Zahllast</x:v>
      </x:c>
    </x:row>
    <x:row r="25">
      <x:c r="A25" s="133">
        <x:v>46905</x:v>
      </x:c>
      <x:c r="B25" s="71">
        <x:f t="shared" si="0"/>
        <x:v>46975</x:v>
      </x:c>
      <x:c r="C25" s="71" t="n">
        <x:f>SUMIFS(Ausgangsrechnungen!$O$2:$O$301,Ausgangsrechnungen!$A$2:$A$301,"&gt;="&amp;A25,Ausgangsrechnungen!$A$2:$A$301,"&lt;"&amp;EDATE(A25,1))</x:f>
        <x:v>0</x:v>
      </x:c>
      <x:c r="D25" s="71" t="n">
        <x:f>SUMIFS(Eingangsrechnungen!$G$2:$G$301,Eingangsrechnungen!$A$2:$A$301,"&gt;="&amp;A25,Eingangsrechnungen!$A$2:$A$301,"&lt;"&amp;EDATE(A25,1))</x:f>
        <x:v>0</x:v>
      </x:c>
      <x:c r="E25" s="71">
        <x:f t="shared" si="1"/>
        <x:v>0</x:v>
      </x:c>
      <x:c r="F25" s="71">
        <x:f t="shared" si="2"/>
        <x:v>0</x:v>
      </x:c>
      <x:c r="G25" s="71" t="str">
        <x:f t="shared" si="3"/>
        <x:v>Offen</x:v>
      </x:c>
      <x:c r="H25" s="71"/>
      <x:c r="I25" s="71" t="n">
        <x:f>COUNTIFS(Eingangsrechnungen!$A$2:$A$301,"&gt;="&amp;A25,Eingangsrechnungen!$A$2:$A$301,"&lt;"&amp;EDATE(A25,1),Eingangsrechnungen!$H$2:$H$301,"&gt;0",Eingangsrechnungen!$G$2:$G$301,"")</x:f>
        <x:v>0</x:v>
      </x:c>
      <x:c r="J25" s="71" t="str">
        <x:f t="shared" si="4"/>
        <x:v>Voraussichtliche Zahllast</x:v>
      </x:c>
    </x:row>
    <x:row r="26">
      <x:c r="A26" s="135">
        <x:v>46935</x:v>
      </x:c>
      <x:c r="B26" s="72">
        <x:f t="shared" si="0"/>
        <x:v>47006</x:v>
      </x:c>
      <x:c r="C26" s="72" t="n">
        <x:f>SUMIFS(Ausgangsrechnungen!$O$2:$O$301,Ausgangsrechnungen!$A$2:$A$301,"&gt;="&amp;A26,Ausgangsrechnungen!$A$2:$A$301,"&lt;"&amp;EDATE(A26,1))</x:f>
        <x:v>0</x:v>
      </x:c>
      <x:c r="D26" s="72" t="n">
        <x:f>SUMIFS(Eingangsrechnungen!$G$2:$G$301,Eingangsrechnungen!$A$2:$A$301,"&gt;="&amp;A26,Eingangsrechnungen!$A$2:$A$301,"&lt;"&amp;EDATE(A26,1))</x:f>
        <x:v>0</x:v>
      </x:c>
      <x:c r="E26" s="72">
        <x:f t="shared" si="1"/>
        <x:v>0</x:v>
      </x:c>
      <x:c r="F26" s="72">
        <x:f t="shared" si="2"/>
        <x:v>0</x:v>
      </x:c>
      <x:c r="G26" s="72" t="str">
        <x:f t="shared" si="3"/>
        <x:v>Offen</x:v>
      </x:c>
      <x:c r="H26" s="72"/>
      <x:c r="I26" s="72" t="n">
        <x:f>COUNTIFS(Eingangsrechnungen!$A$2:$A$301,"&gt;="&amp;A26,Eingangsrechnungen!$A$2:$A$301,"&lt;"&amp;EDATE(A26,1),Eingangsrechnungen!$H$2:$H$301,"&gt;0",Eingangsrechnungen!$G$2:$G$301,"")</x:f>
        <x:v>0</x:v>
      </x:c>
      <x:c r="J26" s="72" t="str">
        <x:f t="shared" si="4"/>
        <x:v>Voraussichtliche Zahllast</x:v>
      </x:c>
    </x:row>
    <x:row r="27">
      <x:c r="A27" s="133">
        <x:v>46966</x:v>
      </x:c>
      <x:c r="B27" s="71">
        <x:f t="shared" si="0"/>
        <x:v>47036</x:v>
      </x:c>
      <x:c r="C27" s="71" t="n">
        <x:f>SUMIFS(Ausgangsrechnungen!$O$2:$O$301,Ausgangsrechnungen!$A$2:$A$301,"&gt;="&amp;A27,Ausgangsrechnungen!$A$2:$A$301,"&lt;"&amp;EDATE(A27,1))</x:f>
        <x:v>0</x:v>
      </x:c>
      <x:c r="D27" s="71" t="n">
        <x:f>SUMIFS(Eingangsrechnungen!$G$2:$G$301,Eingangsrechnungen!$A$2:$A$301,"&gt;="&amp;A27,Eingangsrechnungen!$A$2:$A$301,"&lt;"&amp;EDATE(A27,1))</x:f>
        <x:v>0</x:v>
      </x:c>
      <x:c r="E27" s="71">
        <x:f t="shared" si="1"/>
        <x:v>0</x:v>
      </x:c>
      <x:c r="F27" s="71">
        <x:f t="shared" si="2"/>
        <x:v>0</x:v>
      </x:c>
      <x:c r="G27" s="71" t="str">
        <x:f t="shared" si="3"/>
        <x:v>Offen</x:v>
      </x:c>
      <x:c r="H27" s="71"/>
      <x:c r="I27" s="71" t="n">
        <x:f>COUNTIFS(Eingangsrechnungen!$A$2:$A$301,"&gt;="&amp;A27,Eingangsrechnungen!$A$2:$A$301,"&lt;"&amp;EDATE(A27,1),Eingangsrechnungen!$H$2:$H$301,"&gt;0",Eingangsrechnungen!$G$2:$G$301,"")</x:f>
        <x:v>0</x:v>
      </x:c>
      <x:c r="J27" s="71" t="str">
        <x:f t="shared" si="4"/>
        <x:v>Voraussichtliche Zahllast</x:v>
      </x:c>
    </x:row>
    <x:row r="28">
      <x:c r="A28" s="135">
        <x:v>46997</x:v>
      </x:c>
      <x:c r="B28" s="72">
        <x:f t="shared" si="0"/>
        <x:v>47067</x:v>
      </x:c>
      <x:c r="C28" s="72" t="n">
        <x:f>SUMIFS(Ausgangsrechnungen!$O$2:$O$301,Ausgangsrechnungen!$A$2:$A$301,"&gt;="&amp;A28,Ausgangsrechnungen!$A$2:$A$301,"&lt;"&amp;EDATE(A28,1))</x:f>
        <x:v>0</x:v>
      </x:c>
      <x:c r="D28" s="72" t="n">
        <x:f>SUMIFS(Eingangsrechnungen!$G$2:$G$301,Eingangsrechnungen!$A$2:$A$301,"&gt;="&amp;A28,Eingangsrechnungen!$A$2:$A$301,"&lt;"&amp;EDATE(A28,1))</x:f>
        <x:v>0</x:v>
      </x:c>
      <x:c r="E28" s="72">
        <x:f t="shared" si="1"/>
        <x:v>0</x:v>
      </x:c>
      <x:c r="F28" s="72">
        <x:f t="shared" si="2"/>
        <x:v>0</x:v>
      </x:c>
      <x:c r="G28" s="72" t="str">
        <x:f t="shared" si="3"/>
        <x:v>Offen</x:v>
      </x:c>
      <x:c r="H28" s="72"/>
      <x:c r="I28" s="72" t="n">
        <x:f>COUNTIFS(Eingangsrechnungen!$A$2:$A$301,"&gt;="&amp;A28,Eingangsrechnungen!$A$2:$A$301,"&lt;"&amp;EDATE(A28,1),Eingangsrechnungen!$H$2:$H$301,"&gt;0",Eingangsrechnungen!$G$2:$G$301,"")</x:f>
        <x:v>0</x:v>
      </x:c>
      <x:c r="J28" s="72" t="str">
        <x:f t="shared" si="4"/>
        <x:v>Voraussichtliche Zahllast</x:v>
      </x:c>
    </x:row>
    <x:row r="29">
      <x:c r="A29" s="133">
        <x:v>47027</x:v>
      </x:c>
      <x:c r="B29" s="71">
        <x:f t="shared" si="0"/>
        <x:v>47097</x:v>
      </x:c>
      <x:c r="C29" s="71" t="n">
        <x:f>SUMIFS(Ausgangsrechnungen!$O$2:$O$301,Ausgangsrechnungen!$A$2:$A$301,"&gt;="&amp;A29,Ausgangsrechnungen!$A$2:$A$301,"&lt;"&amp;EDATE(A29,1))</x:f>
        <x:v>0</x:v>
      </x:c>
      <x:c r="D29" s="71" t="n">
        <x:f>SUMIFS(Eingangsrechnungen!$G$2:$G$301,Eingangsrechnungen!$A$2:$A$301,"&gt;="&amp;A29,Eingangsrechnungen!$A$2:$A$301,"&lt;"&amp;EDATE(A29,1))</x:f>
        <x:v>0</x:v>
      </x:c>
      <x:c r="E29" s="71">
        <x:f t="shared" si="1"/>
        <x:v>0</x:v>
      </x:c>
      <x:c r="F29" s="71">
        <x:f t="shared" si="2"/>
        <x:v>0</x:v>
      </x:c>
      <x:c r="G29" s="71" t="str">
        <x:f t="shared" si="3"/>
        <x:v>Offen</x:v>
      </x:c>
      <x:c r="H29" s="71"/>
      <x:c r="I29" s="71" t="n">
        <x:f>COUNTIFS(Eingangsrechnungen!$A$2:$A$301,"&gt;="&amp;A29,Eingangsrechnungen!$A$2:$A$301,"&lt;"&amp;EDATE(A29,1),Eingangsrechnungen!$H$2:$H$301,"&gt;0",Eingangsrechnungen!$G$2:$G$301,"")</x:f>
        <x:v>0</x:v>
      </x:c>
      <x:c r="J29" s="71" t="str">
        <x:f t="shared" si="4"/>
        <x:v>Voraussichtliche Zahllast</x:v>
      </x:c>
    </x:row>
    <x:row r="30">
      <x:c r="A30" s="135">
        <x:v>47058</x:v>
      </x:c>
      <x:c r="B30" s="72">
        <x:f t="shared" si="0"/>
        <x:v>47128</x:v>
      </x:c>
      <x:c r="C30" s="72" t="n">
        <x:f>SUMIFS(Ausgangsrechnungen!$O$2:$O$301,Ausgangsrechnungen!$A$2:$A$301,"&gt;="&amp;A30,Ausgangsrechnungen!$A$2:$A$301,"&lt;"&amp;EDATE(A30,1))</x:f>
        <x:v>0</x:v>
      </x:c>
      <x:c r="D30" s="72" t="n">
        <x:f>SUMIFS(Eingangsrechnungen!$G$2:$G$301,Eingangsrechnungen!$A$2:$A$301,"&gt;="&amp;A30,Eingangsrechnungen!$A$2:$A$301,"&lt;"&amp;EDATE(A30,1))</x:f>
        <x:v>0</x:v>
      </x:c>
      <x:c r="E30" s="72">
        <x:f t="shared" si="1"/>
        <x:v>0</x:v>
      </x:c>
      <x:c r="F30" s="72">
        <x:f t="shared" si="2"/>
        <x:v>0</x:v>
      </x:c>
      <x:c r="G30" s="72" t="str">
        <x:f t="shared" si="3"/>
        <x:v>Offen</x:v>
      </x:c>
      <x:c r="H30" s="72"/>
      <x:c r="I30" s="72" t="n">
        <x:f>COUNTIFS(Eingangsrechnungen!$A$2:$A$301,"&gt;="&amp;A30,Eingangsrechnungen!$A$2:$A$301,"&lt;"&amp;EDATE(A30,1),Eingangsrechnungen!$H$2:$H$301,"&gt;0",Eingangsrechnungen!$G$2:$G$301,"")</x:f>
        <x:v>0</x:v>
      </x:c>
      <x:c r="J30" s="72" t="str">
        <x:f t="shared" si="4"/>
        <x:v>Voraussichtliche Zahllast</x:v>
      </x:c>
    </x:row>
    <x:row r="31">
      <x:c r="A31" s="133">
        <x:v>47088</x:v>
      </x:c>
      <x:c r="B31" s="71">
        <x:f t="shared" si="0"/>
        <x:v>47159</x:v>
      </x:c>
      <x:c r="C31" s="71" t="n">
        <x:f>SUMIFS(Ausgangsrechnungen!$O$2:$O$301,Ausgangsrechnungen!$A$2:$A$301,"&gt;="&amp;A31,Ausgangsrechnungen!$A$2:$A$301,"&lt;"&amp;EDATE(A31,1))</x:f>
        <x:v>0</x:v>
      </x:c>
      <x:c r="D31" s="71" t="n">
        <x:f>SUMIFS(Eingangsrechnungen!$G$2:$G$301,Eingangsrechnungen!$A$2:$A$301,"&gt;="&amp;A31,Eingangsrechnungen!$A$2:$A$301,"&lt;"&amp;EDATE(A31,1))</x:f>
        <x:v>0</x:v>
      </x:c>
      <x:c r="E31" s="71">
        <x:f t="shared" si="1"/>
        <x:v>0</x:v>
      </x:c>
      <x:c r="F31" s="71">
        <x:f t="shared" si="2"/>
        <x:v>0</x:v>
      </x:c>
      <x:c r="G31" s="71" t="str">
        <x:f t="shared" si="3"/>
        <x:v>Offen</x:v>
      </x:c>
      <x:c r="H31" s="71"/>
      <x:c r="I31" s="71" t="n">
        <x:f>COUNTIFS(Eingangsrechnungen!$A$2:$A$301,"&gt;="&amp;A31,Eingangsrechnungen!$A$2:$A$301,"&lt;"&amp;EDATE(A31,1),Eingangsrechnungen!$H$2:$H$301,"&gt;0",Eingangsrechnungen!$G$2:$G$301,"")</x:f>
        <x:v>0</x:v>
      </x:c>
      <x:c r="J31" s="71" t="str">
        <x:f t="shared" si="4"/>
        <x:v>Voraussichtliche Zahllast</x:v>
      </x:c>
    </x:row>
    <x:row r="32">
      <x:c r="A32" s="135">
        <x:v>47119</x:v>
      </x:c>
      <x:c r="B32" s="72">
        <x:f t="shared" si="0"/>
        <x:v>47187</x:v>
      </x:c>
      <x:c r="C32" s="72" t="n">
        <x:f>SUMIFS(Ausgangsrechnungen!$O$2:$O$301,Ausgangsrechnungen!$A$2:$A$301,"&gt;="&amp;A32,Ausgangsrechnungen!$A$2:$A$301,"&lt;"&amp;EDATE(A32,1))</x:f>
        <x:v>0</x:v>
      </x:c>
      <x:c r="D32" s="72" t="n">
        <x:f>SUMIFS(Eingangsrechnungen!$G$2:$G$301,Eingangsrechnungen!$A$2:$A$301,"&gt;="&amp;A32,Eingangsrechnungen!$A$2:$A$301,"&lt;"&amp;EDATE(A32,1))</x:f>
        <x:v>0</x:v>
      </x:c>
      <x:c r="E32" s="72">
        <x:f t="shared" si="1"/>
        <x:v>0</x:v>
      </x:c>
      <x:c r="F32" s="72">
        <x:f t="shared" si="2"/>
        <x:v>0</x:v>
      </x:c>
      <x:c r="G32" s="72" t="str">
        <x:f t="shared" si="3"/>
        <x:v>Offen</x:v>
      </x:c>
      <x:c r="H32" s="72"/>
      <x:c r="I32" s="72" t="n">
        <x:f>COUNTIFS(Eingangsrechnungen!$A$2:$A$301,"&gt;="&amp;A32,Eingangsrechnungen!$A$2:$A$301,"&lt;"&amp;EDATE(A32,1),Eingangsrechnungen!$H$2:$H$301,"&gt;0",Eingangsrechnungen!$G$2:$G$301,"")</x:f>
        <x:v>0</x:v>
      </x:c>
      <x:c r="J32" s="72" t="str">
        <x:f t="shared" si="4"/>
        <x:v>Voraussichtliche Zahllast</x:v>
      </x:c>
    </x:row>
    <x:row r="33">
      <x:c r="A33" s="133">
        <x:v>47150</x:v>
      </x:c>
      <x:c r="B33" s="71">
        <x:f t="shared" si="0"/>
        <x:v>47218</x:v>
      </x:c>
      <x:c r="C33" s="71" t="n">
        <x:f>SUMIFS(Ausgangsrechnungen!$O$2:$O$301,Ausgangsrechnungen!$A$2:$A$301,"&gt;="&amp;A33,Ausgangsrechnungen!$A$2:$A$301,"&lt;"&amp;EDATE(A33,1))</x:f>
        <x:v>0</x:v>
      </x:c>
      <x:c r="D33" s="71" t="n">
        <x:f>SUMIFS(Eingangsrechnungen!$G$2:$G$301,Eingangsrechnungen!$A$2:$A$301,"&gt;="&amp;A33,Eingangsrechnungen!$A$2:$A$301,"&lt;"&amp;EDATE(A33,1))</x:f>
        <x:v>0</x:v>
      </x:c>
      <x:c r="E33" s="71">
        <x:f t="shared" si="1"/>
        <x:v>0</x:v>
      </x:c>
      <x:c r="F33" s="71">
        <x:f t="shared" si="2"/>
        <x:v>0</x:v>
      </x:c>
      <x:c r="G33" s="71" t="str">
        <x:f t="shared" si="3"/>
        <x:v>Offen</x:v>
      </x:c>
      <x:c r="H33" s="71"/>
      <x:c r="I33" s="71" t="n">
        <x:f>COUNTIFS(Eingangsrechnungen!$A$2:$A$301,"&gt;="&amp;A33,Eingangsrechnungen!$A$2:$A$301,"&lt;"&amp;EDATE(A33,1),Eingangsrechnungen!$H$2:$H$301,"&gt;0",Eingangsrechnungen!$G$2:$G$301,"")</x:f>
        <x:v>0</x:v>
      </x:c>
      <x:c r="J33" s="71" t="str">
        <x:f t="shared" si="4"/>
        <x:v>Voraussichtliche Zahllast</x:v>
      </x:c>
    </x:row>
    <x:row r="34">
      <x:c r="A34" s="135">
        <x:v>47178</x:v>
      </x:c>
      <x:c r="B34" s="72" t="n">
        <x:f t="shared" ref="B34:B65" si="5">DATE(YEAR(EDATE(A34,2)),MONTH(EDATE(A34,2)),10)</x:f>
        <x:v>47248</x:v>
      </x:c>
      <x:c r="C34" s="72" t="n">
        <x:f>SUMIFS(Ausgangsrechnungen!$O$2:$O$301,Ausgangsrechnungen!$A$2:$A$301,"&gt;="&amp;A34,Ausgangsrechnungen!$A$2:$A$301,"&lt;"&amp;EDATE(A34,1))</x:f>
        <x:v>0</x:v>
      </x:c>
      <x:c r="D34" s="72" t="n">
        <x:f>SUMIFS(Eingangsrechnungen!$G$2:$G$301,Eingangsrechnungen!$A$2:$A$301,"&gt;="&amp;A34,Eingangsrechnungen!$A$2:$A$301,"&lt;"&amp;EDATE(A34,1))</x:f>
        <x:v>0</x:v>
      </x:c>
      <x:c r="E34" s="72" t="n">
        <x:f t="shared" ref="E34:E65" si="6">C34-D34</x:f>
        <x:v>0</x:v>
      </x:c>
      <x:c r="F34" s="72" t="n">
        <x:f t="shared" ref="F34:F65" si="7">MAX(0,E34)</x:f>
        <x:v>0</x:v>
      </x:c>
      <x:c r="G34" s="72" t="str">
        <x:f t="shared" ref="G34:G65" si="8">IF(H34&lt;&gt;"","Bezahlt","Offen")</x:f>
        <x:v>Offen</x:v>
      </x:c>
      <x:c r="H34" s="72"/>
      <x:c r="I34" s="72" t="n">
        <x:f>COUNTIFS(Eingangsrechnungen!$A$2:$A$301,"&gt;="&amp;A34,Eingangsrechnungen!$A$2:$A$301,"&lt;"&amp;EDATE(A34,1),Eingangsrechnungen!$H$2:$H$301,"&gt;0",Eingangsrechnungen!$G$2:$G$301,"")</x:f>
        <x:v>0</x:v>
      </x:c>
      <x:c r="J34" s="72" t="str">
        <x:f t="shared" ref="J34:J65" si="9">IF(I34&gt;0,"Vorsteuer bei "&amp;I34&amp;" Eingangsrechnung(en) fehlt",IF(E34&lt;0,"Voraussichtliche Erstattung","Voraussichtliche Zahllast"))</x:f>
        <x:v>Voraussichtliche Zahllast</x:v>
      </x:c>
    </x:row>
    <x:row r="35">
      <x:c r="A35" s="133">
        <x:v>47209</x:v>
      </x:c>
      <x:c r="B35" s="71">
        <x:f t="shared" si="5"/>
        <x:v>47279</x:v>
      </x:c>
      <x:c r="C35" s="71" t="n">
        <x:f>SUMIFS(Ausgangsrechnungen!$O$2:$O$301,Ausgangsrechnungen!$A$2:$A$301,"&gt;="&amp;A35,Ausgangsrechnungen!$A$2:$A$301,"&lt;"&amp;EDATE(A35,1))</x:f>
        <x:v>0</x:v>
      </x:c>
      <x:c r="D35" s="71" t="n">
        <x:f>SUMIFS(Eingangsrechnungen!$G$2:$G$301,Eingangsrechnungen!$A$2:$A$301,"&gt;="&amp;A35,Eingangsrechnungen!$A$2:$A$301,"&lt;"&amp;EDATE(A35,1))</x:f>
        <x:v>0</x:v>
      </x:c>
      <x:c r="E35" s="71">
        <x:f t="shared" si="6"/>
        <x:v>0</x:v>
      </x:c>
      <x:c r="F35" s="71">
        <x:f t="shared" si="7"/>
        <x:v>0</x:v>
      </x:c>
      <x:c r="G35" s="71" t="str">
        <x:f t="shared" si="8"/>
        <x:v>Offen</x:v>
      </x:c>
      <x:c r="H35" s="71"/>
      <x:c r="I35" s="71" t="n">
        <x:f>COUNTIFS(Eingangsrechnungen!$A$2:$A$301,"&gt;="&amp;A35,Eingangsrechnungen!$A$2:$A$301,"&lt;"&amp;EDATE(A35,1),Eingangsrechnungen!$H$2:$H$301,"&gt;0",Eingangsrechnungen!$G$2:$G$301,"")</x:f>
        <x:v>0</x:v>
      </x:c>
      <x:c r="J35" s="71" t="str">
        <x:f t="shared" si="9"/>
        <x:v>Voraussichtliche Zahllast</x:v>
      </x:c>
    </x:row>
    <x:row r="36">
      <x:c r="A36" s="135">
        <x:v>47239</x:v>
      </x:c>
      <x:c r="B36" s="72">
        <x:f t="shared" si="5"/>
        <x:v>47309</x:v>
      </x:c>
      <x:c r="C36" s="72" t="n">
        <x:f>SUMIFS(Ausgangsrechnungen!$O$2:$O$301,Ausgangsrechnungen!$A$2:$A$301,"&gt;="&amp;A36,Ausgangsrechnungen!$A$2:$A$301,"&lt;"&amp;EDATE(A36,1))</x:f>
        <x:v>0</x:v>
      </x:c>
      <x:c r="D36" s="72" t="n">
        <x:f>SUMIFS(Eingangsrechnungen!$G$2:$G$301,Eingangsrechnungen!$A$2:$A$301,"&gt;="&amp;A36,Eingangsrechnungen!$A$2:$A$301,"&lt;"&amp;EDATE(A36,1))</x:f>
        <x:v>0</x:v>
      </x:c>
      <x:c r="E36" s="72">
        <x:f t="shared" si="6"/>
        <x:v>0</x:v>
      </x:c>
      <x:c r="F36" s="72">
        <x:f t="shared" si="7"/>
        <x:v>0</x:v>
      </x:c>
      <x:c r="G36" s="72" t="str">
        <x:f t="shared" si="8"/>
        <x:v>Offen</x:v>
      </x:c>
      <x:c r="H36" s="72"/>
      <x:c r="I36" s="72" t="n">
        <x:f>COUNTIFS(Eingangsrechnungen!$A$2:$A$301,"&gt;="&amp;A36,Eingangsrechnungen!$A$2:$A$301,"&lt;"&amp;EDATE(A36,1),Eingangsrechnungen!$H$2:$H$301,"&gt;0",Eingangsrechnungen!$G$2:$G$301,"")</x:f>
        <x:v>0</x:v>
      </x:c>
      <x:c r="J36" s="72" t="str">
        <x:f t="shared" si="9"/>
        <x:v>Voraussichtliche Zahllast</x:v>
      </x:c>
    </x:row>
    <x:row r="37">
      <x:c r="A37" s="133">
        <x:v>47270</x:v>
      </x:c>
      <x:c r="B37" s="71">
        <x:f t="shared" si="5"/>
        <x:v>47340</x:v>
      </x:c>
      <x:c r="C37" s="71" t="n">
        <x:f>SUMIFS(Ausgangsrechnungen!$O$2:$O$301,Ausgangsrechnungen!$A$2:$A$301,"&gt;="&amp;A37,Ausgangsrechnungen!$A$2:$A$301,"&lt;"&amp;EDATE(A37,1))</x:f>
        <x:v>0</x:v>
      </x:c>
      <x:c r="D37" s="71" t="n">
        <x:f>SUMIFS(Eingangsrechnungen!$G$2:$G$301,Eingangsrechnungen!$A$2:$A$301,"&gt;="&amp;A37,Eingangsrechnungen!$A$2:$A$301,"&lt;"&amp;EDATE(A37,1))</x:f>
        <x:v>0</x:v>
      </x:c>
      <x:c r="E37" s="71">
        <x:f t="shared" si="6"/>
        <x:v>0</x:v>
      </x:c>
      <x:c r="F37" s="71">
        <x:f t="shared" si="7"/>
        <x:v>0</x:v>
      </x:c>
      <x:c r="G37" s="71" t="str">
        <x:f t="shared" si="8"/>
        <x:v>Offen</x:v>
      </x:c>
      <x:c r="H37" s="71"/>
      <x:c r="I37" s="71" t="n">
        <x:f>COUNTIFS(Eingangsrechnungen!$A$2:$A$301,"&gt;="&amp;A37,Eingangsrechnungen!$A$2:$A$301,"&lt;"&amp;EDATE(A37,1),Eingangsrechnungen!$H$2:$H$301,"&gt;0",Eingangsrechnungen!$G$2:$G$301,"")</x:f>
        <x:v>0</x:v>
      </x:c>
      <x:c r="J37" s="71" t="str">
        <x:f t="shared" si="9"/>
        <x:v>Voraussichtliche Zahllast</x:v>
      </x:c>
    </x:row>
    <x:row r="38">
      <x:c r="A38" s="135">
        <x:v>47300</x:v>
      </x:c>
      <x:c r="B38" s="72">
        <x:f t="shared" si="5"/>
        <x:v>47371</x:v>
      </x:c>
      <x:c r="C38" s="72" t="n">
        <x:f>SUMIFS(Ausgangsrechnungen!$O$2:$O$301,Ausgangsrechnungen!$A$2:$A$301,"&gt;="&amp;A38,Ausgangsrechnungen!$A$2:$A$301,"&lt;"&amp;EDATE(A38,1))</x:f>
        <x:v>0</x:v>
      </x:c>
      <x:c r="D38" s="72" t="n">
        <x:f>SUMIFS(Eingangsrechnungen!$G$2:$G$301,Eingangsrechnungen!$A$2:$A$301,"&gt;="&amp;A38,Eingangsrechnungen!$A$2:$A$301,"&lt;"&amp;EDATE(A38,1))</x:f>
        <x:v>0</x:v>
      </x:c>
      <x:c r="E38" s="72">
        <x:f t="shared" si="6"/>
        <x:v>0</x:v>
      </x:c>
      <x:c r="F38" s="72">
        <x:f t="shared" si="7"/>
        <x:v>0</x:v>
      </x:c>
      <x:c r="G38" s="72" t="str">
        <x:f t="shared" si="8"/>
        <x:v>Offen</x:v>
      </x:c>
      <x:c r="H38" s="72"/>
      <x:c r="I38" s="72" t="n">
        <x:f>COUNTIFS(Eingangsrechnungen!$A$2:$A$301,"&gt;="&amp;A38,Eingangsrechnungen!$A$2:$A$301,"&lt;"&amp;EDATE(A38,1),Eingangsrechnungen!$H$2:$H$301,"&gt;0",Eingangsrechnungen!$G$2:$G$301,"")</x:f>
        <x:v>0</x:v>
      </x:c>
      <x:c r="J38" s="72" t="str">
        <x:f t="shared" si="9"/>
        <x:v>Voraussichtliche Zahllast</x:v>
      </x:c>
    </x:row>
    <x:row r="39">
      <x:c r="A39" s="133">
        <x:v>47331</x:v>
      </x:c>
      <x:c r="B39" s="71">
        <x:f t="shared" si="5"/>
        <x:v>47401</x:v>
      </x:c>
      <x:c r="C39" s="71" t="n">
        <x:f>SUMIFS(Ausgangsrechnungen!$O$2:$O$301,Ausgangsrechnungen!$A$2:$A$301,"&gt;="&amp;A39,Ausgangsrechnungen!$A$2:$A$301,"&lt;"&amp;EDATE(A39,1))</x:f>
        <x:v>0</x:v>
      </x:c>
      <x:c r="D39" s="71" t="n">
        <x:f>SUMIFS(Eingangsrechnungen!$G$2:$G$301,Eingangsrechnungen!$A$2:$A$301,"&gt;="&amp;A39,Eingangsrechnungen!$A$2:$A$301,"&lt;"&amp;EDATE(A39,1))</x:f>
        <x:v>0</x:v>
      </x:c>
      <x:c r="E39" s="71">
        <x:f t="shared" si="6"/>
        <x:v>0</x:v>
      </x:c>
      <x:c r="F39" s="71">
        <x:f t="shared" si="7"/>
        <x:v>0</x:v>
      </x:c>
      <x:c r="G39" s="71" t="str">
        <x:f t="shared" si="8"/>
        <x:v>Offen</x:v>
      </x:c>
      <x:c r="H39" s="71"/>
      <x:c r="I39" s="71" t="n">
        <x:f>COUNTIFS(Eingangsrechnungen!$A$2:$A$301,"&gt;="&amp;A39,Eingangsrechnungen!$A$2:$A$301,"&lt;"&amp;EDATE(A39,1),Eingangsrechnungen!$H$2:$H$301,"&gt;0",Eingangsrechnungen!$G$2:$G$301,"")</x:f>
        <x:v>0</x:v>
      </x:c>
      <x:c r="J39" s="71" t="str">
        <x:f t="shared" si="9"/>
        <x:v>Voraussichtliche Zahllast</x:v>
      </x:c>
    </x:row>
    <x:row r="40">
      <x:c r="A40" s="135">
        <x:v>47362</x:v>
      </x:c>
      <x:c r="B40" s="72">
        <x:f t="shared" si="5"/>
        <x:v>47432</x:v>
      </x:c>
      <x:c r="C40" s="72" t="n">
        <x:f>SUMIFS(Ausgangsrechnungen!$O$2:$O$301,Ausgangsrechnungen!$A$2:$A$301,"&gt;="&amp;A40,Ausgangsrechnungen!$A$2:$A$301,"&lt;"&amp;EDATE(A40,1))</x:f>
        <x:v>0</x:v>
      </x:c>
      <x:c r="D40" s="72" t="n">
        <x:f>SUMIFS(Eingangsrechnungen!$G$2:$G$301,Eingangsrechnungen!$A$2:$A$301,"&gt;="&amp;A40,Eingangsrechnungen!$A$2:$A$301,"&lt;"&amp;EDATE(A40,1))</x:f>
        <x:v>0</x:v>
      </x:c>
      <x:c r="E40" s="72">
        <x:f t="shared" si="6"/>
        <x:v>0</x:v>
      </x:c>
      <x:c r="F40" s="72">
        <x:f t="shared" si="7"/>
        <x:v>0</x:v>
      </x:c>
      <x:c r="G40" s="72" t="str">
        <x:f t="shared" si="8"/>
        <x:v>Offen</x:v>
      </x:c>
      <x:c r="H40" s="72"/>
      <x:c r="I40" s="72" t="n">
        <x:f>COUNTIFS(Eingangsrechnungen!$A$2:$A$301,"&gt;="&amp;A40,Eingangsrechnungen!$A$2:$A$301,"&lt;"&amp;EDATE(A40,1),Eingangsrechnungen!$H$2:$H$301,"&gt;0",Eingangsrechnungen!$G$2:$G$301,"")</x:f>
        <x:v>0</x:v>
      </x:c>
      <x:c r="J40" s="72" t="str">
        <x:f t="shared" si="9"/>
        <x:v>Voraussichtliche Zahllast</x:v>
      </x:c>
    </x:row>
    <x:row r="41">
      <x:c r="A41" s="133">
        <x:v>47392</x:v>
      </x:c>
      <x:c r="B41" s="71">
        <x:f t="shared" si="5"/>
        <x:v>47462</x:v>
      </x:c>
      <x:c r="C41" s="71" t="n">
        <x:f>SUMIFS(Ausgangsrechnungen!$O$2:$O$301,Ausgangsrechnungen!$A$2:$A$301,"&gt;="&amp;A41,Ausgangsrechnungen!$A$2:$A$301,"&lt;"&amp;EDATE(A41,1))</x:f>
        <x:v>0</x:v>
      </x:c>
      <x:c r="D41" s="71" t="n">
        <x:f>SUMIFS(Eingangsrechnungen!$G$2:$G$301,Eingangsrechnungen!$A$2:$A$301,"&gt;="&amp;A41,Eingangsrechnungen!$A$2:$A$301,"&lt;"&amp;EDATE(A41,1))</x:f>
        <x:v>0</x:v>
      </x:c>
      <x:c r="E41" s="71">
        <x:f t="shared" si="6"/>
        <x:v>0</x:v>
      </x:c>
      <x:c r="F41" s="71">
        <x:f t="shared" si="7"/>
        <x:v>0</x:v>
      </x:c>
      <x:c r="G41" s="71" t="str">
        <x:f t="shared" si="8"/>
        <x:v>Offen</x:v>
      </x:c>
      <x:c r="H41" s="71"/>
      <x:c r="I41" s="71" t="n">
        <x:f>COUNTIFS(Eingangsrechnungen!$A$2:$A$301,"&gt;="&amp;A41,Eingangsrechnungen!$A$2:$A$301,"&lt;"&amp;EDATE(A41,1),Eingangsrechnungen!$H$2:$H$301,"&gt;0",Eingangsrechnungen!$G$2:$G$301,"")</x:f>
        <x:v>0</x:v>
      </x:c>
      <x:c r="J41" s="71" t="str">
        <x:f t="shared" si="9"/>
        <x:v>Voraussichtliche Zahllast</x:v>
      </x:c>
    </x:row>
    <x:row r="42">
      <x:c r="A42" s="135">
        <x:v>47423</x:v>
      </x:c>
      <x:c r="B42" s="72">
        <x:f t="shared" si="5"/>
        <x:v>47493</x:v>
      </x:c>
      <x:c r="C42" s="72" t="n">
        <x:f>SUMIFS(Ausgangsrechnungen!$O$2:$O$301,Ausgangsrechnungen!$A$2:$A$301,"&gt;="&amp;A42,Ausgangsrechnungen!$A$2:$A$301,"&lt;"&amp;EDATE(A42,1))</x:f>
        <x:v>0</x:v>
      </x:c>
      <x:c r="D42" s="72" t="n">
        <x:f>SUMIFS(Eingangsrechnungen!$G$2:$G$301,Eingangsrechnungen!$A$2:$A$301,"&gt;="&amp;A42,Eingangsrechnungen!$A$2:$A$301,"&lt;"&amp;EDATE(A42,1))</x:f>
        <x:v>0</x:v>
      </x:c>
      <x:c r="E42" s="72">
        <x:f t="shared" si="6"/>
        <x:v>0</x:v>
      </x:c>
      <x:c r="F42" s="72">
        <x:f t="shared" si="7"/>
        <x:v>0</x:v>
      </x:c>
      <x:c r="G42" s="72" t="str">
        <x:f t="shared" si="8"/>
        <x:v>Offen</x:v>
      </x:c>
      <x:c r="H42" s="72"/>
      <x:c r="I42" s="72" t="n">
        <x:f>COUNTIFS(Eingangsrechnungen!$A$2:$A$301,"&gt;="&amp;A42,Eingangsrechnungen!$A$2:$A$301,"&lt;"&amp;EDATE(A42,1),Eingangsrechnungen!$H$2:$H$301,"&gt;0",Eingangsrechnungen!$G$2:$G$301,"")</x:f>
        <x:v>0</x:v>
      </x:c>
      <x:c r="J42" s="72" t="str">
        <x:f t="shared" si="9"/>
        <x:v>Voraussichtliche Zahllast</x:v>
      </x:c>
    </x:row>
    <x:row r="43">
      <x:c r="A43" s="133">
        <x:v>47453</x:v>
      </x:c>
      <x:c r="B43" s="71">
        <x:f t="shared" si="5"/>
        <x:v>47524</x:v>
      </x:c>
      <x:c r="C43" s="71" t="n">
        <x:f>SUMIFS(Ausgangsrechnungen!$O$2:$O$301,Ausgangsrechnungen!$A$2:$A$301,"&gt;="&amp;A43,Ausgangsrechnungen!$A$2:$A$301,"&lt;"&amp;EDATE(A43,1))</x:f>
        <x:v>0</x:v>
      </x:c>
      <x:c r="D43" s="71" t="n">
        <x:f>SUMIFS(Eingangsrechnungen!$G$2:$G$301,Eingangsrechnungen!$A$2:$A$301,"&gt;="&amp;A43,Eingangsrechnungen!$A$2:$A$301,"&lt;"&amp;EDATE(A43,1))</x:f>
        <x:v>0</x:v>
      </x:c>
      <x:c r="E43" s="71">
        <x:f t="shared" si="6"/>
        <x:v>0</x:v>
      </x:c>
      <x:c r="F43" s="71">
        <x:f t="shared" si="7"/>
        <x:v>0</x:v>
      </x:c>
      <x:c r="G43" s="71" t="str">
        <x:f t="shared" si="8"/>
        <x:v>Offen</x:v>
      </x:c>
      <x:c r="H43" s="71"/>
      <x:c r="I43" s="71" t="n">
        <x:f>COUNTIFS(Eingangsrechnungen!$A$2:$A$301,"&gt;="&amp;A43,Eingangsrechnungen!$A$2:$A$301,"&lt;"&amp;EDATE(A43,1),Eingangsrechnungen!$H$2:$H$301,"&gt;0",Eingangsrechnungen!$G$2:$G$301,"")</x:f>
        <x:v>0</x:v>
      </x:c>
      <x:c r="J43" s="71" t="str">
        <x:f t="shared" si="9"/>
        <x:v>Voraussichtliche Zahllast</x:v>
      </x:c>
    </x:row>
    <x:row r="44">
      <x:c r="A44" s="135">
        <x:v>47484</x:v>
      </x:c>
      <x:c r="B44" s="72">
        <x:f t="shared" si="5"/>
        <x:v>47552</x:v>
      </x:c>
      <x:c r="C44" s="72" t="n">
        <x:f>SUMIFS(Ausgangsrechnungen!$O$2:$O$301,Ausgangsrechnungen!$A$2:$A$301,"&gt;="&amp;A44,Ausgangsrechnungen!$A$2:$A$301,"&lt;"&amp;EDATE(A44,1))</x:f>
        <x:v>0</x:v>
      </x:c>
      <x:c r="D44" s="72" t="n">
        <x:f>SUMIFS(Eingangsrechnungen!$G$2:$G$301,Eingangsrechnungen!$A$2:$A$301,"&gt;="&amp;A44,Eingangsrechnungen!$A$2:$A$301,"&lt;"&amp;EDATE(A44,1))</x:f>
        <x:v>0</x:v>
      </x:c>
      <x:c r="E44" s="72">
        <x:f t="shared" si="6"/>
        <x:v>0</x:v>
      </x:c>
      <x:c r="F44" s="72">
        <x:f t="shared" si="7"/>
        <x:v>0</x:v>
      </x:c>
      <x:c r="G44" s="72" t="str">
        <x:f t="shared" si="8"/>
        <x:v>Offen</x:v>
      </x:c>
      <x:c r="H44" s="72"/>
      <x:c r="I44" s="72" t="n">
        <x:f>COUNTIFS(Eingangsrechnungen!$A$2:$A$301,"&gt;="&amp;A44,Eingangsrechnungen!$A$2:$A$301,"&lt;"&amp;EDATE(A44,1),Eingangsrechnungen!$H$2:$H$301,"&gt;0",Eingangsrechnungen!$G$2:$G$301,"")</x:f>
        <x:v>0</x:v>
      </x:c>
      <x:c r="J44" s="72" t="str">
        <x:f t="shared" si="9"/>
        <x:v>Voraussichtliche Zahllast</x:v>
      </x:c>
    </x:row>
    <x:row r="45">
      <x:c r="A45" s="133">
        <x:v>47515</x:v>
      </x:c>
      <x:c r="B45" s="71">
        <x:f t="shared" si="5"/>
        <x:v>47583</x:v>
      </x:c>
      <x:c r="C45" s="71" t="n">
        <x:f>SUMIFS(Ausgangsrechnungen!$O$2:$O$301,Ausgangsrechnungen!$A$2:$A$301,"&gt;="&amp;A45,Ausgangsrechnungen!$A$2:$A$301,"&lt;"&amp;EDATE(A45,1))</x:f>
        <x:v>0</x:v>
      </x:c>
      <x:c r="D45" s="71" t="n">
        <x:f>SUMIFS(Eingangsrechnungen!$G$2:$G$301,Eingangsrechnungen!$A$2:$A$301,"&gt;="&amp;A45,Eingangsrechnungen!$A$2:$A$301,"&lt;"&amp;EDATE(A45,1))</x:f>
        <x:v>0</x:v>
      </x:c>
      <x:c r="E45" s="71">
        <x:f t="shared" si="6"/>
        <x:v>0</x:v>
      </x:c>
      <x:c r="F45" s="71">
        <x:f t="shared" si="7"/>
        <x:v>0</x:v>
      </x:c>
      <x:c r="G45" s="71" t="str">
        <x:f t="shared" si="8"/>
        <x:v>Offen</x:v>
      </x:c>
      <x:c r="H45" s="71"/>
      <x:c r="I45" s="71" t="n">
        <x:f>COUNTIFS(Eingangsrechnungen!$A$2:$A$301,"&gt;="&amp;A45,Eingangsrechnungen!$A$2:$A$301,"&lt;"&amp;EDATE(A45,1),Eingangsrechnungen!$H$2:$H$301,"&gt;0",Eingangsrechnungen!$G$2:$G$301,"")</x:f>
        <x:v>0</x:v>
      </x:c>
      <x:c r="J45" s="71" t="str">
        <x:f t="shared" si="9"/>
        <x:v>Voraussichtliche Zahllast</x:v>
      </x:c>
    </x:row>
    <x:row r="46">
      <x:c r="A46" s="135">
        <x:v>47543</x:v>
      </x:c>
      <x:c r="B46" s="72">
        <x:f t="shared" si="5"/>
        <x:v>47613</x:v>
      </x:c>
      <x:c r="C46" s="72" t="n">
        <x:f>SUMIFS(Ausgangsrechnungen!$O$2:$O$301,Ausgangsrechnungen!$A$2:$A$301,"&gt;="&amp;A46,Ausgangsrechnungen!$A$2:$A$301,"&lt;"&amp;EDATE(A46,1))</x:f>
        <x:v>0</x:v>
      </x:c>
      <x:c r="D46" s="72" t="n">
        <x:f>SUMIFS(Eingangsrechnungen!$G$2:$G$301,Eingangsrechnungen!$A$2:$A$301,"&gt;="&amp;A46,Eingangsrechnungen!$A$2:$A$301,"&lt;"&amp;EDATE(A46,1))</x:f>
        <x:v>0</x:v>
      </x:c>
      <x:c r="E46" s="72">
        <x:f t="shared" si="6"/>
        <x:v>0</x:v>
      </x:c>
      <x:c r="F46" s="72">
        <x:f t="shared" si="7"/>
        <x:v>0</x:v>
      </x:c>
      <x:c r="G46" s="72" t="str">
        <x:f t="shared" si="8"/>
        <x:v>Offen</x:v>
      </x:c>
      <x:c r="H46" s="72"/>
      <x:c r="I46" s="72" t="n">
        <x:f>COUNTIFS(Eingangsrechnungen!$A$2:$A$301,"&gt;="&amp;A46,Eingangsrechnungen!$A$2:$A$301,"&lt;"&amp;EDATE(A46,1),Eingangsrechnungen!$H$2:$H$301,"&gt;0",Eingangsrechnungen!$G$2:$G$301,"")</x:f>
        <x:v>0</x:v>
      </x:c>
      <x:c r="J46" s="72" t="str">
        <x:f t="shared" si="9"/>
        <x:v>Voraussichtliche Zahllast</x:v>
      </x:c>
    </x:row>
    <x:row r="47">
      <x:c r="A47" s="133">
        <x:v>47574</x:v>
      </x:c>
      <x:c r="B47" s="71">
        <x:f t="shared" si="5"/>
        <x:v>47644</x:v>
      </x:c>
      <x:c r="C47" s="71" t="n">
        <x:f>SUMIFS(Ausgangsrechnungen!$O$2:$O$301,Ausgangsrechnungen!$A$2:$A$301,"&gt;="&amp;A47,Ausgangsrechnungen!$A$2:$A$301,"&lt;"&amp;EDATE(A47,1))</x:f>
        <x:v>0</x:v>
      </x:c>
      <x:c r="D47" s="71" t="n">
        <x:f>SUMIFS(Eingangsrechnungen!$G$2:$G$301,Eingangsrechnungen!$A$2:$A$301,"&gt;="&amp;A47,Eingangsrechnungen!$A$2:$A$301,"&lt;"&amp;EDATE(A47,1))</x:f>
        <x:v>0</x:v>
      </x:c>
      <x:c r="E47" s="71">
        <x:f t="shared" si="6"/>
        <x:v>0</x:v>
      </x:c>
      <x:c r="F47" s="71">
        <x:f t="shared" si="7"/>
        <x:v>0</x:v>
      </x:c>
      <x:c r="G47" s="71" t="str">
        <x:f t="shared" si="8"/>
        <x:v>Offen</x:v>
      </x:c>
      <x:c r="H47" s="71"/>
      <x:c r="I47" s="71" t="n">
        <x:f>COUNTIFS(Eingangsrechnungen!$A$2:$A$301,"&gt;="&amp;A47,Eingangsrechnungen!$A$2:$A$301,"&lt;"&amp;EDATE(A47,1),Eingangsrechnungen!$H$2:$H$301,"&gt;0",Eingangsrechnungen!$G$2:$G$301,"")</x:f>
        <x:v>0</x:v>
      </x:c>
      <x:c r="J47" s="71" t="str">
        <x:f t="shared" si="9"/>
        <x:v>Voraussichtliche Zahllast</x:v>
      </x:c>
    </x:row>
    <x:row r="48">
      <x:c r="A48" s="135">
        <x:v>47604</x:v>
      </x:c>
      <x:c r="B48" s="72">
        <x:f t="shared" si="5"/>
        <x:v>47674</x:v>
      </x:c>
      <x:c r="C48" s="72" t="n">
        <x:f>SUMIFS(Ausgangsrechnungen!$O$2:$O$301,Ausgangsrechnungen!$A$2:$A$301,"&gt;="&amp;A48,Ausgangsrechnungen!$A$2:$A$301,"&lt;"&amp;EDATE(A48,1))</x:f>
        <x:v>0</x:v>
      </x:c>
      <x:c r="D48" s="72" t="n">
        <x:f>SUMIFS(Eingangsrechnungen!$G$2:$G$301,Eingangsrechnungen!$A$2:$A$301,"&gt;="&amp;A48,Eingangsrechnungen!$A$2:$A$301,"&lt;"&amp;EDATE(A48,1))</x:f>
        <x:v>0</x:v>
      </x:c>
      <x:c r="E48" s="72">
        <x:f t="shared" si="6"/>
        <x:v>0</x:v>
      </x:c>
      <x:c r="F48" s="72">
        <x:f t="shared" si="7"/>
        <x:v>0</x:v>
      </x:c>
      <x:c r="G48" s="72" t="str">
        <x:f t="shared" si="8"/>
        <x:v>Offen</x:v>
      </x:c>
      <x:c r="H48" s="72"/>
      <x:c r="I48" s="72" t="n">
        <x:f>COUNTIFS(Eingangsrechnungen!$A$2:$A$301,"&gt;="&amp;A48,Eingangsrechnungen!$A$2:$A$301,"&lt;"&amp;EDATE(A48,1),Eingangsrechnungen!$H$2:$H$301,"&gt;0",Eingangsrechnungen!$G$2:$G$301,"")</x:f>
        <x:v>0</x:v>
      </x:c>
      <x:c r="J48" s="72" t="str">
        <x:f t="shared" si="9"/>
        <x:v>Voraussichtliche Zahllast</x:v>
      </x:c>
    </x:row>
    <x:row r="49">
      <x:c r="A49" s="133">
        <x:v>47635</x:v>
      </x:c>
      <x:c r="B49" s="71">
        <x:f t="shared" si="5"/>
        <x:v>47705</x:v>
      </x:c>
      <x:c r="C49" s="71" t="n">
        <x:f>SUMIFS(Ausgangsrechnungen!$O$2:$O$301,Ausgangsrechnungen!$A$2:$A$301,"&gt;="&amp;A49,Ausgangsrechnungen!$A$2:$A$301,"&lt;"&amp;EDATE(A49,1))</x:f>
        <x:v>0</x:v>
      </x:c>
      <x:c r="D49" s="71" t="n">
        <x:f>SUMIFS(Eingangsrechnungen!$G$2:$G$301,Eingangsrechnungen!$A$2:$A$301,"&gt;="&amp;A49,Eingangsrechnungen!$A$2:$A$301,"&lt;"&amp;EDATE(A49,1))</x:f>
        <x:v>0</x:v>
      </x:c>
      <x:c r="E49" s="71">
        <x:f t="shared" si="6"/>
        <x:v>0</x:v>
      </x:c>
      <x:c r="F49" s="71">
        <x:f t="shared" si="7"/>
        <x:v>0</x:v>
      </x:c>
      <x:c r="G49" s="71" t="str">
        <x:f t="shared" si="8"/>
        <x:v>Offen</x:v>
      </x:c>
      <x:c r="H49" s="71"/>
      <x:c r="I49" s="71" t="n">
        <x:f>COUNTIFS(Eingangsrechnungen!$A$2:$A$301,"&gt;="&amp;A49,Eingangsrechnungen!$A$2:$A$301,"&lt;"&amp;EDATE(A49,1),Eingangsrechnungen!$H$2:$H$301,"&gt;0",Eingangsrechnungen!$G$2:$G$301,"")</x:f>
        <x:v>0</x:v>
      </x:c>
      <x:c r="J49" s="71" t="str">
        <x:f t="shared" si="9"/>
        <x:v>Voraussichtliche Zahllast</x:v>
      </x:c>
    </x:row>
    <x:row r="50">
      <x:c r="A50" s="135">
        <x:v>47665</x:v>
      </x:c>
      <x:c r="B50" s="72">
        <x:f t="shared" si="5"/>
        <x:v>47736</x:v>
      </x:c>
      <x:c r="C50" s="72" t="n">
        <x:f>SUMIFS(Ausgangsrechnungen!$O$2:$O$301,Ausgangsrechnungen!$A$2:$A$301,"&gt;="&amp;A50,Ausgangsrechnungen!$A$2:$A$301,"&lt;"&amp;EDATE(A50,1))</x:f>
        <x:v>0</x:v>
      </x:c>
      <x:c r="D50" s="72" t="n">
        <x:f>SUMIFS(Eingangsrechnungen!$G$2:$G$301,Eingangsrechnungen!$A$2:$A$301,"&gt;="&amp;A50,Eingangsrechnungen!$A$2:$A$301,"&lt;"&amp;EDATE(A50,1))</x:f>
        <x:v>0</x:v>
      </x:c>
      <x:c r="E50" s="72">
        <x:f t="shared" si="6"/>
        <x:v>0</x:v>
      </x:c>
      <x:c r="F50" s="72">
        <x:f t="shared" si="7"/>
        <x:v>0</x:v>
      </x:c>
      <x:c r="G50" s="72" t="str">
        <x:f t="shared" si="8"/>
        <x:v>Offen</x:v>
      </x:c>
      <x:c r="H50" s="72"/>
      <x:c r="I50" s="72" t="n">
        <x:f>COUNTIFS(Eingangsrechnungen!$A$2:$A$301,"&gt;="&amp;A50,Eingangsrechnungen!$A$2:$A$301,"&lt;"&amp;EDATE(A50,1),Eingangsrechnungen!$H$2:$H$301,"&gt;0",Eingangsrechnungen!$G$2:$G$301,"")</x:f>
        <x:v>0</x:v>
      </x:c>
      <x:c r="J50" s="72" t="str">
        <x:f t="shared" si="9"/>
        <x:v>Voraussichtliche Zahllast</x:v>
      </x:c>
    </x:row>
    <x:row r="51">
      <x:c r="A51" s="133">
        <x:v>47696</x:v>
      </x:c>
      <x:c r="B51" s="71">
        <x:f t="shared" si="5"/>
        <x:v>47766</x:v>
      </x:c>
      <x:c r="C51" s="71" t="n">
        <x:f>SUMIFS(Ausgangsrechnungen!$O$2:$O$301,Ausgangsrechnungen!$A$2:$A$301,"&gt;="&amp;A51,Ausgangsrechnungen!$A$2:$A$301,"&lt;"&amp;EDATE(A51,1))</x:f>
        <x:v>0</x:v>
      </x:c>
      <x:c r="D51" s="71" t="n">
        <x:f>SUMIFS(Eingangsrechnungen!$G$2:$G$301,Eingangsrechnungen!$A$2:$A$301,"&gt;="&amp;A51,Eingangsrechnungen!$A$2:$A$301,"&lt;"&amp;EDATE(A51,1))</x:f>
        <x:v>0</x:v>
      </x:c>
      <x:c r="E51" s="71">
        <x:f t="shared" si="6"/>
        <x:v>0</x:v>
      </x:c>
      <x:c r="F51" s="71">
        <x:f t="shared" si="7"/>
        <x:v>0</x:v>
      </x:c>
      <x:c r="G51" s="71" t="str">
        <x:f t="shared" si="8"/>
        <x:v>Offen</x:v>
      </x:c>
      <x:c r="H51" s="71"/>
      <x:c r="I51" s="71" t="n">
        <x:f>COUNTIFS(Eingangsrechnungen!$A$2:$A$301,"&gt;="&amp;A51,Eingangsrechnungen!$A$2:$A$301,"&lt;"&amp;EDATE(A51,1),Eingangsrechnungen!$H$2:$H$301,"&gt;0",Eingangsrechnungen!$G$2:$G$301,"")</x:f>
        <x:v>0</x:v>
      </x:c>
      <x:c r="J51" s="71" t="str">
        <x:f t="shared" si="9"/>
        <x:v>Voraussichtliche Zahllast</x:v>
      </x:c>
    </x:row>
    <x:row r="52">
      <x:c r="A52" s="135">
        <x:v>47727</x:v>
      </x:c>
      <x:c r="B52" s="72">
        <x:f t="shared" si="5"/>
        <x:v>47797</x:v>
      </x:c>
      <x:c r="C52" s="72" t="n">
        <x:f>SUMIFS(Ausgangsrechnungen!$O$2:$O$301,Ausgangsrechnungen!$A$2:$A$301,"&gt;="&amp;A52,Ausgangsrechnungen!$A$2:$A$301,"&lt;"&amp;EDATE(A52,1))</x:f>
        <x:v>0</x:v>
      </x:c>
      <x:c r="D52" s="72" t="n">
        <x:f>SUMIFS(Eingangsrechnungen!$G$2:$G$301,Eingangsrechnungen!$A$2:$A$301,"&gt;="&amp;A52,Eingangsrechnungen!$A$2:$A$301,"&lt;"&amp;EDATE(A52,1))</x:f>
        <x:v>0</x:v>
      </x:c>
      <x:c r="E52" s="72">
        <x:f t="shared" si="6"/>
        <x:v>0</x:v>
      </x:c>
      <x:c r="F52" s="72">
        <x:f t="shared" si="7"/>
        <x:v>0</x:v>
      </x:c>
      <x:c r="G52" s="72" t="str">
        <x:f t="shared" si="8"/>
        <x:v>Offen</x:v>
      </x:c>
      <x:c r="H52" s="72"/>
      <x:c r="I52" s="72" t="n">
        <x:f>COUNTIFS(Eingangsrechnungen!$A$2:$A$301,"&gt;="&amp;A52,Eingangsrechnungen!$A$2:$A$301,"&lt;"&amp;EDATE(A52,1),Eingangsrechnungen!$H$2:$H$301,"&gt;0",Eingangsrechnungen!$G$2:$G$301,"")</x:f>
        <x:v>0</x:v>
      </x:c>
      <x:c r="J52" s="72" t="str">
        <x:f t="shared" si="9"/>
        <x:v>Voraussichtliche Zahllast</x:v>
      </x:c>
    </x:row>
    <x:row r="53">
      <x:c r="A53" s="133">
        <x:v>47757</x:v>
      </x:c>
      <x:c r="B53" s="71">
        <x:f t="shared" si="5"/>
        <x:v>47827</x:v>
      </x:c>
      <x:c r="C53" s="71" t="n">
        <x:f>SUMIFS(Ausgangsrechnungen!$O$2:$O$301,Ausgangsrechnungen!$A$2:$A$301,"&gt;="&amp;A53,Ausgangsrechnungen!$A$2:$A$301,"&lt;"&amp;EDATE(A53,1))</x:f>
        <x:v>0</x:v>
      </x:c>
      <x:c r="D53" s="71" t="n">
        <x:f>SUMIFS(Eingangsrechnungen!$G$2:$G$301,Eingangsrechnungen!$A$2:$A$301,"&gt;="&amp;A53,Eingangsrechnungen!$A$2:$A$301,"&lt;"&amp;EDATE(A53,1))</x:f>
        <x:v>0</x:v>
      </x:c>
      <x:c r="E53" s="71">
        <x:f t="shared" si="6"/>
        <x:v>0</x:v>
      </x:c>
      <x:c r="F53" s="71">
        <x:f t="shared" si="7"/>
        <x:v>0</x:v>
      </x:c>
      <x:c r="G53" s="71" t="str">
        <x:f t="shared" si="8"/>
        <x:v>Offen</x:v>
      </x:c>
      <x:c r="H53" s="71"/>
      <x:c r="I53" s="71" t="n">
        <x:f>COUNTIFS(Eingangsrechnungen!$A$2:$A$301,"&gt;="&amp;A53,Eingangsrechnungen!$A$2:$A$301,"&lt;"&amp;EDATE(A53,1),Eingangsrechnungen!$H$2:$H$301,"&gt;0",Eingangsrechnungen!$G$2:$G$301,"")</x:f>
        <x:v>0</x:v>
      </x:c>
      <x:c r="J53" s="71" t="str">
        <x:f t="shared" si="9"/>
        <x:v>Voraussichtliche Zahllast</x:v>
      </x:c>
    </x:row>
    <x:row r="54">
      <x:c r="A54" s="135">
        <x:v>47788</x:v>
      </x:c>
      <x:c r="B54" s="72">
        <x:f t="shared" si="5"/>
        <x:v>47858</x:v>
      </x:c>
      <x:c r="C54" s="72" t="n">
        <x:f>SUMIFS(Ausgangsrechnungen!$O$2:$O$301,Ausgangsrechnungen!$A$2:$A$301,"&gt;="&amp;A54,Ausgangsrechnungen!$A$2:$A$301,"&lt;"&amp;EDATE(A54,1))</x:f>
        <x:v>0</x:v>
      </x:c>
      <x:c r="D54" s="72" t="n">
        <x:f>SUMIFS(Eingangsrechnungen!$G$2:$G$301,Eingangsrechnungen!$A$2:$A$301,"&gt;="&amp;A54,Eingangsrechnungen!$A$2:$A$301,"&lt;"&amp;EDATE(A54,1))</x:f>
        <x:v>0</x:v>
      </x:c>
      <x:c r="E54" s="72">
        <x:f t="shared" si="6"/>
        <x:v>0</x:v>
      </x:c>
      <x:c r="F54" s="72">
        <x:f t="shared" si="7"/>
        <x:v>0</x:v>
      </x:c>
      <x:c r="G54" s="72" t="str">
        <x:f t="shared" si="8"/>
        <x:v>Offen</x:v>
      </x:c>
      <x:c r="H54" s="72"/>
      <x:c r="I54" s="72" t="n">
        <x:f>COUNTIFS(Eingangsrechnungen!$A$2:$A$301,"&gt;="&amp;A54,Eingangsrechnungen!$A$2:$A$301,"&lt;"&amp;EDATE(A54,1),Eingangsrechnungen!$H$2:$H$301,"&gt;0",Eingangsrechnungen!$G$2:$G$301,"")</x:f>
        <x:v>0</x:v>
      </x:c>
      <x:c r="J54" s="72" t="str">
        <x:f t="shared" si="9"/>
        <x:v>Voraussichtliche Zahllast</x:v>
      </x:c>
    </x:row>
    <x:row r="55">
      <x:c r="A55" s="133">
        <x:v>47818</x:v>
      </x:c>
      <x:c r="B55" s="71">
        <x:f t="shared" si="5"/>
        <x:v>47889</x:v>
      </x:c>
      <x:c r="C55" s="71" t="n">
        <x:f>SUMIFS(Ausgangsrechnungen!$O$2:$O$301,Ausgangsrechnungen!$A$2:$A$301,"&gt;="&amp;A55,Ausgangsrechnungen!$A$2:$A$301,"&lt;"&amp;EDATE(A55,1))</x:f>
        <x:v>0</x:v>
      </x:c>
      <x:c r="D55" s="71" t="n">
        <x:f>SUMIFS(Eingangsrechnungen!$G$2:$G$301,Eingangsrechnungen!$A$2:$A$301,"&gt;="&amp;A55,Eingangsrechnungen!$A$2:$A$301,"&lt;"&amp;EDATE(A55,1))</x:f>
        <x:v>0</x:v>
      </x:c>
      <x:c r="E55" s="71">
        <x:f t="shared" si="6"/>
        <x:v>0</x:v>
      </x:c>
      <x:c r="F55" s="71">
        <x:f t="shared" si="7"/>
        <x:v>0</x:v>
      </x:c>
      <x:c r="G55" s="71" t="str">
        <x:f t="shared" si="8"/>
        <x:v>Offen</x:v>
      </x:c>
      <x:c r="H55" s="71"/>
      <x:c r="I55" s="71" t="n">
        <x:f>COUNTIFS(Eingangsrechnungen!$A$2:$A$301,"&gt;="&amp;A55,Eingangsrechnungen!$A$2:$A$301,"&lt;"&amp;EDATE(A55,1),Eingangsrechnungen!$H$2:$H$301,"&gt;0",Eingangsrechnungen!$G$2:$G$301,"")</x:f>
        <x:v>0</x:v>
      </x:c>
      <x:c r="J55" s="71" t="str">
        <x:f t="shared" si="9"/>
        <x:v>Voraussichtliche Zahllast</x:v>
      </x:c>
    </x:row>
    <x:row r="56">
      <x:c r="A56" s="135">
        <x:v>47849</x:v>
      </x:c>
      <x:c r="B56" s="72">
        <x:f t="shared" si="5"/>
        <x:v>47917</x:v>
      </x:c>
      <x:c r="C56" s="72" t="n">
        <x:f>SUMIFS(Ausgangsrechnungen!$O$2:$O$301,Ausgangsrechnungen!$A$2:$A$301,"&gt;="&amp;A56,Ausgangsrechnungen!$A$2:$A$301,"&lt;"&amp;EDATE(A56,1))</x:f>
        <x:v>0</x:v>
      </x:c>
      <x:c r="D56" s="72" t="n">
        <x:f>SUMIFS(Eingangsrechnungen!$G$2:$G$301,Eingangsrechnungen!$A$2:$A$301,"&gt;="&amp;A56,Eingangsrechnungen!$A$2:$A$301,"&lt;"&amp;EDATE(A56,1))</x:f>
        <x:v>0</x:v>
      </x:c>
      <x:c r="E56" s="72">
        <x:f t="shared" si="6"/>
        <x:v>0</x:v>
      </x:c>
      <x:c r="F56" s="72">
        <x:f t="shared" si="7"/>
        <x:v>0</x:v>
      </x:c>
      <x:c r="G56" s="72" t="str">
        <x:f t="shared" si="8"/>
        <x:v>Offen</x:v>
      </x:c>
      <x:c r="H56" s="72"/>
      <x:c r="I56" s="72" t="n">
        <x:f>COUNTIFS(Eingangsrechnungen!$A$2:$A$301,"&gt;="&amp;A56,Eingangsrechnungen!$A$2:$A$301,"&lt;"&amp;EDATE(A56,1),Eingangsrechnungen!$H$2:$H$301,"&gt;0",Eingangsrechnungen!$G$2:$G$301,"")</x:f>
        <x:v>0</x:v>
      </x:c>
      <x:c r="J56" s="72" t="str">
        <x:f t="shared" si="9"/>
        <x:v>Voraussichtliche Zahllast</x:v>
      </x:c>
    </x:row>
    <x:row r="57">
      <x:c r="A57" s="133">
        <x:v>47880</x:v>
      </x:c>
      <x:c r="B57" s="71">
        <x:f t="shared" si="5"/>
        <x:v>47948</x:v>
      </x:c>
      <x:c r="C57" s="71" t="n">
        <x:f>SUMIFS(Ausgangsrechnungen!$O$2:$O$301,Ausgangsrechnungen!$A$2:$A$301,"&gt;="&amp;A57,Ausgangsrechnungen!$A$2:$A$301,"&lt;"&amp;EDATE(A57,1))</x:f>
        <x:v>0</x:v>
      </x:c>
      <x:c r="D57" s="71" t="n">
        <x:f>SUMIFS(Eingangsrechnungen!$G$2:$G$301,Eingangsrechnungen!$A$2:$A$301,"&gt;="&amp;A57,Eingangsrechnungen!$A$2:$A$301,"&lt;"&amp;EDATE(A57,1))</x:f>
        <x:v>0</x:v>
      </x:c>
      <x:c r="E57" s="71">
        <x:f t="shared" si="6"/>
        <x:v>0</x:v>
      </x:c>
      <x:c r="F57" s="71">
        <x:f t="shared" si="7"/>
        <x:v>0</x:v>
      </x:c>
      <x:c r="G57" s="71" t="str">
        <x:f t="shared" si="8"/>
        <x:v>Offen</x:v>
      </x:c>
      <x:c r="H57" s="71"/>
      <x:c r="I57" s="71" t="n">
        <x:f>COUNTIFS(Eingangsrechnungen!$A$2:$A$301,"&gt;="&amp;A57,Eingangsrechnungen!$A$2:$A$301,"&lt;"&amp;EDATE(A57,1),Eingangsrechnungen!$H$2:$H$301,"&gt;0",Eingangsrechnungen!$G$2:$G$301,"")</x:f>
        <x:v>0</x:v>
      </x:c>
      <x:c r="J57" s="71" t="str">
        <x:f t="shared" si="9"/>
        <x:v>Voraussichtliche Zahllast</x:v>
      </x:c>
    </x:row>
    <x:row r="58">
      <x:c r="A58" s="135">
        <x:v>47908</x:v>
      </x:c>
      <x:c r="B58" s="72">
        <x:f t="shared" si="5"/>
        <x:v>47978</x:v>
      </x:c>
      <x:c r="C58" s="72" t="n">
        <x:f>SUMIFS(Ausgangsrechnungen!$O$2:$O$301,Ausgangsrechnungen!$A$2:$A$301,"&gt;="&amp;A58,Ausgangsrechnungen!$A$2:$A$301,"&lt;"&amp;EDATE(A58,1))</x:f>
        <x:v>0</x:v>
      </x:c>
      <x:c r="D58" s="72" t="n">
        <x:f>SUMIFS(Eingangsrechnungen!$G$2:$G$301,Eingangsrechnungen!$A$2:$A$301,"&gt;="&amp;A58,Eingangsrechnungen!$A$2:$A$301,"&lt;"&amp;EDATE(A58,1))</x:f>
        <x:v>0</x:v>
      </x:c>
      <x:c r="E58" s="72">
        <x:f t="shared" si="6"/>
        <x:v>0</x:v>
      </x:c>
      <x:c r="F58" s="72">
        <x:f t="shared" si="7"/>
        <x:v>0</x:v>
      </x:c>
      <x:c r="G58" s="72" t="str">
        <x:f t="shared" si="8"/>
        <x:v>Offen</x:v>
      </x:c>
      <x:c r="H58" s="72"/>
      <x:c r="I58" s="72" t="n">
        <x:f>COUNTIFS(Eingangsrechnungen!$A$2:$A$301,"&gt;="&amp;A58,Eingangsrechnungen!$A$2:$A$301,"&lt;"&amp;EDATE(A58,1),Eingangsrechnungen!$H$2:$H$301,"&gt;0",Eingangsrechnungen!$G$2:$G$301,"")</x:f>
        <x:v>0</x:v>
      </x:c>
      <x:c r="J58" s="72" t="str">
        <x:f t="shared" si="9"/>
        <x:v>Voraussichtliche Zahllast</x:v>
      </x:c>
    </x:row>
    <x:row r="59">
      <x:c r="A59" s="133">
        <x:v>47939</x:v>
      </x:c>
      <x:c r="B59" s="71">
        <x:f t="shared" si="5"/>
        <x:v>48009</x:v>
      </x:c>
      <x:c r="C59" s="71" t="n">
        <x:f>SUMIFS(Ausgangsrechnungen!$O$2:$O$301,Ausgangsrechnungen!$A$2:$A$301,"&gt;="&amp;A59,Ausgangsrechnungen!$A$2:$A$301,"&lt;"&amp;EDATE(A59,1))</x:f>
        <x:v>0</x:v>
      </x:c>
      <x:c r="D59" s="71" t="n">
        <x:f>SUMIFS(Eingangsrechnungen!$G$2:$G$301,Eingangsrechnungen!$A$2:$A$301,"&gt;="&amp;A59,Eingangsrechnungen!$A$2:$A$301,"&lt;"&amp;EDATE(A59,1))</x:f>
        <x:v>0</x:v>
      </x:c>
      <x:c r="E59" s="71">
        <x:f t="shared" si="6"/>
        <x:v>0</x:v>
      </x:c>
      <x:c r="F59" s="71">
        <x:f t="shared" si="7"/>
        <x:v>0</x:v>
      </x:c>
      <x:c r="G59" s="71" t="str">
        <x:f t="shared" si="8"/>
        <x:v>Offen</x:v>
      </x:c>
      <x:c r="H59" s="71"/>
      <x:c r="I59" s="71" t="n">
        <x:f>COUNTIFS(Eingangsrechnungen!$A$2:$A$301,"&gt;="&amp;A59,Eingangsrechnungen!$A$2:$A$301,"&lt;"&amp;EDATE(A59,1),Eingangsrechnungen!$H$2:$H$301,"&gt;0",Eingangsrechnungen!$G$2:$G$301,"")</x:f>
        <x:v>0</x:v>
      </x:c>
      <x:c r="J59" s="71" t="str">
        <x:f t="shared" si="9"/>
        <x:v>Voraussichtliche Zahllast</x:v>
      </x:c>
    </x:row>
    <x:row r="60">
      <x:c r="A60" s="135">
        <x:v>47969</x:v>
      </x:c>
      <x:c r="B60" s="72">
        <x:f t="shared" si="5"/>
        <x:v>48039</x:v>
      </x:c>
      <x:c r="C60" s="72" t="n">
        <x:f>SUMIFS(Ausgangsrechnungen!$O$2:$O$301,Ausgangsrechnungen!$A$2:$A$301,"&gt;="&amp;A60,Ausgangsrechnungen!$A$2:$A$301,"&lt;"&amp;EDATE(A60,1))</x:f>
        <x:v>0</x:v>
      </x:c>
      <x:c r="D60" s="72" t="n">
        <x:f>SUMIFS(Eingangsrechnungen!$G$2:$G$301,Eingangsrechnungen!$A$2:$A$301,"&gt;="&amp;A60,Eingangsrechnungen!$A$2:$A$301,"&lt;"&amp;EDATE(A60,1))</x:f>
        <x:v>0</x:v>
      </x:c>
      <x:c r="E60" s="72">
        <x:f t="shared" si="6"/>
        <x:v>0</x:v>
      </x:c>
      <x:c r="F60" s="72">
        <x:f t="shared" si="7"/>
        <x:v>0</x:v>
      </x:c>
      <x:c r="G60" s="72" t="str">
        <x:f t="shared" si="8"/>
        <x:v>Offen</x:v>
      </x:c>
      <x:c r="H60" s="72"/>
      <x:c r="I60" s="72" t="n">
        <x:f>COUNTIFS(Eingangsrechnungen!$A$2:$A$301,"&gt;="&amp;A60,Eingangsrechnungen!$A$2:$A$301,"&lt;"&amp;EDATE(A60,1),Eingangsrechnungen!$H$2:$H$301,"&gt;0",Eingangsrechnungen!$G$2:$G$301,"")</x:f>
        <x:v>0</x:v>
      </x:c>
      <x:c r="J60" s="72" t="str">
        <x:f t="shared" si="9"/>
        <x:v>Voraussichtliche Zahllast</x:v>
      </x:c>
    </x:row>
    <x:row r="61">
      <x:c r="A61" s="133">
        <x:v>48000</x:v>
      </x:c>
      <x:c r="B61" s="71">
        <x:f t="shared" si="5"/>
        <x:v>48070</x:v>
      </x:c>
      <x:c r="C61" s="71" t="n">
        <x:f>SUMIFS(Ausgangsrechnungen!$O$2:$O$301,Ausgangsrechnungen!$A$2:$A$301,"&gt;="&amp;A61,Ausgangsrechnungen!$A$2:$A$301,"&lt;"&amp;EDATE(A61,1))</x:f>
        <x:v>0</x:v>
      </x:c>
      <x:c r="D61" s="71" t="n">
        <x:f>SUMIFS(Eingangsrechnungen!$G$2:$G$301,Eingangsrechnungen!$A$2:$A$301,"&gt;="&amp;A61,Eingangsrechnungen!$A$2:$A$301,"&lt;"&amp;EDATE(A61,1))</x:f>
        <x:v>0</x:v>
      </x:c>
      <x:c r="E61" s="71">
        <x:f t="shared" si="6"/>
        <x:v>0</x:v>
      </x:c>
      <x:c r="F61" s="71">
        <x:f t="shared" si="7"/>
        <x:v>0</x:v>
      </x:c>
      <x:c r="G61" s="71" t="str">
        <x:f t="shared" si="8"/>
        <x:v>Offen</x:v>
      </x:c>
      <x:c r="H61" s="71"/>
      <x:c r="I61" s="71" t="n">
        <x:f>COUNTIFS(Eingangsrechnungen!$A$2:$A$301,"&gt;="&amp;A61,Eingangsrechnungen!$A$2:$A$301,"&lt;"&amp;EDATE(A61,1),Eingangsrechnungen!$H$2:$H$301,"&gt;0",Eingangsrechnungen!$G$2:$G$301,"")</x:f>
        <x:v>0</x:v>
      </x:c>
      <x:c r="J61" s="71" t="str">
        <x:f t="shared" si="9"/>
        <x:v>Voraussichtliche Zahllast</x:v>
      </x:c>
    </x:row>
    <x:row r="62">
      <x:c r="A62" s="135">
        <x:v>48030</x:v>
      </x:c>
      <x:c r="B62" s="72">
        <x:f t="shared" si="5"/>
        <x:v>48101</x:v>
      </x:c>
      <x:c r="C62" s="72" t="n">
        <x:f>SUMIFS(Ausgangsrechnungen!$O$2:$O$301,Ausgangsrechnungen!$A$2:$A$301,"&gt;="&amp;A62,Ausgangsrechnungen!$A$2:$A$301,"&lt;"&amp;EDATE(A62,1))</x:f>
        <x:v>0</x:v>
      </x:c>
      <x:c r="D62" s="72" t="n">
        <x:f>SUMIFS(Eingangsrechnungen!$G$2:$G$301,Eingangsrechnungen!$A$2:$A$301,"&gt;="&amp;A62,Eingangsrechnungen!$A$2:$A$301,"&lt;"&amp;EDATE(A62,1))</x:f>
        <x:v>0</x:v>
      </x:c>
      <x:c r="E62" s="72">
        <x:f t="shared" si="6"/>
        <x:v>0</x:v>
      </x:c>
      <x:c r="F62" s="72">
        <x:f t="shared" si="7"/>
        <x:v>0</x:v>
      </x:c>
      <x:c r="G62" s="72" t="str">
        <x:f t="shared" si="8"/>
        <x:v>Offen</x:v>
      </x:c>
      <x:c r="H62" s="72"/>
      <x:c r="I62" s="72" t="n">
        <x:f>COUNTIFS(Eingangsrechnungen!$A$2:$A$301,"&gt;="&amp;A62,Eingangsrechnungen!$A$2:$A$301,"&lt;"&amp;EDATE(A62,1),Eingangsrechnungen!$H$2:$H$301,"&gt;0",Eingangsrechnungen!$G$2:$G$301,"")</x:f>
        <x:v>0</x:v>
      </x:c>
      <x:c r="J62" s="72" t="str">
        <x:f t="shared" si="9"/>
        <x:v>Voraussichtliche Zahllast</x:v>
      </x:c>
    </x:row>
    <x:row r="63">
      <x:c r="A63" s="133">
        <x:v>48061</x:v>
      </x:c>
      <x:c r="B63" s="71">
        <x:f t="shared" si="5"/>
        <x:v>48131</x:v>
      </x:c>
      <x:c r="C63" s="71" t="n">
        <x:f>SUMIFS(Ausgangsrechnungen!$O$2:$O$301,Ausgangsrechnungen!$A$2:$A$301,"&gt;="&amp;A63,Ausgangsrechnungen!$A$2:$A$301,"&lt;"&amp;EDATE(A63,1))</x:f>
        <x:v>0</x:v>
      </x:c>
      <x:c r="D63" s="71" t="n">
        <x:f>SUMIFS(Eingangsrechnungen!$G$2:$G$301,Eingangsrechnungen!$A$2:$A$301,"&gt;="&amp;A63,Eingangsrechnungen!$A$2:$A$301,"&lt;"&amp;EDATE(A63,1))</x:f>
        <x:v>0</x:v>
      </x:c>
      <x:c r="E63" s="71">
        <x:f t="shared" si="6"/>
        <x:v>0</x:v>
      </x:c>
      <x:c r="F63" s="71">
        <x:f t="shared" si="7"/>
        <x:v>0</x:v>
      </x:c>
      <x:c r="G63" s="71" t="str">
        <x:f t="shared" si="8"/>
        <x:v>Offen</x:v>
      </x:c>
      <x:c r="H63" s="71"/>
      <x:c r="I63" s="71" t="n">
        <x:f>COUNTIFS(Eingangsrechnungen!$A$2:$A$301,"&gt;="&amp;A63,Eingangsrechnungen!$A$2:$A$301,"&lt;"&amp;EDATE(A63,1),Eingangsrechnungen!$H$2:$H$301,"&gt;0",Eingangsrechnungen!$G$2:$G$301,"")</x:f>
        <x:v>0</x:v>
      </x:c>
      <x:c r="J63" s="71" t="str">
        <x:f t="shared" si="9"/>
        <x:v>Voraussichtliche Zahllast</x:v>
      </x:c>
    </x:row>
    <x:row r="64">
      <x:c r="A64" s="135">
        <x:v>48092</x:v>
      </x:c>
      <x:c r="B64" s="72">
        <x:f t="shared" si="5"/>
        <x:v>48162</x:v>
      </x:c>
      <x:c r="C64" s="72" t="n">
        <x:f>SUMIFS(Ausgangsrechnungen!$O$2:$O$301,Ausgangsrechnungen!$A$2:$A$301,"&gt;="&amp;A64,Ausgangsrechnungen!$A$2:$A$301,"&lt;"&amp;EDATE(A64,1))</x:f>
        <x:v>0</x:v>
      </x:c>
      <x:c r="D64" s="72" t="n">
        <x:f>SUMIFS(Eingangsrechnungen!$G$2:$G$301,Eingangsrechnungen!$A$2:$A$301,"&gt;="&amp;A64,Eingangsrechnungen!$A$2:$A$301,"&lt;"&amp;EDATE(A64,1))</x:f>
        <x:v>0</x:v>
      </x:c>
      <x:c r="E64" s="72">
        <x:f t="shared" si="6"/>
        <x:v>0</x:v>
      </x:c>
      <x:c r="F64" s="72">
        <x:f t="shared" si="7"/>
        <x:v>0</x:v>
      </x:c>
      <x:c r="G64" s="72" t="str">
        <x:f t="shared" si="8"/>
        <x:v>Offen</x:v>
      </x:c>
      <x:c r="H64" s="72"/>
      <x:c r="I64" s="72" t="n">
        <x:f>COUNTIFS(Eingangsrechnungen!$A$2:$A$301,"&gt;="&amp;A64,Eingangsrechnungen!$A$2:$A$301,"&lt;"&amp;EDATE(A64,1),Eingangsrechnungen!$H$2:$H$301,"&gt;0",Eingangsrechnungen!$G$2:$G$301,"")</x:f>
        <x:v>0</x:v>
      </x:c>
      <x:c r="J64" s="72" t="str">
        <x:f t="shared" si="9"/>
        <x:v>Voraussichtliche Zahllast</x:v>
      </x:c>
    </x:row>
    <x:row r="65">
      <x:c r="A65" s="133">
        <x:v>48122</x:v>
      </x:c>
      <x:c r="B65" s="71">
        <x:f t="shared" si="5"/>
        <x:v>48192</x:v>
      </x:c>
      <x:c r="C65" s="71" t="n">
        <x:f>SUMIFS(Ausgangsrechnungen!$O$2:$O$301,Ausgangsrechnungen!$A$2:$A$301,"&gt;="&amp;A65,Ausgangsrechnungen!$A$2:$A$301,"&lt;"&amp;EDATE(A65,1))</x:f>
        <x:v>0</x:v>
      </x:c>
      <x:c r="D65" s="71" t="n">
        <x:f>SUMIFS(Eingangsrechnungen!$G$2:$G$301,Eingangsrechnungen!$A$2:$A$301,"&gt;="&amp;A65,Eingangsrechnungen!$A$2:$A$301,"&lt;"&amp;EDATE(A65,1))</x:f>
        <x:v>0</x:v>
      </x:c>
      <x:c r="E65" s="71">
        <x:f t="shared" si="6"/>
        <x:v>0</x:v>
      </x:c>
      <x:c r="F65" s="71">
        <x:f t="shared" si="7"/>
        <x:v>0</x:v>
      </x:c>
      <x:c r="G65" s="71" t="str">
        <x:f t="shared" si="8"/>
        <x:v>Offen</x:v>
      </x:c>
      <x:c r="H65" s="71"/>
      <x:c r="I65" s="71" t="n">
        <x:f>COUNTIFS(Eingangsrechnungen!$A$2:$A$301,"&gt;="&amp;A65,Eingangsrechnungen!$A$2:$A$301,"&lt;"&amp;EDATE(A65,1),Eingangsrechnungen!$H$2:$H$301,"&gt;0",Eingangsrechnungen!$G$2:$G$301,"")</x:f>
        <x:v>0</x:v>
      </x:c>
      <x:c r="J65" s="71" t="str">
        <x:f t="shared" si="9"/>
        <x:v>Voraussichtliche Zahllast</x:v>
      </x:c>
    </x:row>
    <x:row r="66">
      <x:c r="A66" s="135">
        <x:v>48153</x:v>
      </x:c>
      <x:c r="B66" s="72" t="n">
        <x:f t="shared" ref="B66:B97" si="10">DATE(YEAR(EDATE(A66,2)),MONTH(EDATE(A66,2)),10)</x:f>
        <x:v>48223</x:v>
      </x:c>
      <x:c r="C66" s="72" t="n">
        <x:f>SUMIFS(Ausgangsrechnungen!$O$2:$O$301,Ausgangsrechnungen!$A$2:$A$301,"&gt;="&amp;A66,Ausgangsrechnungen!$A$2:$A$301,"&lt;"&amp;EDATE(A66,1))</x:f>
        <x:v>0</x:v>
      </x:c>
      <x:c r="D66" s="72" t="n">
        <x:f>SUMIFS(Eingangsrechnungen!$G$2:$G$301,Eingangsrechnungen!$A$2:$A$301,"&gt;="&amp;A66,Eingangsrechnungen!$A$2:$A$301,"&lt;"&amp;EDATE(A66,1))</x:f>
        <x:v>0</x:v>
      </x:c>
      <x:c r="E66" s="72" t="n">
        <x:f t="shared" ref="E66:E97" si="11">C66-D66</x:f>
        <x:v>0</x:v>
      </x:c>
      <x:c r="F66" s="72" t="n">
        <x:f t="shared" ref="F66:F97" si="12">MAX(0,E66)</x:f>
        <x:v>0</x:v>
      </x:c>
      <x:c r="G66" s="72" t="str">
        <x:f t="shared" ref="G66:G97" si="13">IF(H66&lt;&gt;"","Bezahlt","Offen")</x:f>
        <x:v>Offen</x:v>
      </x:c>
      <x:c r="H66" s="72"/>
      <x:c r="I66" s="72" t="n">
        <x:f>COUNTIFS(Eingangsrechnungen!$A$2:$A$301,"&gt;="&amp;A66,Eingangsrechnungen!$A$2:$A$301,"&lt;"&amp;EDATE(A66,1),Eingangsrechnungen!$H$2:$H$301,"&gt;0",Eingangsrechnungen!$G$2:$G$301,"")</x:f>
        <x:v>0</x:v>
      </x:c>
      <x:c r="J66" s="72" t="str">
        <x:f t="shared" ref="J66:J97" si="14">IF(I66&gt;0,"Vorsteuer bei "&amp;I66&amp;" Eingangsrechnung(en) fehlt",IF(E66&lt;0,"Voraussichtliche Erstattung","Voraussichtliche Zahllast"))</x:f>
        <x:v>Voraussichtliche Zahllast</x:v>
      </x:c>
    </x:row>
    <x:row r="67">
      <x:c r="A67" s="133">
        <x:v>48183</x:v>
      </x:c>
      <x:c r="B67" s="71">
        <x:f t="shared" si="10"/>
        <x:v>48254</x:v>
      </x:c>
      <x:c r="C67" s="71" t="n">
        <x:f>SUMIFS(Ausgangsrechnungen!$O$2:$O$301,Ausgangsrechnungen!$A$2:$A$301,"&gt;="&amp;A67,Ausgangsrechnungen!$A$2:$A$301,"&lt;"&amp;EDATE(A67,1))</x:f>
        <x:v>0</x:v>
      </x:c>
      <x:c r="D67" s="71" t="n">
        <x:f>SUMIFS(Eingangsrechnungen!$G$2:$G$301,Eingangsrechnungen!$A$2:$A$301,"&gt;="&amp;A67,Eingangsrechnungen!$A$2:$A$301,"&lt;"&amp;EDATE(A67,1))</x:f>
        <x:v>0</x:v>
      </x:c>
      <x:c r="E67" s="71">
        <x:f t="shared" si="11"/>
        <x:v>0</x:v>
      </x:c>
      <x:c r="F67" s="71">
        <x:f t="shared" si="12"/>
        <x:v>0</x:v>
      </x:c>
      <x:c r="G67" s="71" t="str">
        <x:f t="shared" si="13"/>
        <x:v>Offen</x:v>
      </x:c>
      <x:c r="H67" s="71"/>
      <x:c r="I67" s="71" t="n">
        <x:f>COUNTIFS(Eingangsrechnungen!$A$2:$A$301,"&gt;="&amp;A67,Eingangsrechnungen!$A$2:$A$301,"&lt;"&amp;EDATE(A67,1),Eingangsrechnungen!$H$2:$H$301,"&gt;0",Eingangsrechnungen!$G$2:$G$301,"")</x:f>
        <x:v>0</x:v>
      </x:c>
      <x:c r="J67" s="71" t="str">
        <x:f t="shared" si="14"/>
        <x:v>Voraussichtliche Zahllast</x:v>
      </x:c>
    </x:row>
    <x:row r="68">
      <x:c r="A68" s="135">
        <x:v>48214</x:v>
      </x:c>
      <x:c r="B68" s="72">
        <x:f t="shared" si="10"/>
        <x:v>48283</x:v>
      </x:c>
      <x:c r="C68" s="72" t="n">
        <x:f>SUMIFS(Ausgangsrechnungen!$O$2:$O$301,Ausgangsrechnungen!$A$2:$A$301,"&gt;="&amp;A68,Ausgangsrechnungen!$A$2:$A$301,"&lt;"&amp;EDATE(A68,1))</x:f>
        <x:v>0</x:v>
      </x:c>
      <x:c r="D68" s="72" t="n">
        <x:f>SUMIFS(Eingangsrechnungen!$G$2:$G$301,Eingangsrechnungen!$A$2:$A$301,"&gt;="&amp;A68,Eingangsrechnungen!$A$2:$A$301,"&lt;"&amp;EDATE(A68,1))</x:f>
        <x:v>0</x:v>
      </x:c>
      <x:c r="E68" s="72">
        <x:f t="shared" si="11"/>
        <x:v>0</x:v>
      </x:c>
      <x:c r="F68" s="72">
        <x:f t="shared" si="12"/>
        <x:v>0</x:v>
      </x:c>
      <x:c r="G68" s="72" t="str">
        <x:f t="shared" si="13"/>
        <x:v>Offen</x:v>
      </x:c>
      <x:c r="H68" s="72"/>
      <x:c r="I68" s="72" t="n">
        <x:f>COUNTIFS(Eingangsrechnungen!$A$2:$A$301,"&gt;="&amp;A68,Eingangsrechnungen!$A$2:$A$301,"&lt;"&amp;EDATE(A68,1),Eingangsrechnungen!$H$2:$H$301,"&gt;0",Eingangsrechnungen!$G$2:$G$301,"")</x:f>
        <x:v>0</x:v>
      </x:c>
      <x:c r="J68" s="72" t="str">
        <x:f t="shared" si="14"/>
        <x:v>Voraussichtliche Zahllast</x:v>
      </x:c>
    </x:row>
    <x:row r="69">
      <x:c r="A69" s="133">
        <x:v>48245</x:v>
      </x:c>
      <x:c r="B69" s="71">
        <x:f t="shared" si="10"/>
        <x:v>48314</x:v>
      </x:c>
      <x:c r="C69" s="71" t="n">
        <x:f>SUMIFS(Ausgangsrechnungen!$O$2:$O$301,Ausgangsrechnungen!$A$2:$A$301,"&gt;="&amp;A69,Ausgangsrechnungen!$A$2:$A$301,"&lt;"&amp;EDATE(A69,1))</x:f>
        <x:v>0</x:v>
      </x:c>
      <x:c r="D69" s="71" t="n">
        <x:f>SUMIFS(Eingangsrechnungen!$G$2:$G$301,Eingangsrechnungen!$A$2:$A$301,"&gt;="&amp;A69,Eingangsrechnungen!$A$2:$A$301,"&lt;"&amp;EDATE(A69,1))</x:f>
        <x:v>0</x:v>
      </x:c>
      <x:c r="E69" s="71">
        <x:f t="shared" si="11"/>
        <x:v>0</x:v>
      </x:c>
      <x:c r="F69" s="71">
        <x:f t="shared" si="12"/>
        <x:v>0</x:v>
      </x:c>
      <x:c r="G69" s="71" t="str">
        <x:f t="shared" si="13"/>
        <x:v>Offen</x:v>
      </x:c>
      <x:c r="H69" s="71"/>
      <x:c r="I69" s="71" t="n">
        <x:f>COUNTIFS(Eingangsrechnungen!$A$2:$A$301,"&gt;="&amp;A69,Eingangsrechnungen!$A$2:$A$301,"&lt;"&amp;EDATE(A69,1),Eingangsrechnungen!$H$2:$H$301,"&gt;0",Eingangsrechnungen!$G$2:$G$301,"")</x:f>
        <x:v>0</x:v>
      </x:c>
      <x:c r="J69" s="71" t="str">
        <x:f t="shared" si="14"/>
        <x:v>Voraussichtliche Zahllast</x:v>
      </x:c>
    </x:row>
    <x:row r="70">
      <x:c r="A70" s="135">
        <x:v>48274</x:v>
      </x:c>
      <x:c r="B70" s="72">
        <x:f t="shared" si="10"/>
        <x:v>48344</x:v>
      </x:c>
      <x:c r="C70" s="72" t="n">
        <x:f>SUMIFS(Ausgangsrechnungen!$O$2:$O$301,Ausgangsrechnungen!$A$2:$A$301,"&gt;="&amp;A70,Ausgangsrechnungen!$A$2:$A$301,"&lt;"&amp;EDATE(A70,1))</x:f>
        <x:v>0</x:v>
      </x:c>
      <x:c r="D70" s="72" t="n">
        <x:f>SUMIFS(Eingangsrechnungen!$G$2:$G$301,Eingangsrechnungen!$A$2:$A$301,"&gt;="&amp;A70,Eingangsrechnungen!$A$2:$A$301,"&lt;"&amp;EDATE(A70,1))</x:f>
        <x:v>0</x:v>
      </x:c>
      <x:c r="E70" s="72">
        <x:f t="shared" si="11"/>
        <x:v>0</x:v>
      </x:c>
      <x:c r="F70" s="72">
        <x:f t="shared" si="12"/>
        <x:v>0</x:v>
      </x:c>
      <x:c r="G70" s="72" t="str">
        <x:f t="shared" si="13"/>
        <x:v>Offen</x:v>
      </x:c>
      <x:c r="H70" s="72"/>
      <x:c r="I70" s="72" t="n">
        <x:f>COUNTIFS(Eingangsrechnungen!$A$2:$A$301,"&gt;="&amp;A70,Eingangsrechnungen!$A$2:$A$301,"&lt;"&amp;EDATE(A70,1),Eingangsrechnungen!$H$2:$H$301,"&gt;0",Eingangsrechnungen!$G$2:$G$301,"")</x:f>
        <x:v>0</x:v>
      </x:c>
      <x:c r="J70" s="72" t="str">
        <x:f t="shared" si="14"/>
        <x:v>Voraussichtliche Zahllast</x:v>
      </x:c>
    </x:row>
    <x:row r="71">
      <x:c r="A71" s="133">
        <x:v>48305</x:v>
      </x:c>
      <x:c r="B71" s="71">
        <x:f t="shared" si="10"/>
        <x:v>48375</x:v>
      </x:c>
      <x:c r="C71" s="71" t="n">
        <x:f>SUMIFS(Ausgangsrechnungen!$O$2:$O$301,Ausgangsrechnungen!$A$2:$A$301,"&gt;="&amp;A71,Ausgangsrechnungen!$A$2:$A$301,"&lt;"&amp;EDATE(A71,1))</x:f>
        <x:v>0</x:v>
      </x:c>
      <x:c r="D71" s="71" t="n">
        <x:f>SUMIFS(Eingangsrechnungen!$G$2:$G$301,Eingangsrechnungen!$A$2:$A$301,"&gt;="&amp;A71,Eingangsrechnungen!$A$2:$A$301,"&lt;"&amp;EDATE(A71,1))</x:f>
        <x:v>0</x:v>
      </x:c>
      <x:c r="E71" s="71">
        <x:f t="shared" si="11"/>
        <x:v>0</x:v>
      </x:c>
      <x:c r="F71" s="71">
        <x:f t="shared" si="12"/>
        <x:v>0</x:v>
      </x:c>
      <x:c r="G71" s="71" t="str">
        <x:f t="shared" si="13"/>
        <x:v>Offen</x:v>
      </x:c>
      <x:c r="H71" s="71"/>
      <x:c r="I71" s="71" t="n">
        <x:f>COUNTIFS(Eingangsrechnungen!$A$2:$A$301,"&gt;="&amp;A71,Eingangsrechnungen!$A$2:$A$301,"&lt;"&amp;EDATE(A71,1),Eingangsrechnungen!$H$2:$H$301,"&gt;0",Eingangsrechnungen!$G$2:$G$301,"")</x:f>
        <x:v>0</x:v>
      </x:c>
      <x:c r="J71" s="71" t="str">
        <x:f t="shared" si="14"/>
        <x:v>Voraussichtliche Zahllast</x:v>
      </x:c>
    </x:row>
    <x:row r="72">
      <x:c r="A72" s="135">
        <x:v>48335</x:v>
      </x:c>
      <x:c r="B72" s="72">
        <x:f t="shared" si="10"/>
        <x:v>48405</x:v>
      </x:c>
      <x:c r="C72" s="72" t="n">
        <x:f>SUMIFS(Ausgangsrechnungen!$O$2:$O$301,Ausgangsrechnungen!$A$2:$A$301,"&gt;="&amp;A72,Ausgangsrechnungen!$A$2:$A$301,"&lt;"&amp;EDATE(A72,1))</x:f>
        <x:v>0</x:v>
      </x:c>
      <x:c r="D72" s="72" t="n">
        <x:f>SUMIFS(Eingangsrechnungen!$G$2:$G$301,Eingangsrechnungen!$A$2:$A$301,"&gt;="&amp;A72,Eingangsrechnungen!$A$2:$A$301,"&lt;"&amp;EDATE(A72,1))</x:f>
        <x:v>0</x:v>
      </x:c>
      <x:c r="E72" s="72">
        <x:f t="shared" si="11"/>
        <x:v>0</x:v>
      </x:c>
      <x:c r="F72" s="72">
        <x:f t="shared" si="12"/>
        <x:v>0</x:v>
      </x:c>
      <x:c r="G72" s="72" t="str">
        <x:f t="shared" si="13"/>
        <x:v>Offen</x:v>
      </x:c>
      <x:c r="H72" s="72"/>
      <x:c r="I72" s="72" t="n">
        <x:f>COUNTIFS(Eingangsrechnungen!$A$2:$A$301,"&gt;="&amp;A72,Eingangsrechnungen!$A$2:$A$301,"&lt;"&amp;EDATE(A72,1),Eingangsrechnungen!$H$2:$H$301,"&gt;0",Eingangsrechnungen!$G$2:$G$301,"")</x:f>
        <x:v>0</x:v>
      </x:c>
      <x:c r="J72" s="72" t="str">
        <x:f t="shared" si="14"/>
        <x:v>Voraussichtliche Zahllast</x:v>
      </x:c>
    </x:row>
    <x:row r="73">
      <x:c r="A73" s="133">
        <x:v>48366</x:v>
      </x:c>
      <x:c r="B73" s="71">
        <x:f t="shared" si="10"/>
        <x:v>48436</x:v>
      </x:c>
      <x:c r="C73" s="71" t="n">
        <x:f>SUMIFS(Ausgangsrechnungen!$O$2:$O$301,Ausgangsrechnungen!$A$2:$A$301,"&gt;="&amp;A73,Ausgangsrechnungen!$A$2:$A$301,"&lt;"&amp;EDATE(A73,1))</x:f>
        <x:v>0</x:v>
      </x:c>
      <x:c r="D73" s="71" t="n">
        <x:f>SUMIFS(Eingangsrechnungen!$G$2:$G$301,Eingangsrechnungen!$A$2:$A$301,"&gt;="&amp;A73,Eingangsrechnungen!$A$2:$A$301,"&lt;"&amp;EDATE(A73,1))</x:f>
        <x:v>0</x:v>
      </x:c>
      <x:c r="E73" s="71">
        <x:f t="shared" si="11"/>
        <x:v>0</x:v>
      </x:c>
      <x:c r="F73" s="71">
        <x:f t="shared" si="12"/>
        <x:v>0</x:v>
      </x:c>
      <x:c r="G73" s="71" t="str">
        <x:f t="shared" si="13"/>
        <x:v>Offen</x:v>
      </x:c>
      <x:c r="H73" s="71"/>
      <x:c r="I73" s="71" t="n">
        <x:f>COUNTIFS(Eingangsrechnungen!$A$2:$A$301,"&gt;="&amp;A73,Eingangsrechnungen!$A$2:$A$301,"&lt;"&amp;EDATE(A73,1),Eingangsrechnungen!$H$2:$H$301,"&gt;0",Eingangsrechnungen!$G$2:$G$301,"")</x:f>
        <x:v>0</x:v>
      </x:c>
      <x:c r="J73" s="71" t="str">
        <x:f t="shared" si="14"/>
        <x:v>Voraussichtliche Zahllast</x:v>
      </x:c>
    </x:row>
    <x:row r="74">
      <x:c r="A74" s="135">
        <x:v>48396</x:v>
      </x:c>
      <x:c r="B74" s="72">
        <x:f t="shared" si="10"/>
        <x:v>48467</x:v>
      </x:c>
      <x:c r="C74" s="72" t="n">
        <x:f>SUMIFS(Ausgangsrechnungen!$O$2:$O$301,Ausgangsrechnungen!$A$2:$A$301,"&gt;="&amp;A74,Ausgangsrechnungen!$A$2:$A$301,"&lt;"&amp;EDATE(A74,1))</x:f>
        <x:v>0</x:v>
      </x:c>
      <x:c r="D74" s="72" t="n">
        <x:f>SUMIFS(Eingangsrechnungen!$G$2:$G$301,Eingangsrechnungen!$A$2:$A$301,"&gt;="&amp;A74,Eingangsrechnungen!$A$2:$A$301,"&lt;"&amp;EDATE(A74,1))</x:f>
        <x:v>0</x:v>
      </x:c>
      <x:c r="E74" s="72">
        <x:f t="shared" si="11"/>
        <x:v>0</x:v>
      </x:c>
      <x:c r="F74" s="72">
        <x:f t="shared" si="12"/>
        <x:v>0</x:v>
      </x:c>
      <x:c r="G74" s="72" t="str">
        <x:f t="shared" si="13"/>
        <x:v>Offen</x:v>
      </x:c>
      <x:c r="H74" s="72"/>
      <x:c r="I74" s="72" t="n">
        <x:f>COUNTIFS(Eingangsrechnungen!$A$2:$A$301,"&gt;="&amp;A74,Eingangsrechnungen!$A$2:$A$301,"&lt;"&amp;EDATE(A74,1),Eingangsrechnungen!$H$2:$H$301,"&gt;0",Eingangsrechnungen!$G$2:$G$301,"")</x:f>
        <x:v>0</x:v>
      </x:c>
      <x:c r="J74" s="72" t="str">
        <x:f t="shared" si="14"/>
        <x:v>Voraussichtliche Zahllast</x:v>
      </x:c>
    </x:row>
    <x:row r="75">
      <x:c r="A75" s="133">
        <x:v>48427</x:v>
      </x:c>
      <x:c r="B75" s="71">
        <x:f t="shared" si="10"/>
        <x:v>48497</x:v>
      </x:c>
      <x:c r="C75" s="71" t="n">
        <x:f>SUMIFS(Ausgangsrechnungen!$O$2:$O$301,Ausgangsrechnungen!$A$2:$A$301,"&gt;="&amp;A75,Ausgangsrechnungen!$A$2:$A$301,"&lt;"&amp;EDATE(A75,1))</x:f>
        <x:v>0</x:v>
      </x:c>
      <x:c r="D75" s="71" t="n">
        <x:f>SUMIFS(Eingangsrechnungen!$G$2:$G$301,Eingangsrechnungen!$A$2:$A$301,"&gt;="&amp;A75,Eingangsrechnungen!$A$2:$A$301,"&lt;"&amp;EDATE(A75,1))</x:f>
        <x:v>0</x:v>
      </x:c>
      <x:c r="E75" s="71">
        <x:f t="shared" si="11"/>
        <x:v>0</x:v>
      </x:c>
      <x:c r="F75" s="71">
        <x:f t="shared" si="12"/>
        <x:v>0</x:v>
      </x:c>
      <x:c r="G75" s="71" t="str">
        <x:f t="shared" si="13"/>
        <x:v>Offen</x:v>
      </x:c>
      <x:c r="H75" s="71"/>
      <x:c r="I75" s="71" t="n">
        <x:f>COUNTIFS(Eingangsrechnungen!$A$2:$A$301,"&gt;="&amp;A75,Eingangsrechnungen!$A$2:$A$301,"&lt;"&amp;EDATE(A75,1),Eingangsrechnungen!$H$2:$H$301,"&gt;0",Eingangsrechnungen!$G$2:$G$301,"")</x:f>
        <x:v>0</x:v>
      </x:c>
      <x:c r="J75" s="71" t="str">
        <x:f t="shared" si="14"/>
        <x:v>Voraussichtliche Zahllast</x:v>
      </x:c>
    </x:row>
    <x:row r="76">
      <x:c r="A76" s="135">
        <x:v>48458</x:v>
      </x:c>
      <x:c r="B76" s="72">
        <x:f t="shared" si="10"/>
        <x:v>48528</x:v>
      </x:c>
      <x:c r="C76" s="72" t="n">
        <x:f>SUMIFS(Ausgangsrechnungen!$O$2:$O$301,Ausgangsrechnungen!$A$2:$A$301,"&gt;="&amp;A76,Ausgangsrechnungen!$A$2:$A$301,"&lt;"&amp;EDATE(A76,1))</x:f>
        <x:v>0</x:v>
      </x:c>
      <x:c r="D76" s="72" t="n">
        <x:f>SUMIFS(Eingangsrechnungen!$G$2:$G$301,Eingangsrechnungen!$A$2:$A$301,"&gt;="&amp;A76,Eingangsrechnungen!$A$2:$A$301,"&lt;"&amp;EDATE(A76,1))</x:f>
        <x:v>0</x:v>
      </x:c>
      <x:c r="E76" s="72">
        <x:f t="shared" si="11"/>
        <x:v>0</x:v>
      </x:c>
      <x:c r="F76" s="72">
        <x:f t="shared" si="12"/>
        <x:v>0</x:v>
      </x:c>
      <x:c r="G76" s="72" t="str">
        <x:f t="shared" si="13"/>
        <x:v>Offen</x:v>
      </x:c>
      <x:c r="H76" s="72"/>
      <x:c r="I76" s="72" t="n">
        <x:f>COUNTIFS(Eingangsrechnungen!$A$2:$A$301,"&gt;="&amp;A76,Eingangsrechnungen!$A$2:$A$301,"&lt;"&amp;EDATE(A76,1),Eingangsrechnungen!$H$2:$H$301,"&gt;0",Eingangsrechnungen!$G$2:$G$301,"")</x:f>
        <x:v>0</x:v>
      </x:c>
      <x:c r="J76" s="72" t="str">
        <x:f t="shared" si="14"/>
        <x:v>Voraussichtliche Zahllast</x:v>
      </x:c>
    </x:row>
    <x:row r="77">
      <x:c r="A77" s="133">
        <x:v>48488</x:v>
      </x:c>
      <x:c r="B77" s="71">
        <x:f t="shared" si="10"/>
        <x:v>48558</x:v>
      </x:c>
      <x:c r="C77" s="71" t="n">
        <x:f>SUMIFS(Ausgangsrechnungen!$O$2:$O$301,Ausgangsrechnungen!$A$2:$A$301,"&gt;="&amp;A77,Ausgangsrechnungen!$A$2:$A$301,"&lt;"&amp;EDATE(A77,1))</x:f>
        <x:v>0</x:v>
      </x:c>
      <x:c r="D77" s="71" t="n">
        <x:f>SUMIFS(Eingangsrechnungen!$G$2:$G$301,Eingangsrechnungen!$A$2:$A$301,"&gt;="&amp;A77,Eingangsrechnungen!$A$2:$A$301,"&lt;"&amp;EDATE(A77,1))</x:f>
        <x:v>0</x:v>
      </x:c>
      <x:c r="E77" s="71">
        <x:f t="shared" si="11"/>
        <x:v>0</x:v>
      </x:c>
      <x:c r="F77" s="71">
        <x:f t="shared" si="12"/>
        <x:v>0</x:v>
      </x:c>
      <x:c r="G77" s="71" t="str">
        <x:f t="shared" si="13"/>
        <x:v>Offen</x:v>
      </x:c>
      <x:c r="H77" s="71"/>
      <x:c r="I77" s="71" t="n">
        <x:f>COUNTIFS(Eingangsrechnungen!$A$2:$A$301,"&gt;="&amp;A77,Eingangsrechnungen!$A$2:$A$301,"&lt;"&amp;EDATE(A77,1),Eingangsrechnungen!$H$2:$H$301,"&gt;0",Eingangsrechnungen!$G$2:$G$301,"")</x:f>
        <x:v>0</x:v>
      </x:c>
      <x:c r="J77" s="71" t="str">
        <x:f t="shared" si="14"/>
        <x:v>Voraussichtliche Zahllast</x:v>
      </x:c>
    </x:row>
    <x:row r="78">
      <x:c r="A78" s="135">
        <x:v>48519</x:v>
      </x:c>
      <x:c r="B78" s="72">
        <x:f t="shared" si="10"/>
        <x:v>48589</x:v>
      </x:c>
      <x:c r="C78" s="72" t="n">
        <x:f>SUMIFS(Ausgangsrechnungen!$O$2:$O$301,Ausgangsrechnungen!$A$2:$A$301,"&gt;="&amp;A78,Ausgangsrechnungen!$A$2:$A$301,"&lt;"&amp;EDATE(A78,1))</x:f>
        <x:v>0</x:v>
      </x:c>
      <x:c r="D78" s="72" t="n">
        <x:f>SUMIFS(Eingangsrechnungen!$G$2:$G$301,Eingangsrechnungen!$A$2:$A$301,"&gt;="&amp;A78,Eingangsrechnungen!$A$2:$A$301,"&lt;"&amp;EDATE(A78,1))</x:f>
        <x:v>0</x:v>
      </x:c>
      <x:c r="E78" s="72">
        <x:f t="shared" si="11"/>
        <x:v>0</x:v>
      </x:c>
      <x:c r="F78" s="72">
        <x:f t="shared" si="12"/>
        <x:v>0</x:v>
      </x:c>
      <x:c r="G78" s="72" t="str">
        <x:f t="shared" si="13"/>
        <x:v>Offen</x:v>
      </x:c>
      <x:c r="H78" s="72"/>
      <x:c r="I78" s="72" t="n">
        <x:f>COUNTIFS(Eingangsrechnungen!$A$2:$A$301,"&gt;="&amp;A78,Eingangsrechnungen!$A$2:$A$301,"&lt;"&amp;EDATE(A78,1),Eingangsrechnungen!$H$2:$H$301,"&gt;0",Eingangsrechnungen!$G$2:$G$301,"")</x:f>
        <x:v>0</x:v>
      </x:c>
      <x:c r="J78" s="72" t="str">
        <x:f t="shared" si="14"/>
        <x:v>Voraussichtliche Zahllast</x:v>
      </x:c>
    </x:row>
    <x:row r="79">
      <x:c r="A79" s="133">
        <x:v>48549</x:v>
      </x:c>
      <x:c r="B79" s="71">
        <x:f t="shared" si="10"/>
        <x:v>48620</x:v>
      </x:c>
      <x:c r="C79" s="71" t="n">
        <x:f>SUMIFS(Ausgangsrechnungen!$O$2:$O$301,Ausgangsrechnungen!$A$2:$A$301,"&gt;="&amp;A79,Ausgangsrechnungen!$A$2:$A$301,"&lt;"&amp;EDATE(A79,1))</x:f>
        <x:v>0</x:v>
      </x:c>
      <x:c r="D79" s="71" t="n">
        <x:f>SUMIFS(Eingangsrechnungen!$G$2:$G$301,Eingangsrechnungen!$A$2:$A$301,"&gt;="&amp;A79,Eingangsrechnungen!$A$2:$A$301,"&lt;"&amp;EDATE(A79,1))</x:f>
        <x:v>0</x:v>
      </x:c>
      <x:c r="E79" s="71">
        <x:f t="shared" si="11"/>
        <x:v>0</x:v>
      </x:c>
      <x:c r="F79" s="71">
        <x:f t="shared" si="12"/>
        <x:v>0</x:v>
      </x:c>
      <x:c r="G79" s="71" t="str">
        <x:f t="shared" si="13"/>
        <x:v>Offen</x:v>
      </x:c>
      <x:c r="H79" s="71"/>
      <x:c r="I79" s="71" t="n">
        <x:f>COUNTIFS(Eingangsrechnungen!$A$2:$A$301,"&gt;="&amp;A79,Eingangsrechnungen!$A$2:$A$301,"&lt;"&amp;EDATE(A79,1),Eingangsrechnungen!$H$2:$H$301,"&gt;0",Eingangsrechnungen!$G$2:$G$301,"")</x:f>
        <x:v>0</x:v>
      </x:c>
      <x:c r="J79" s="71" t="str">
        <x:f t="shared" si="14"/>
        <x:v>Voraussichtliche Zahllast</x:v>
      </x:c>
    </x:row>
    <x:row r="80">
      <x:c r="A80" s="135">
        <x:v>48580</x:v>
      </x:c>
      <x:c r="B80" s="72">
        <x:f t="shared" si="10"/>
        <x:v>48648</x:v>
      </x:c>
      <x:c r="C80" s="72" t="n">
        <x:f>SUMIFS(Ausgangsrechnungen!$O$2:$O$301,Ausgangsrechnungen!$A$2:$A$301,"&gt;="&amp;A80,Ausgangsrechnungen!$A$2:$A$301,"&lt;"&amp;EDATE(A80,1))</x:f>
        <x:v>0</x:v>
      </x:c>
      <x:c r="D80" s="72" t="n">
        <x:f>SUMIFS(Eingangsrechnungen!$G$2:$G$301,Eingangsrechnungen!$A$2:$A$301,"&gt;="&amp;A80,Eingangsrechnungen!$A$2:$A$301,"&lt;"&amp;EDATE(A80,1))</x:f>
        <x:v>0</x:v>
      </x:c>
      <x:c r="E80" s="72">
        <x:f t="shared" si="11"/>
        <x:v>0</x:v>
      </x:c>
      <x:c r="F80" s="72">
        <x:f t="shared" si="12"/>
        <x:v>0</x:v>
      </x:c>
      <x:c r="G80" s="72" t="str">
        <x:f t="shared" si="13"/>
        <x:v>Offen</x:v>
      </x:c>
      <x:c r="H80" s="72"/>
      <x:c r="I80" s="72" t="n">
        <x:f>COUNTIFS(Eingangsrechnungen!$A$2:$A$301,"&gt;="&amp;A80,Eingangsrechnungen!$A$2:$A$301,"&lt;"&amp;EDATE(A80,1),Eingangsrechnungen!$H$2:$H$301,"&gt;0",Eingangsrechnungen!$G$2:$G$301,"")</x:f>
        <x:v>0</x:v>
      </x:c>
      <x:c r="J80" s="72" t="str">
        <x:f t="shared" si="14"/>
        <x:v>Voraussichtliche Zahllast</x:v>
      </x:c>
    </x:row>
    <x:row r="81">
      <x:c r="A81" s="133">
        <x:v>48611</x:v>
      </x:c>
      <x:c r="B81" s="71">
        <x:f t="shared" si="10"/>
        <x:v>48679</x:v>
      </x:c>
      <x:c r="C81" s="71" t="n">
        <x:f>SUMIFS(Ausgangsrechnungen!$O$2:$O$301,Ausgangsrechnungen!$A$2:$A$301,"&gt;="&amp;A81,Ausgangsrechnungen!$A$2:$A$301,"&lt;"&amp;EDATE(A81,1))</x:f>
        <x:v>0</x:v>
      </x:c>
      <x:c r="D81" s="71" t="n">
        <x:f>SUMIFS(Eingangsrechnungen!$G$2:$G$301,Eingangsrechnungen!$A$2:$A$301,"&gt;="&amp;A81,Eingangsrechnungen!$A$2:$A$301,"&lt;"&amp;EDATE(A81,1))</x:f>
        <x:v>0</x:v>
      </x:c>
      <x:c r="E81" s="71">
        <x:f t="shared" si="11"/>
        <x:v>0</x:v>
      </x:c>
      <x:c r="F81" s="71">
        <x:f t="shared" si="12"/>
        <x:v>0</x:v>
      </x:c>
      <x:c r="G81" s="71" t="str">
        <x:f t="shared" si="13"/>
        <x:v>Offen</x:v>
      </x:c>
      <x:c r="H81" s="71"/>
      <x:c r="I81" s="71" t="n">
        <x:f>COUNTIFS(Eingangsrechnungen!$A$2:$A$301,"&gt;="&amp;A81,Eingangsrechnungen!$A$2:$A$301,"&lt;"&amp;EDATE(A81,1),Eingangsrechnungen!$H$2:$H$301,"&gt;0",Eingangsrechnungen!$G$2:$G$301,"")</x:f>
        <x:v>0</x:v>
      </x:c>
      <x:c r="J81" s="71" t="str">
        <x:f t="shared" si="14"/>
        <x:v>Voraussichtliche Zahllast</x:v>
      </x:c>
    </x:row>
    <x:row r="82">
      <x:c r="A82" s="135">
        <x:v>48639</x:v>
      </x:c>
      <x:c r="B82" s="72">
        <x:f t="shared" si="10"/>
        <x:v>48709</x:v>
      </x:c>
      <x:c r="C82" s="72" t="n">
        <x:f>SUMIFS(Ausgangsrechnungen!$O$2:$O$301,Ausgangsrechnungen!$A$2:$A$301,"&gt;="&amp;A82,Ausgangsrechnungen!$A$2:$A$301,"&lt;"&amp;EDATE(A82,1))</x:f>
        <x:v>0</x:v>
      </x:c>
      <x:c r="D82" s="72" t="n">
        <x:f>SUMIFS(Eingangsrechnungen!$G$2:$G$301,Eingangsrechnungen!$A$2:$A$301,"&gt;="&amp;A82,Eingangsrechnungen!$A$2:$A$301,"&lt;"&amp;EDATE(A82,1))</x:f>
        <x:v>0</x:v>
      </x:c>
      <x:c r="E82" s="72">
        <x:f t="shared" si="11"/>
        <x:v>0</x:v>
      </x:c>
      <x:c r="F82" s="72">
        <x:f t="shared" si="12"/>
        <x:v>0</x:v>
      </x:c>
      <x:c r="G82" s="72" t="str">
        <x:f t="shared" si="13"/>
        <x:v>Offen</x:v>
      </x:c>
      <x:c r="H82" s="72"/>
      <x:c r="I82" s="72" t="n">
        <x:f>COUNTIFS(Eingangsrechnungen!$A$2:$A$301,"&gt;="&amp;A82,Eingangsrechnungen!$A$2:$A$301,"&lt;"&amp;EDATE(A82,1),Eingangsrechnungen!$H$2:$H$301,"&gt;0",Eingangsrechnungen!$G$2:$G$301,"")</x:f>
        <x:v>0</x:v>
      </x:c>
      <x:c r="J82" s="72" t="str">
        <x:f t="shared" si="14"/>
        <x:v>Voraussichtliche Zahllast</x:v>
      </x:c>
    </x:row>
    <x:row r="83">
      <x:c r="A83" s="133">
        <x:v>48670</x:v>
      </x:c>
      <x:c r="B83" s="71">
        <x:f t="shared" si="10"/>
        <x:v>48740</x:v>
      </x:c>
      <x:c r="C83" s="71" t="n">
        <x:f>SUMIFS(Ausgangsrechnungen!$O$2:$O$301,Ausgangsrechnungen!$A$2:$A$301,"&gt;="&amp;A83,Ausgangsrechnungen!$A$2:$A$301,"&lt;"&amp;EDATE(A83,1))</x:f>
        <x:v>0</x:v>
      </x:c>
      <x:c r="D83" s="71" t="n">
        <x:f>SUMIFS(Eingangsrechnungen!$G$2:$G$301,Eingangsrechnungen!$A$2:$A$301,"&gt;="&amp;A83,Eingangsrechnungen!$A$2:$A$301,"&lt;"&amp;EDATE(A83,1))</x:f>
        <x:v>0</x:v>
      </x:c>
      <x:c r="E83" s="71">
        <x:f t="shared" si="11"/>
        <x:v>0</x:v>
      </x:c>
      <x:c r="F83" s="71">
        <x:f t="shared" si="12"/>
        <x:v>0</x:v>
      </x:c>
      <x:c r="G83" s="71" t="str">
        <x:f t="shared" si="13"/>
        <x:v>Offen</x:v>
      </x:c>
      <x:c r="H83" s="71"/>
      <x:c r="I83" s="71" t="n">
        <x:f>COUNTIFS(Eingangsrechnungen!$A$2:$A$301,"&gt;="&amp;A83,Eingangsrechnungen!$A$2:$A$301,"&lt;"&amp;EDATE(A83,1),Eingangsrechnungen!$H$2:$H$301,"&gt;0",Eingangsrechnungen!$G$2:$G$301,"")</x:f>
        <x:v>0</x:v>
      </x:c>
      <x:c r="J83" s="71" t="str">
        <x:f t="shared" si="14"/>
        <x:v>Voraussichtliche Zahllast</x:v>
      </x:c>
    </x:row>
    <x:row r="84">
      <x:c r="A84" s="135">
        <x:v>48700</x:v>
      </x:c>
      <x:c r="B84" s="72">
        <x:f t="shared" si="10"/>
        <x:v>48770</x:v>
      </x:c>
      <x:c r="C84" s="72" t="n">
        <x:f>SUMIFS(Ausgangsrechnungen!$O$2:$O$301,Ausgangsrechnungen!$A$2:$A$301,"&gt;="&amp;A84,Ausgangsrechnungen!$A$2:$A$301,"&lt;"&amp;EDATE(A84,1))</x:f>
        <x:v>0</x:v>
      </x:c>
      <x:c r="D84" s="72" t="n">
        <x:f>SUMIFS(Eingangsrechnungen!$G$2:$G$301,Eingangsrechnungen!$A$2:$A$301,"&gt;="&amp;A84,Eingangsrechnungen!$A$2:$A$301,"&lt;"&amp;EDATE(A84,1))</x:f>
        <x:v>0</x:v>
      </x:c>
      <x:c r="E84" s="72">
        <x:f t="shared" si="11"/>
        <x:v>0</x:v>
      </x:c>
      <x:c r="F84" s="72">
        <x:f t="shared" si="12"/>
        <x:v>0</x:v>
      </x:c>
      <x:c r="G84" s="72" t="str">
        <x:f t="shared" si="13"/>
        <x:v>Offen</x:v>
      </x:c>
      <x:c r="H84" s="72"/>
      <x:c r="I84" s="72" t="n">
        <x:f>COUNTIFS(Eingangsrechnungen!$A$2:$A$301,"&gt;="&amp;A84,Eingangsrechnungen!$A$2:$A$301,"&lt;"&amp;EDATE(A84,1),Eingangsrechnungen!$H$2:$H$301,"&gt;0",Eingangsrechnungen!$G$2:$G$301,"")</x:f>
        <x:v>0</x:v>
      </x:c>
      <x:c r="J84" s="72" t="str">
        <x:f t="shared" si="14"/>
        <x:v>Voraussichtliche Zahllast</x:v>
      </x:c>
    </x:row>
    <x:row r="85">
      <x:c r="A85" s="133">
        <x:v>48731</x:v>
      </x:c>
      <x:c r="B85" s="71">
        <x:f t="shared" si="10"/>
        <x:v>48801</x:v>
      </x:c>
      <x:c r="C85" s="71" t="n">
        <x:f>SUMIFS(Ausgangsrechnungen!$O$2:$O$301,Ausgangsrechnungen!$A$2:$A$301,"&gt;="&amp;A85,Ausgangsrechnungen!$A$2:$A$301,"&lt;"&amp;EDATE(A85,1))</x:f>
        <x:v>0</x:v>
      </x:c>
      <x:c r="D85" s="71" t="n">
        <x:f>SUMIFS(Eingangsrechnungen!$G$2:$G$301,Eingangsrechnungen!$A$2:$A$301,"&gt;="&amp;A85,Eingangsrechnungen!$A$2:$A$301,"&lt;"&amp;EDATE(A85,1))</x:f>
        <x:v>0</x:v>
      </x:c>
      <x:c r="E85" s="71">
        <x:f t="shared" si="11"/>
        <x:v>0</x:v>
      </x:c>
      <x:c r="F85" s="71">
        <x:f t="shared" si="12"/>
        <x:v>0</x:v>
      </x:c>
      <x:c r="G85" s="71" t="str">
        <x:f t="shared" si="13"/>
        <x:v>Offen</x:v>
      </x:c>
      <x:c r="H85" s="71"/>
      <x:c r="I85" s="71" t="n">
        <x:f>COUNTIFS(Eingangsrechnungen!$A$2:$A$301,"&gt;="&amp;A85,Eingangsrechnungen!$A$2:$A$301,"&lt;"&amp;EDATE(A85,1),Eingangsrechnungen!$H$2:$H$301,"&gt;0",Eingangsrechnungen!$G$2:$G$301,"")</x:f>
        <x:v>0</x:v>
      </x:c>
      <x:c r="J85" s="71" t="str">
        <x:f t="shared" si="14"/>
        <x:v>Voraussichtliche Zahllast</x:v>
      </x:c>
    </x:row>
    <x:row r="86">
      <x:c r="A86" s="135">
        <x:v>48761</x:v>
      </x:c>
      <x:c r="B86" s="72">
        <x:f t="shared" si="10"/>
        <x:v>48832</x:v>
      </x:c>
      <x:c r="C86" s="72" t="n">
        <x:f>SUMIFS(Ausgangsrechnungen!$O$2:$O$301,Ausgangsrechnungen!$A$2:$A$301,"&gt;="&amp;A86,Ausgangsrechnungen!$A$2:$A$301,"&lt;"&amp;EDATE(A86,1))</x:f>
        <x:v>0</x:v>
      </x:c>
      <x:c r="D86" s="72" t="n">
        <x:f>SUMIFS(Eingangsrechnungen!$G$2:$G$301,Eingangsrechnungen!$A$2:$A$301,"&gt;="&amp;A86,Eingangsrechnungen!$A$2:$A$301,"&lt;"&amp;EDATE(A86,1))</x:f>
        <x:v>0</x:v>
      </x:c>
      <x:c r="E86" s="72">
        <x:f t="shared" si="11"/>
        <x:v>0</x:v>
      </x:c>
      <x:c r="F86" s="72">
        <x:f t="shared" si="12"/>
        <x:v>0</x:v>
      </x:c>
      <x:c r="G86" s="72" t="str">
        <x:f t="shared" si="13"/>
        <x:v>Offen</x:v>
      </x:c>
      <x:c r="H86" s="72"/>
      <x:c r="I86" s="72" t="n">
        <x:f>COUNTIFS(Eingangsrechnungen!$A$2:$A$301,"&gt;="&amp;A86,Eingangsrechnungen!$A$2:$A$301,"&lt;"&amp;EDATE(A86,1),Eingangsrechnungen!$H$2:$H$301,"&gt;0",Eingangsrechnungen!$G$2:$G$301,"")</x:f>
        <x:v>0</x:v>
      </x:c>
      <x:c r="J86" s="72" t="str">
        <x:f t="shared" si="14"/>
        <x:v>Voraussichtliche Zahllast</x:v>
      </x:c>
    </x:row>
    <x:row r="87">
      <x:c r="A87" s="133">
        <x:v>48792</x:v>
      </x:c>
      <x:c r="B87" s="71">
        <x:f t="shared" si="10"/>
        <x:v>48862</x:v>
      </x:c>
      <x:c r="C87" s="71" t="n">
        <x:f>SUMIFS(Ausgangsrechnungen!$O$2:$O$301,Ausgangsrechnungen!$A$2:$A$301,"&gt;="&amp;A87,Ausgangsrechnungen!$A$2:$A$301,"&lt;"&amp;EDATE(A87,1))</x:f>
        <x:v>0</x:v>
      </x:c>
      <x:c r="D87" s="71" t="n">
        <x:f>SUMIFS(Eingangsrechnungen!$G$2:$G$301,Eingangsrechnungen!$A$2:$A$301,"&gt;="&amp;A87,Eingangsrechnungen!$A$2:$A$301,"&lt;"&amp;EDATE(A87,1))</x:f>
        <x:v>0</x:v>
      </x:c>
      <x:c r="E87" s="71">
        <x:f t="shared" si="11"/>
        <x:v>0</x:v>
      </x:c>
      <x:c r="F87" s="71">
        <x:f t="shared" si="12"/>
        <x:v>0</x:v>
      </x:c>
      <x:c r="G87" s="71" t="str">
        <x:f t="shared" si="13"/>
        <x:v>Offen</x:v>
      </x:c>
      <x:c r="H87" s="71"/>
      <x:c r="I87" s="71" t="n">
        <x:f>COUNTIFS(Eingangsrechnungen!$A$2:$A$301,"&gt;="&amp;A87,Eingangsrechnungen!$A$2:$A$301,"&lt;"&amp;EDATE(A87,1),Eingangsrechnungen!$H$2:$H$301,"&gt;0",Eingangsrechnungen!$G$2:$G$301,"")</x:f>
        <x:v>0</x:v>
      </x:c>
      <x:c r="J87" s="71" t="str">
        <x:f t="shared" si="14"/>
        <x:v>Voraussichtliche Zahllast</x:v>
      </x:c>
    </x:row>
    <x:row r="88">
      <x:c r="A88" s="135">
        <x:v>48823</x:v>
      </x:c>
      <x:c r="B88" s="72">
        <x:f t="shared" si="10"/>
        <x:v>48893</x:v>
      </x:c>
      <x:c r="C88" s="72" t="n">
        <x:f>SUMIFS(Ausgangsrechnungen!$O$2:$O$301,Ausgangsrechnungen!$A$2:$A$301,"&gt;="&amp;A88,Ausgangsrechnungen!$A$2:$A$301,"&lt;"&amp;EDATE(A88,1))</x:f>
        <x:v>0</x:v>
      </x:c>
      <x:c r="D88" s="72" t="n">
        <x:f>SUMIFS(Eingangsrechnungen!$G$2:$G$301,Eingangsrechnungen!$A$2:$A$301,"&gt;="&amp;A88,Eingangsrechnungen!$A$2:$A$301,"&lt;"&amp;EDATE(A88,1))</x:f>
        <x:v>0</x:v>
      </x:c>
      <x:c r="E88" s="72">
        <x:f t="shared" si="11"/>
        <x:v>0</x:v>
      </x:c>
      <x:c r="F88" s="72">
        <x:f t="shared" si="12"/>
        <x:v>0</x:v>
      </x:c>
      <x:c r="G88" s="72" t="str">
        <x:f t="shared" si="13"/>
        <x:v>Offen</x:v>
      </x:c>
      <x:c r="H88" s="72"/>
      <x:c r="I88" s="72" t="n">
        <x:f>COUNTIFS(Eingangsrechnungen!$A$2:$A$301,"&gt;="&amp;A88,Eingangsrechnungen!$A$2:$A$301,"&lt;"&amp;EDATE(A88,1),Eingangsrechnungen!$H$2:$H$301,"&gt;0",Eingangsrechnungen!$G$2:$G$301,"")</x:f>
        <x:v>0</x:v>
      </x:c>
      <x:c r="J88" s="72" t="str">
        <x:f t="shared" si="14"/>
        <x:v>Voraussichtliche Zahllast</x:v>
      </x:c>
    </x:row>
    <x:row r="89">
      <x:c r="A89" s="133">
        <x:v>48853</x:v>
      </x:c>
      <x:c r="B89" s="71">
        <x:f t="shared" si="10"/>
        <x:v>48923</x:v>
      </x:c>
      <x:c r="C89" s="71" t="n">
        <x:f>SUMIFS(Ausgangsrechnungen!$O$2:$O$301,Ausgangsrechnungen!$A$2:$A$301,"&gt;="&amp;A89,Ausgangsrechnungen!$A$2:$A$301,"&lt;"&amp;EDATE(A89,1))</x:f>
        <x:v>0</x:v>
      </x:c>
      <x:c r="D89" s="71" t="n">
        <x:f>SUMIFS(Eingangsrechnungen!$G$2:$G$301,Eingangsrechnungen!$A$2:$A$301,"&gt;="&amp;A89,Eingangsrechnungen!$A$2:$A$301,"&lt;"&amp;EDATE(A89,1))</x:f>
        <x:v>0</x:v>
      </x:c>
      <x:c r="E89" s="71">
        <x:f t="shared" si="11"/>
        <x:v>0</x:v>
      </x:c>
      <x:c r="F89" s="71">
        <x:f t="shared" si="12"/>
        <x:v>0</x:v>
      </x:c>
      <x:c r="G89" s="71" t="str">
        <x:f t="shared" si="13"/>
        <x:v>Offen</x:v>
      </x:c>
      <x:c r="H89" s="71"/>
      <x:c r="I89" s="71" t="n">
        <x:f>COUNTIFS(Eingangsrechnungen!$A$2:$A$301,"&gt;="&amp;A89,Eingangsrechnungen!$A$2:$A$301,"&lt;"&amp;EDATE(A89,1),Eingangsrechnungen!$H$2:$H$301,"&gt;0",Eingangsrechnungen!$G$2:$G$301,"")</x:f>
        <x:v>0</x:v>
      </x:c>
      <x:c r="J89" s="71" t="str">
        <x:f t="shared" si="14"/>
        <x:v>Voraussichtliche Zahllast</x:v>
      </x:c>
    </x:row>
    <x:row r="90">
      <x:c r="A90" s="135">
        <x:v>48884</x:v>
      </x:c>
      <x:c r="B90" s="72">
        <x:f t="shared" si="10"/>
        <x:v>48954</x:v>
      </x:c>
      <x:c r="C90" s="72" t="n">
        <x:f>SUMIFS(Ausgangsrechnungen!$O$2:$O$301,Ausgangsrechnungen!$A$2:$A$301,"&gt;="&amp;A90,Ausgangsrechnungen!$A$2:$A$301,"&lt;"&amp;EDATE(A90,1))</x:f>
        <x:v>0</x:v>
      </x:c>
      <x:c r="D90" s="72" t="n">
        <x:f>SUMIFS(Eingangsrechnungen!$G$2:$G$301,Eingangsrechnungen!$A$2:$A$301,"&gt;="&amp;A90,Eingangsrechnungen!$A$2:$A$301,"&lt;"&amp;EDATE(A90,1))</x:f>
        <x:v>0</x:v>
      </x:c>
      <x:c r="E90" s="72">
        <x:f t="shared" si="11"/>
        <x:v>0</x:v>
      </x:c>
      <x:c r="F90" s="72">
        <x:f t="shared" si="12"/>
        <x:v>0</x:v>
      </x:c>
      <x:c r="G90" s="72" t="str">
        <x:f t="shared" si="13"/>
        <x:v>Offen</x:v>
      </x:c>
      <x:c r="H90" s="72"/>
      <x:c r="I90" s="72" t="n">
        <x:f>COUNTIFS(Eingangsrechnungen!$A$2:$A$301,"&gt;="&amp;A90,Eingangsrechnungen!$A$2:$A$301,"&lt;"&amp;EDATE(A90,1),Eingangsrechnungen!$H$2:$H$301,"&gt;0",Eingangsrechnungen!$G$2:$G$301,"")</x:f>
        <x:v>0</x:v>
      </x:c>
      <x:c r="J90" s="72" t="str">
        <x:f t="shared" si="14"/>
        <x:v>Voraussichtliche Zahllast</x:v>
      </x:c>
    </x:row>
    <x:row r="91">
      <x:c r="A91" s="133">
        <x:v>48914</x:v>
      </x:c>
      <x:c r="B91" s="71">
        <x:f t="shared" si="10"/>
        <x:v>48985</x:v>
      </x:c>
      <x:c r="C91" s="71" t="n">
        <x:f>SUMIFS(Ausgangsrechnungen!$O$2:$O$301,Ausgangsrechnungen!$A$2:$A$301,"&gt;="&amp;A91,Ausgangsrechnungen!$A$2:$A$301,"&lt;"&amp;EDATE(A91,1))</x:f>
        <x:v>0</x:v>
      </x:c>
      <x:c r="D91" s="71" t="n">
        <x:f>SUMIFS(Eingangsrechnungen!$G$2:$G$301,Eingangsrechnungen!$A$2:$A$301,"&gt;="&amp;A91,Eingangsrechnungen!$A$2:$A$301,"&lt;"&amp;EDATE(A91,1))</x:f>
        <x:v>0</x:v>
      </x:c>
      <x:c r="E91" s="71">
        <x:f t="shared" si="11"/>
        <x:v>0</x:v>
      </x:c>
      <x:c r="F91" s="71">
        <x:f t="shared" si="12"/>
        <x:v>0</x:v>
      </x:c>
      <x:c r="G91" s="71" t="str">
        <x:f t="shared" si="13"/>
        <x:v>Offen</x:v>
      </x:c>
      <x:c r="H91" s="71"/>
      <x:c r="I91" s="71" t="n">
        <x:f>COUNTIFS(Eingangsrechnungen!$A$2:$A$301,"&gt;="&amp;A91,Eingangsrechnungen!$A$2:$A$301,"&lt;"&amp;EDATE(A91,1),Eingangsrechnungen!$H$2:$H$301,"&gt;0",Eingangsrechnungen!$G$2:$G$301,"")</x:f>
        <x:v>0</x:v>
      </x:c>
      <x:c r="J91" s="71" t="str">
        <x:f t="shared" si="14"/>
        <x:v>Voraussichtliche Zahllast</x:v>
      </x:c>
    </x:row>
    <x:row r="92">
      <x:c r="A92" s="135">
        <x:v>48945</x:v>
      </x:c>
      <x:c r="B92" s="72">
        <x:f t="shared" si="10"/>
        <x:v>49013</x:v>
      </x:c>
      <x:c r="C92" s="72" t="n">
        <x:f>SUMIFS(Ausgangsrechnungen!$O$2:$O$301,Ausgangsrechnungen!$A$2:$A$301,"&gt;="&amp;A92,Ausgangsrechnungen!$A$2:$A$301,"&lt;"&amp;EDATE(A92,1))</x:f>
        <x:v>0</x:v>
      </x:c>
      <x:c r="D92" s="72" t="n">
        <x:f>SUMIFS(Eingangsrechnungen!$G$2:$G$301,Eingangsrechnungen!$A$2:$A$301,"&gt;="&amp;A92,Eingangsrechnungen!$A$2:$A$301,"&lt;"&amp;EDATE(A92,1))</x:f>
        <x:v>0</x:v>
      </x:c>
      <x:c r="E92" s="72">
        <x:f t="shared" si="11"/>
        <x:v>0</x:v>
      </x:c>
      <x:c r="F92" s="72">
        <x:f t="shared" si="12"/>
        <x:v>0</x:v>
      </x:c>
      <x:c r="G92" s="72" t="str">
        <x:f t="shared" si="13"/>
        <x:v>Offen</x:v>
      </x:c>
      <x:c r="H92" s="72"/>
      <x:c r="I92" s="72" t="n">
        <x:f>COUNTIFS(Eingangsrechnungen!$A$2:$A$301,"&gt;="&amp;A92,Eingangsrechnungen!$A$2:$A$301,"&lt;"&amp;EDATE(A92,1),Eingangsrechnungen!$H$2:$H$301,"&gt;0",Eingangsrechnungen!$G$2:$G$301,"")</x:f>
        <x:v>0</x:v>
      </x:c>
      <x:c r="J92" s="72" t="str">
        <x:f t="shared" si="14"/>
        <x:v>Voraussichtliche Zahllast</x:v>
      </x:c>
    </x:row>
    <x:row r="93">
      <x:c r="A93" s="133">
        <x:v>48976</x:v>
      </x:c>
      <x:c r="B93" s="71">
        <x:f t="shared" si="10"/>
        <x:v>49044</x:v>
      </x:c>
      <x:c r="C93" s="71" t="n">
        <x:f>SUMIFS(Ausgangsrechnungen!$O$2:$O$301,Ausgangsrechnungen!$A$2:$A$301,"&gt;="&amp;A93,Ausgangsrechnungen!$A$2:$A$301,"&lt;"&amp;EDATE(A93,1))</x:f>
        <x:v>0</x:v>
      </x:c>
      <x:c r="D93" s="71" t="n">
        <x:f>SUMIFS(Eingangsrechnungen!$G$2:$G$301,Eingangsrechnungen!$A$2:$A$301,"&gt;="&amp;A93,Eingangsrechnungen!$A$2:$A$301,"&lt;"&amp;EDATE(A93,1))</x:f>
        <x:v>0</x:v>
      </x:c>
      <x:c r="E93" s="71">
        <x:f t="shared" si="11"/>
        <x:v>0</x:v>
      </x:c>
      <x:c r="F93" s="71">
        <x:f t="shared" si="12"/>
        <x:v>0</x:v>
      </x:c>
      <x:c r="G93" s="71" t="str">
        <x:f t="shared" si="13"/>
        <x:v>Offen</x:v>
      </x:c>
      <x:c r="H93" s="71"/>
      <x:c r="I93" s="71" t="n">
        <x:f>COUNTIFS(Eingangsrechnungen!$A$2:$A$301,"&gt;="&amp;A93,Eingangsrechnungen!$A$2:$A$301,"&lt;"&amp;EDATE(A93,1),Eingangsrechnungen!$H$2:$H$301,"&gt;0",Eingangsrechnungen!$G$2:$G$301,"")</x:f>
        <x:v>0</x:v>
      </x:c>
      <x:c r="J93" s="71" t="str">
        <x:f t="shared" si="14"/>
        <x:v>Voraussichtliche Zahllast</x:v>
      </x:c>
    </x:row>
    <x:row r="94">
      <x:c r="A94" s="135">
        <x:v>49004</x:v>
      </x:c>
      <x:c r="B94" s="72">
        <x:f t="shared" si="10"/>
        <x:v>49074</x:v>
      </x:c>
      <x:c r="C94" s="72" t="n">
        <x:f>SUMIFS(Ausgangsrechnungen!$O$2:$O$301,Ausgangsrechnungen!$A$2:$A$301,"&gt;="&amp;A94,Ausgangsrechnungen!$A$2:$A$301,"&lt;"&amp;EDATE(A94,1))</x:f>
        <x:v>0</x:v>
      </x:c>
      <x:c r="D94" s="72" t="n">
        <x:f>SUMIFS(Eingangsrechnungen!$G$2:$G$301,Eingangsrechnungen!$A$2:$A$301,"&gt;="&amp;A94,Eingangsrechnungen!$A$2:$A$301,"&lt;"&amp;EDATE(A94,1))</x:f>
        <x:v>0</x:v>
      </x:c>
      <x:c r="E94" s="72">
        <x:f t="shared" si="11"/>
        <x:v>0</x:v>
      </x:c>
      <x:c r="F94" s="72">
        <x:f t="shared" si="12"/>
        <x:v>0</x:v>
      </x:c>
      <x:c r="G94" s="72" t="str">
        <x:f t="shared" si="13"/>
        <x:v>Offen</x:v>
      </x:c>
      <x:c r="H94" s="72"/>
      <x:c r="I94" s="72" t="n">
        <x:f>COUNTIFS(Eingangsrechnungen!$A$2:$A$301,"&gt;="&amp;A94,Eingangsrechnungen!$A$2:$A$301,"&lt;"&amp;EDATE(A94,1),Eingangsrechnungen!$H$2:$H$301,"&gt;0",Eingangsrechnungen!$G$2:$G$301,"")</x:f>
        <x:v>0</x:v>
      </x:c>
      <x:c r="J94" s="72" t="str">
        <x:f t="shared" si="14"/>
        <x:v>Voraussichtliche Zahllast</x:v>
      </x:c>
    </x:row>
    <x:row r="95">
      <x:c r="A95" s="133">
        <x:v>49035</x:v>
      </x:c>
      <x:c r="B95" s="71">
        <x:f t="shared" si="10"/>
        <x:v>49105</x:v>
      </x:c>
      <x:c r="C95" s="71" t="n">
        <x:f>SUMIFS(Ausgangsrechnungen!$O$2:$O$301,Ausgangsrechnungen!$A$2:$A$301,"&gt;="&amp;A95,Ausgangsrechnungen!$A$2:$A$301,"&lt;"&amp;EDATE(A95,1))</x:f>
        <x:v>0</x:v>
      </x:c>
      <x:c r="D95" s="71" t="n">
        <x:f>SUMIFS(Eingangsrechnungen!$G$2:$G$301,Eingangsrechnungen!$A$2:$A$301,"&gt;="&amp;A95,Eingangsrechnungen!$A$2:$A$301,"&lt;"&amp;EDATE(A95,1))</x:f>
        <x:v>0</x:v>
      </x:c>
      <x:c r="E95" s="71">
        <x:f t="shared" si="11"/>
        <x:v>0</x:v>
      </x:c>
      <x:c r="F95" s="71">
        <x:f t="shared" si="12"/>
        <x:v>0</x:v>
      </x:c>
      <x:c r="G95" s="71" t="str">
        <x:f t="shared" si="13"/>
        <x:v>Offen</x:v>
      </x:c>
      <x:c r="H95" s="71"/>
      <x:c r="I95" s="71" t="n">
        <x:f>COUNTIFS(Eingangsrechnungen!$A$2:$A$301,"&gt;="&amp;A95,Eingangsrechnungen!$A$2:$A$301,"&lt;"&amp;EDATE(A95,1),Eingangsrechnungen!$H$2:$H$301,"&gt;0",Eingangsrechnungen!$G$2:$G$301,"")</x:f>
        <x:v>0</x:v>
      </x:c>
      <x:c r="J95" s="71" t="str">
        <x:f t="shared" si="14"/>
        <x:v>Voraussichtliche Zahllast</x:v>
      </x:c>
    </x:row>
    <x:row r="96">
      <x:c r="A96" s="135">
        <x:v>49065</x:v>
      </x:c>
      <x:c r="B96" s="72">
        <x:f t="shared" si="10"/>
        <x:v>49135</x:v>
      </x:c>
      <x:c r="C96" s="72" t="n">
        <x:f>SUMIFS(Ausgangsrechnungen!$O$2:$O$301,Ausgangsrechnungen!$A$2:$A$301,"&gt;="&amp;A96,Ausgangsrechnungen!$A$2:$A$301,"&lt;"&amp;EDATE(A96,1))</x:f>
        <x:v>0</x:v>
      </x:c>
      <x:c r="D96" s="72" t="n">
        <x:f>SUMIFS(Eingangsrechnungen!$G$2:$G$301,Eingangsrechnungen!$A$2:$A$301,"&gt;="&amp;A96,Eingangsrechnungen!$A$2:$A$301,"&lt;"&amp;EDATE(A96,1))</x:f>
        <x:v>0</x:v>
      </x:c>
      <x:c r="E96" s="72">
        <x:f t="shared" si="11"/>
        <x:v>0</x:v>
      </x:c>
      <x:c r="F96" s="72">
        <x:f t="shared" si="12"/>
        <x:v>0</x:v>
      </x:c>
      <x:c r="G96" s="72" t="str">
        <x:f t="shared" si="13"/>
        <x:v>Offen</x:v>
      </x:c>
      <x:c r="H96" s="72"/>
      <x:c r="I96" s="72" t="n">
        <x:f>COUNTIFS(Eingangsrechnungen!$A$2:$A$301,"&gt;="&amp;A96,Eingangsrechnungen!$A$2:$A$301,"&lt;"&amp;EDATE(A96,1),Eingangsrechnungen!$H$2:$H$301,"&gt;0",Eingangsrechnungen!$G$2:$G$301,"")</x:f>
        <x:v>0</x:v>
      </x:c>
      <x:c r="J96" s="72" t="str">
        <x:f t="shared" si="14"/>
        <x:v>Voraussichtliche Zahllast</x:v>
      </x:c>
    </x:row>
    <x:row r="97">
      <x:c r="A97" s="133">
        <x:v>49096</x:v>
      </x:c>
      <x:c r="B97" s="71">
        <x:f t="shared" si="10"/>
        <x:v>49166</x:v>
      </x:c>
      <x:c r="C97" s="71" t="n">
        <x:f>SUMIFS(Ausgangsrechnungen!$O$2:$O$301,Ausgangsrechnungen!$A$2:$A$301,"&gt;="&amp;A97,Ausgangsrechnungen!$A$2:$A$301,"&lt;"&amp;EDATE(A97,1))</x:f>
        <x:v>0</x:v>
      </x:c>
      <x:c r="D97" s="71" t="n">
        <x:f>SUMIFS(Eingangsrechnungen!$G$2:$G$301,Eingangsrechnungen!$A$2:$A$301,"&gt;="&amp;A97,Eingangsrechnungen!$A$2:$A$301,"&lt;"&amp;EDATE(A97,1))</x:f>
        <x:v>0</x:v>
      </x:c>
      <x:c r="E97" s="71">
        <x:f t="shared" si="11"/>
        <x:v>0</x:v>
      </x:c>
      <x:c r="F97" s="71">
        <x:f t="shared" si="12"/>
        <x:v>0</x:v>
      </x:c>
      <x:c r="G97" s="71" t="str">
        <x:f t="shared" si="13"/>
        <x:v>Offen</x:v>
      </x:c>
      <x:c r="H97" s="71"/>
      <x:c r="I97" s="71" t="n">
        <x:f>COUNTIFS(Eingangsrechnungen!$A$2:$A$301,"&gt;="&amp;A97,Eingangsrechnungen!$A$2:$A$301,"&lt;"&amp;EDATE(A97,1),Eingangsrechnungen!$H$2:$H$301,"&gt;0",Eingangsrechnungen!$G$2:$G$301,"")</x:f>
        <x:v>0</x:v>
      </x:c>
      <x:c r="J97" s="71" t="str">
        <x:f t="shared" si="14"/>
        <x:v>Voraussichtliche Zahllast</x:v>
      </x:c>
    </x:row>
    <x:row r="98">
      <x:c r="A98" s="135">
        <x:v>49126</x:v>
      </x:c>
      <x:c r="B98" s="72" t="n">
        <x:f t="shared" ref="B98:B115" si="15">DATE(YEAR(EDATE(A98,2)),MONTH(EDATE(A98,2)),10)</x:f>
        <x:v>49197</x:v>
      </x:c>
      <x:c r="C98" s="72" t="n">
        <x:f>SUMIFS(Ausgangsrechnungen!$O$2:$O$301,Ausgangsrechnungen!$A$2:$A$301,"&gt;="&amp;A98,Ausgangsrechnungen!$A$2:$A$301,"&lt;"&amp;EDATE(A98,1))</x:f>
        <x:v>0</x:v>
      </x:c>
      <x:c r="D98" s="72" t="n">
        <x:f>SUMIFS(Eingangsrechnungen!$G$2:$G$301,Eingangsrechnungen!$A$2:$A$301,"&gt;="&amp;A98,Eingangsrechnungen!$A$2:$A$301,"&lt;"&amp;EDATE(A98,1))</x:f>
        <x:v>0</x:v>
      </x:c>
      <x:c r="E98" s="72" t="n">
        <x:f t="shared" ref="E98:E115" si="16">C98-D98</x:f>
        <x:v>0</x:v>
      </x:c>
      <x:c r="F98" s="72" t="n">
        <x:f t="shared" ref="F98:F115" si="17">MAX(0,E98)</x:f>
        <x:v>0</x:v>
      </x:c>
      <x:c r="G98" s="72" t="str">
        <x:f t="shared" ref="G98:G115" si="18">IF(H98&lt;&gt;"","Bezahlt","Offen")</x:f>
        <x:v>Offen</x:v>
      </x:c>
      <x:c r="H98" s="72"/>
      <x:c r="I98" s="72" t="n">
        <x:f>COUNTIFS(Eingangsrechnungen!$A$2:$A$301,"&gt;="&amp;A98,Eingangsrechnungen!$A$2:$A$301,"&lt;"&amp;EDATE(A98,1),Eingangsrechnungen!$H$2:$H$301,"&gt;0",Eingangsrechnungen!$G$2:$G$301,"")</x:f>
        <x:v>0</x:v>
      </x:c>
      <x:c r="J98" s="72" t="str">
        <x:f t="shared" ref="J98:J115" si="19">IF(I98&gt;0,"Vorsteuer bei "&amp;I98&amp;" Eingangsrechnung(en) fehlt",IF(E98&lt;0,"Voraussichtliche Erstattung","Voraussichtliche Zahllast"))</x:f>
        <x:v>Voraussichtliche Zahllast</x:v>
      </x:c>
    </x:row>
    <x:row r="99">
      <x:c r="A99" s="133">
        <x:v>49157</x:v>
      </x:c>
      <x:c r="B99" s="71">
        <x:f t="shared" si="15"/>
        <x:v>49227</x:v>
      </x:c>
      <x:c r="C99" s="71" t="n">
        <x:f>SUMIFS(Ausgangsrechnungen!$O$2:$O$301,Ausgangsrechnungen!$A$2:$A$301,"&gt;="&amp;A99,Ausgangsrechnungen!$A$2:$A$301,"&lt;"&amp;EDATE(A99,1))</x:f>
        <x:v>0</x:v>
      </x:c>
      <x:c r="D99" s="71" t="n">
        <x:f>SUMIFS(Eingangsrechnungen!$G$2:$G$301,Eingangsrechnungen!$A$2:$A$301,"&gt;="&amp;A99,Eingangsrechnungen!$A$2:$A$301,"&lt;"&amp;EDATE(A99,1))</x:f>
        <x:v>0</x:v>
      </x:c>
      <x:c r="E99" s="71">
        <x:f t="shared" si="16"/>
        <x:v>0</x:v>
      </x:c>
      <x:c r="F99" s="71">
        <x:f t="shared" si="17"/>
        <x:v>0</x:v>
      </x:c>
      <x:c r="G99" s="71" t="str">
        <x:f t="shared" si="18"/>
        <x:v>Offen</x:v>
      </x:c>
      <x:c r="H99" s="71"/>
      <x:c r="I99" s="71" t="n">
        <x:f>COUNTIFS(Eingangsrechnungen!$A$2:$A$301,"&gt;="&amp;A99,Eingangsrechnungen!$A$2:$A$301,"&lt;"&amp;EDATE(A99,1),Eingangsrechnungen!$H$2:$H$301,"&gt;0",Eingangsrechnungen!$G$2:$G$301,"")</x:f>
        <x:v>0</x:v>
      </x:c>
      <x:c r="J99" s="71" t="str">
        <x:f t="shared" si="19"/>
        <x:v>Voraussichtliche Zahllast</x:v>
      </x:c>
    </x:row>
    <x:row r="100">
      <x:c r="A100" s="135">
        <x:v>49188</x:v>
      </x:c>
      <x:c r="B100" s="72">
        <x:f t="shared" si="15"/>
        <x:v>49258</x:v>
      </x:c>
      <x:c r="C100" s="72" t="n">
        <x:f>SUMIFS(Ausgangsrechnungen!$O$2:$O$301,Ausgangsrechnungen!$A$2:$A$301,"&gt;="&amp;A100,Ausgangsrechnungen!$A$2:$A$301,"&lt;"&amp;EDATE(A100,1))</x:f>
        <x:v>0</x:v>
      </x:c>
      <x:c r="D100" s="72" t="n">
        <x:f>SUMIFS(Eingangsrechnungen!$G$2:$G$301,Eingangsrechnungen!$A$2:$A$301,"&gt;="&amp;A100,Eingangsrechnungen!$A$2:$A$301,"&lt;"&amp;EDATE(A100,1))</x:f>
        <x:v>0</x:v>
      </x:c>
      <x:c r="E100" s="72">
        <x:f t="shared" si="16"/>
        <x:v>0</x:v>
      </x:c>
      <x:c r="F100" s="72">
        <x:f t="shared" si="17"/>
        <x:v>0</x:v>
      </x:c>
      <x:c r="G100" s="72" t="str">
        <x:f t="shared" si="18"/>
        <x:v>Offen</x:v>
      </x:c>
      <x:c r="H100" s="72"/>
      <x:c r="I100" s="72" t="n">
        <x:f>COUNTIFS(Eingangsrechnungen!$A$2:$A$301,"&gt;="&amp;A100,Eingangsrechnungen!$A$2:$A$301,"&lt;"&amp;EDATE(A100,1),Eingangsrechnungen!$H$2:$H$301,"&gt;0",Eingangsrechnungen!$G$2:$G$301,"")</x:f>
        <x:v>0</x:v>
      </x:c>
      <x:c r="J100" s="72" t="str">
        <x:f t="shared" si="19"/>
        <x:v>Voraussichtliche Zahllast</x:v>
      </x:c>
    </x:row>
    <x:row r="101">
      <x:c r="A101" s="133">
        <x:v>49218</x:v>
      </x:c>
      <x:c r="B101" s="71">
        <x:f t="shared" si="15"/>
        <x:v>49288</x:v>
      </x:c>
      <x:c r="C101" s="71" t="n">
        <x:f>SUMIFS(Ausgangsrechnungen!$O$2:$O$301,Ausgangsrechnungen!$A$2:$A$301,"&gt;="&amp;A101,Ausgangsrechnungen!$A$2:$A$301,"&lt;"&amp;EDATE(A101,1))</x:f>
        <x:v>0</x:v>
      </x:c>
      <x:c r="D101" s="71" t="n">
        <x:f>SUMIFS(Eingangsrechnungen!$G$2:$G$301,Eingangsrechnungen!$A$2:$A$301,"&gt;="&amp;A101,Eingangsrechnungen!$A$2:$A$301,"&lt;"&amp;EDATE(A101,1))</x:f>
        <x:v>0</x:v>
      </x:c>
      <x:c r="E101" s="71">
        <x:f t="shared" si="16"/>
        <x:v>0</x:v>
      </x:c>
      <x:c r="F101" s="71">
        <x:f t="shared" si="17"/>
        <x:v>0</x:v>
      </x:c>
      <x:c r="G101" s="71" t="str">
        <x:f t="shared" si="18"/>
        <x:v>Offen</x:v>
      </x:c>
      <x:c r="H101" s="71"/>
      <x:c r="I101" s="71" t="n">
        <x:f>COUNTIFS(Eingangsrechnungen!$A$2:$A$301,"&gt;="&amp;A101,Eingangsrechnungen!$A$2:$A$301,"&lt;"&amp;EDATE(A101,1),Eingangsrechnungen!$H$2:$H$301,"&gt;0",Eingangsrechnungen!$G$2:$G$301,"")</x:f>
        <x:v>0</x:v>
      </x:c>
      <x:c r="J101" s="71" t="str">
        <x:f t="shared" si="19"/>
        <x:v>Voraussichtliche Zahllast</x:v>
      </x:c>
    </x:row>
    <x:row r="102">
      <x:c r="A102" s="135">
        <x:v>49249</x:v>
      </x:c>
      <x:c r="B102" s="72">
        <x:f t="shared" si="15"/>
        <x:v>49319</x:v>
      </x:c>
      <x:c r="C102" s="72" t="n">
        <x:f>SUMIFS(Ausgangsrechnungen!$O$2:$O$301,Ausgangsrechnungen!$A$2:$A$301,"&gt;="&amp;A102,Ausgangsrechnungen!$A$2:$A$301,"&lt;"&amp;EDATE(A102,1))</x:f>
        <x:v>0</x:v>
      </x:c>
      <x:c r="D102" s="72" t="n">
        <x:f>SUMIFS(Eingangsrechnungen!$G$2:$G$301,Eingangsrechnungen!$A$2:$A$301,"&gt;="&amp;A102,Eingangsrechnungen!$A$2:$A$301,"&lt;"&amp;EDATE(A102,1))</x:f>
        <x:v>0</x:v>
      </x:c>
      <x:c r="E102" s="72">
        <x:f t="shared" si="16"/>
        <x:v>0</x:v>
      </x:c>
      <x:c r="F102" s="72">
        <x:f t="shared" si="17"/>
        <x:v>0</x:v>
      </x:c>
      <x:c r="G102" s="72" t="str">
        <x:f t="shared" si="18"/>
        <x:v>Offen</x:v>
      </x:c>
      <x:c r="H102" s="72"/>
      <x:c r="I102" s="72" t="n">
        <x:f>COUNTIFS(Eingangsrechnungen!$A$2:$A$301,"&gt;="&amp;A102,Eingangsrechnungen!$A$2:$A$301,"&lt;"&amp;EDATE(A102,1),Eingangsrechnungen!$H$2:$H$301,"&gt;0",Eingangsrechnungen!$G$2:$G$301,"")</x:f>
        <x:v>0</x:v>
      </x:c>
      <x:c r="J102" s="72" t="str">
        <x:f t="shared" si="19"/>
        <x:v>Voraussichtliche Zahllast</x:v>
      </x:c>
    </x:row>
    <x:row r="103">
      <x:c r="A103" s="133">
        <x:v>49279</x:v>
      </x:c>
      <x:c r="B103" s="71">
        <x:f t="shared" si="15"/>
        <x:v>49350</x:v>
      </x:c>
      <x:c r="C103" s="71" t="n">
        <x:f>SUMIFS(Ausgangsrechnungen!$O$2:$O$301,Ausgangsrechnungen!$A$2:$A$301,"&gt;="&amp;A103,Ausgangsrechnungen!$A$2:$A$301,"&lt;"&amp;EDATE(A103,1))</x:f>
        <x:v>0</x:v>
      </x:c>
      <x:c r="D103" s="71" t="n">
        <x:f>SUMIFS(Eingangsrechnungen!$G$2:$G$301,Eingangsrechnungen!$A$2:$A$301,"&gt;="&amp;A103,Eingangsrechnungen!$A$2:$A$301,"&lt;"&amp;EDATE(A103,1))</x:f>
        <x:v>0</x:v>
      </x:c>
      <x:c r="E103" s="71">
        <x:f t="shared" si="16"/>
        <x:v>0</x:v>
      </x:c>
      <x:c r="F103" s="71">
        <x:f t="shared" si="17"/>
        <x:v>0</x:v>
      </x:c>
      <x:c r="G103" s="71" t="str">
        <x:f t="shared" si="18"/>
        <x:v>Offen</x:v>
      </x:c>
      <x:c r="H103" s="71"/>
      <x:c r="I103" s="71" t="n">
        <x:f>COUNTIFS(Eingangsrechnungen!$A$2:$A$301,"&gt;="&amp;A103,Eingangsrechnungen!$A$2:$A$301,"&lt;"&amp;EDATE(A103,1),Eingangsrechnungen!$H$2:$H$301,"&gt;0",Eingangsrechnungen!$G$2:$G$301,"")</x:f>
        <x:v>0</x:v>
      </x:c>
      <x:c r="J103" s="71" t="str">
        <x:f t="shared" si="19"/>
        <x:v>Voraussichtliche Zahllast</x:v>
      </x:c>
    </x:row>
    <x:row r="104">
      <x:c r="A104" s="135">
        <x:v>49310</x:v>
      </x:c>
      <x:c r="B104" s="72">
        <x:f t="shared" si="15"/>
        <x:v>49378</x:v>
      </x:c>
      <x:c r="C104" s="72" t="n">
        <x:f>SUMIFS(Ausgangsrechnungen!$O$2:$O$301,Ausgangsrechnungen!$A$2:$A$301,"&gt;="&amp;A104,Ausgangsrechnungen!$A$2:$A$301,"&lt;"&amp;EDATE(A104,1))</x:f>
        <x:v>0</x:v>
      </x:c>
      <x:c r="D104" s="72" t="n">
        <x:f>SUMIFS(Eingangsrechnungen!$G$2:$G$301,Eingangsrechnungen!$A$2:$A$301,"&gt;="&amp;A104,Eingangsrechnungen!$A$2:$A$301,"&lt;"&amp;EDATE(A104,1))</x:f>
        <x:v>0</x:v>
      </x:c>
      <x:c r="E104" s="72">
        <x:f t="shared" si="16"/>
        <x:v>0</x:v>
      </x:c>
      <x:c r="F104" s="72">
        <x:f t="shared" si="17"/>
        <x:v>0</x:v>
      </x:c>
      <x:c r="G104" s="72" t="str">
        <x:f t="shared" si="18"/>
        <x:v>Offen</x:v>
      </x:c>
      <x:c r="H104" s="72"/>
      <x:c r="I104" s="72" t="n">
        <x:f>COUNTIFS(Eingangsrechnungen!$A$2:$A$301,"&gt;="&amp;A104,Eingangsrechnungen!$A$2:$A$301,"&lt;"&amp;EDATE(A104,1),Eingangsrechnungen!$H$2:$H$301,"&gt;0",Eingangsrechnungen!$G$2:$G$301,"")</x:f>
        <x:v>0</x:v>
      </x:c>
      <x:c r="J104" s="72" t="str">
        <x:f t="shared" si="19"/>
        <x:v>Voraussichtliche Zahllast</x:v>
      </x:c>
    </x:row>
    <x:row r="105">
      <x:c r="A105" s="133">
        <x:v>49341</x:v>
      </x:c>
      <x:c r="B105" s="71">
        <x:f t="shared" si="15"/>
        <x:v>49409</x:v>
      </x:c>
      <x:c r="C105" s="71" t="n">
        <x:f>SUMIFS(Ausgangsrechnungen!$O$2:$O$301,Ausgangsrechnungen!$A$2:$A$301,"&gt;="&amp;A105,Ausgangsrechnungen!$A$2:$A$301,"&lt;"&amp;EDATE(A105,1))</x:f>
        <x:v>0</x:v>
      </x:c>
      <x:c r="D105" s="71" t="n">
        <x:f>SUMIFS(Eingangsrechnungen!$G$2:$G$301,Eingangsrechnungen!$A$2:$A$301,"&gt;="&amp;A105,Eingangsrechnungen!$A$2:$A$301,"&lt;"&amp;EDATE(A105,1))</x:f>
        <x:v>0</x:v>
      </x:c>
      <x:c r="E105" s="71">
        <x:f t="shared" si="16"/>
        <x:v>0</x:v>
      </x:c>
      <x:c r="F105" s="71">
        <x:f t="shared" si="17"/>
        <x:v>0</x:v>
      </x:c>
      <x:c r="G105" s="71" t="str">
        <x:f t="shared" si="18"/>
        <x:v>Offen</x:v>
      </x:c>
      <x:c r="H105" s="71"/>
      <x:c r="I105" s="71" t="n">
        <x:f>COUNTIFS(Eingangsrechnungen!$A$2:$A$301,"&gt;="&amp;A105,Eingangsrechnungen!$A$2:$A$301,"&lt;"&amp;EDATE(A105,1),Eingangsrechnungen!$H$2:$H$301,"&gt;0",Eingangsrechnungen!$G$2:$G$301,"")</x:f>
        <x:v>0</x:v>
      </x:c>
      <x:c r="J105" s="71" t="str">
        <x:f t="shared" si="19"/>
        <x:v>Voraussichtliche Zahllast</x:v>
      </x:c>
    </x:row>
    <x:row r="106">
      <x:c r="A106" s="135">
        <x:v>49369</x:v>
      </x:c>
      <x:c r="B106" s="72">
        <x:f t="shared" si="15"/>
        <x:v>49439</x:v>
      </x:c>
      <x:c r="C106" s="72" t="n">
        <x:f>SUMIFS(Ausgangsrechnungen!$O$2:$O$301,Ausgangsrechnungen!$A$2:$A$301,"&gt;="&amp;A106,Ausgangsrechnungen!$A$2:$A$301,"&lt;"&amp;EDATE(A106,1))</x:f>
        <x:v>0</x:v>
      </x:c>
      <x:c r="D106" s="72" t="n">
        <x:f>SUMIFS(Eingangsrechnungen!$G$2:$G$301,Eingangsrechnungen!$A$2:$A$301,"&gt;="&amp;A106,Eingangsrechnungen!$A$2:$A$301,"&lt;"&amp;EDATE(A106,1))</x:f>
        <x:v>0</x:v>
      </x:c>
      <x:c r="E106" s="72">
        <x:f t="shared" si="16"/>
        <x:v>0</x:v>
      </x:c>
      <x:c r="F106" s="72">
        <x:f t="shared" si="17"/>
        <x:v>0</x:v>
      </x:c>
      <x:c r="G106" s="72" t="str">
        <x:f t="shared" si="18"/>
        <x:v>Offen</x:v>
      </x:c>
      <x:c r="H106" s="72"/>
      <x:c r="I106" s="72" t="n">
        <x:f>COUNTIFS(Eingangsrechnungen!$A$2:$A$301,"&gt;="&amp;A106,Eingangsrechnungen!$A$2:$A$301,"&lt;"&amp;EDATE(A106,1),Eingangsrechnungen!$H$2:$H$301,"&gt;0",Eingangsrechnungen!$G$2:$G$301,"")</x:f>
        <x:v>0</x:v>
      </x:c>
      <x:c r="J106" s="72" t="str">
        <x:f t="shared" si="19"/>
        <x:v>Voraussichtliche Zahllast</x:v>
      </x:c>
    </x:row>
    <x:row r="107">
      <x:c r="A107" s="133">
        <x:v>49400</x:v>
      </x:c>
      <x:c r="B107" s="71">
        <x:f t="shared" si="15"/>
        <x:v>49470</x:v>
      </x:c>
      <x:c r="C107" s="71" t="n">
        <x:f>SUMIFS(Ausgangsrechnungen!$O$2:$O$301,Ausgangsrechnungen!$A$2:$A$301,"&gt;="&amp;A107,Ausgangsrechnungen!$A$2:$A$301,"&lt;"&amp;EDATE(A107,1))</x:f>
        <x:v>0</x:v>
      </x:c>
      <x:c r="D107" s="71" t="n">
        <x:f>SUMIFS(Eingangsrechnungen!$G$2:$G$301,Eingangsrechnungen!$A$2:$A$301,"&gt;="&amp;A107,Eingangsrechnungen!$A$2:$A$301,"&lt;"&amp;EDATE(A107,1))</x:f>
        <x:v>0</x:v>
      </x:c>
      <x:c r="E107" s="71">
        <x:f t="shared" si="16"/>
        <x:v>0</x:v>
      </x:c>
      <x:c r="F107" s="71">
        <x:f t="shared" si="17"/>
        <x:v>0</x:v>
      </x:c>
      <x:c r="G107" s="71" t="str">
        <x:f t="shared" si="18"/>
        <x:v>Offen</x:v>
      </x:c>
      <x:c r="H107" s="71"/>
      <x:c r="I107" s="71" t="n">
        <x:f>COUNTIFS(Eingangsrechnungen!$A$2:$A$301,"&gt;="&amp;A107,Eingangsrechnungen!$A$2:$A$301,"&lt;"&amp;EDATE(A107,1),Eingangsrechnungen!$H$2:$H$301,"&gt;0",Eingangsrechnungen!$G$2:$G$301,"")</x:f>
        <x:v>0</x:v>
      </x:c>
      <x:c r="J107" s="71" t="str">
        <x:f t="shared" si="19"/>
        <x:v>Voraussichtliche Zahllast</x:v>
      </x:c>
    </x:row>
    <x:row r="108">
      <x:c r="A108" s="135">
        <x:v>49430</x:v>
      </x:c>
      <x:c r="B108" s="72">
        <x:f t="shared" si="15"/>
        <x:v>49500</x:v>
      </x:c>
      <x:c r="C108" s="72" t="n">
        <x:f>SUMIFS(Ausgangsrechnungen!$O$2:$O$301,Ausgangsrechnungen!$A$2:$A$301,"&gt;="&amp;A108,Ausgangsrechnungen!$A$2:$A$301,"&lt;"&amp;EDATE(A108,1))</x:f>
        <x:v>0</x:v>
      </x:c>
      <x:c r="D108" s="72" t="n">
        <x:f>SUMIFS(Eingangsrechnungen!$G$2:$G$301,Eingangsrechnungen!$A$2:$A$301,"&gt;="&amp;A108,Eingangsrechnungen!$A$2:$A$301,"&lt;"&amp;EDATE(A108,1))</x:f>
        <x:v>0</x:v>
      </x:c>
      <x:c r="E108" s="72">
        <x:f t="shared" si="16"/>
        <x:v>0</x:v>
      </x:c>
      <x:c r="F108" s="72">
        <x:f t="shared" si="17"/>
        <x:v>0</x:v>
      </x:c>
      <x:c r="G108" s="72" t="str">
        <x:f t="shared" si="18"/>
        <x:v>Offen</x:v>
      </x:c>
      <x:c r="H108" s="72"/>
      <x:c r="I108" s="72" t="n">
        <x:f>COUNTIFS(Eingangsrechnungen!$A$2:$A$301,"&gt;="&amp;A108,Eingangsrechnungen!$A$2:$A$301,"&lt;"&amp;EDATE(A108,1),Eingangsrechnungen!$H$2:$H$301,"&gt;0",Eingangsrechnungen!$G$2:$G$301,"")</x:f>
        <x:v>0</x:v>
      </x:c>
      <x:c r="J108" s="72" t="str">
        <x:f t="shared" si="19"/>
        <x:v>Voraussichtliche Zahllast</x:v>
      </x:c>
    </x:row>
    <x:row r="109">
      <x:c r="A109" s="133">
        <x:v>49461</x:v>
      </x:c>
      <x:c r="B109" s="71">
        <x:f t="shared" si="15"/>
        <x:v>49531</x:v>
      </x:c>
      <x:c r="C109" s="71" t="n">
        <x:f>SUMIFS(Ausgangsrechnungen!$O$2:$O$301,Ausgangsrechnungen!$A$2:$A$301,"&gt;="&amp;A109,Ausgangsrechnungen!$A$2:$A$301,"&lt;"&amp;EDATE(A109,1))</x:f>
        <x:v>0</x:v>
      </x:c>
      <x:c r="D109" s="71" t="n">
        <x:f>SUMIFS(Eingangsrechnungen!$G$2:$G$301,Eingangsrechnungen!$A$2:$A$301,"&gt;="&amp;A109,Eingangsrechnungen!$A$2:$A$301,"&lt;"&amp;EDATE(A109,1))</x:f>
        <x:v>0</x:v>
      </x:c>
      <x:c r="E109" s="71">
        <x:f t="shared" si="16"/>
        <x:v>0</x:v>
      </x:c>
      <x:c r="F109" s="71">
        <x:f t="shared" si="17"/>
        <x:v>0</x:v>
      </x:c>
      <x:c r="G109" s="71" t="str">
        <x:f t="shared" si="18"/>
        <x:v>Offen</x:v>
      </x:c>
      <x:c r="H109" s="71"/>
      <x:c r="I109" s="71" t="n">
        <x:f>COUNTIFS(Eingangsrechnungen!$A$2:$A$301,"&gt;="&amp;A109,Eingangsrechnungen!$A$2:$A$301,"&lt;"&amp;EDATE(A109,1),Eingangsrechnungen!$H$2:$H$301,"&gt;0",Eingangsrechnungen!$G$2:$G$301,"")</x:f>
        <x:v>0</x:v>
      </x:c>
      <x:c r="J109" s="71" t="str">
        <x:f t="shared" si="19"/>
        <x:v>Voraussichtliche Zahllast</x:v>
      </x:c>
    </x:row>
    <x:row r="110">
      <x:c r="A110" s="135">
        <x:v>49491</x:v>
      </x:c>
      <x:c r="B110" s="72">
        <x:f t="shared" si="15"/>
        <x:v>49562</x:v>
      </x:c>
      <x:c r="C110" s="72" t="n">
        <x:f>SUMIFS(Ausgangsrechnungen!$O$2:$O$301,Ausgangsrechnungen!$A$2:$A$301,"&gt;="&amp;A110,Ausgangsrechnungen!$A$2:$A$301,"&lt;"&amp;EDATE(A110,1))</x:f>
        <x:v>0</x:v>
      </x:c>
      <x:c r="D110" s="72" t="n">
        <x:f>SUMIFS(Eingangsrechnungen!$G$2:$G$301,Eingangsrechnungen!$A$2:$A$301,"&gt;="&amp;A110,Eingangsrechnungen!$A$2:$A$301,"&lt;"&amp;EDATE(A110,1))</x:f>
        <x:v>0</x:v>
      </x:c>
      <x:c r="E110" s="72">
        <x:f t="shared" si="16"/>
        <x:v>0</x:v>
      </x:c>
      <x:c r="F110" s="72">
        <x:f t="shared" si="17"/>
        <x:v>0</x:v>
      </x:c>
      <x:c r="G110" s="72" t="str">
        <x:f t="shared" si="18"/>
        <x:v>Offen</x:v>
      </x:c>
      <x:c r="H110" s="72"/>
      <x:c r="I110" s="72" t="n">
        <x:f>COUNTIFS(Eingangsrechnungen!$A$2:$A$301,"&gt;="&amp;A110,Eingangsrechnungen!$A$2:$A$301,"&lt;"&amp;EDATE(A110,1),Eingangsrechnungen!$H$2:$H$301,"&gt;0",Eingangsrechnungen!$G$2:$G$301,"")</x:f>
        <x:v>0</x:v>
      </x:c>
      <x:c r="J110" s="72" t="str">
        <x:f t="shared" si="19"/>
        <x:v>Voraussichtliche Zahllast</x:v>
      </x:c>
    </x:row>
    <x:row r="111">
      <x:c r="A111" s="133">
        <x:v>49522</x:v>
      </x:c>
      <x:c r="B111" s="71">
        <x:f t="shared" si="15"/>
        <x:v>49592</x:v>
      </x:c>
      <x:c r="C111" s="71" t="n">
        <x:f>SUMIFS(Ausgangsrechnungen!$O$2:$O$301,Ausgangsrechnungen!$A$2:$A$301,"&gt;="&amp;A111,Ausgangsrechnungen!$A$2:$A$301,"&lt;"&amp;EDATE(A111,1))</x:f>
        <x:v>0</x:v>
      </x:c>
      <x:c r="D111" s="71" t="n">
        <x:f>SUMIFS(Eingangsrechnungen!$G$2:$G$301,Eingangsrechnungen!$A$2:$A$301,"&gt;="&amp;A111,Eingangsrechnungen!$A$2:$A$301,"&lt;"&amp;EDATE(A111,1))</x:f>
        <x:v>0</x:v>
      </x:c>
      <x:c r="E111" s="71">
        <x:f t="shared" si="16"/>
        <x:v>0</x:v>
      </x:c>
      <x:c r="F111" s="71">
        <x:f t="shared" si="17"/>
        <x:v>0</x:v>
      </x:c>
      <x:c r="G111" s="71" t="str">
        <x:f t="shared" si="18"/>
        <x:v>Offen</x:v>
      </x:c>
      <x:c r="H111" s="71"/>
      <x:c r="I111" s="71" t="n">
        <x:f>COUNTIFS(Eingangsrechnungen!$A$2:$A$301,"&gt;="&amp;A111,Eingangsrechnungen!$A$2:$A$301,"&lt;"&amp;EDATE(A111,1),Eingangsrechnungen!$H$2:$H$301,"&gt;0",Eingangsrechnungen!$G$2:$G$301,"")</x:f>
        <x:v>0</x:v>
      </x:c>
      <x:c r="J111" s="71" t="str">
        <x:f t="shared" si="19"/>
        <x:v>Voraussichtliche Zahllast</x:v>
      </x:c>
    </x:row>
    <x:row r="112">
      <x:c r="A112" s="135">
        <x:v>49553</x:v>
      </x:c>
      <x:c r="B112" s="72">
        <x:f t="shared" si="15"/>
        <x:v>49623</x:v>
      </x:c>
      <x:c r="C112" s="72" t="n">
        <x:f>SUMIFS(Ausgangsrechnungen!$O$2:$O$301,Ausgangsrechnungen!$A$2:$A$301,"&gt;="&amp;A112,Ausgangsrechnungen!$A$2:$A$301,"&lt;"&amp;EDATE(A112,1))</x:f>
        <x:v>0</x:v>
      </x:c>
      <x:c r="D112" s="72" t="n">
        <x:f>SUMIFS(Eingangsrechnungen!$G$2:$G$301,Eingangsrechnungen!$A$2:$A$301,"&gt;="&amp;A112,Eingangsrechnungen!$A$2:$A$301,"&lt;"&amp;EDATE(A112,1))</x:f>
        <x:v>0</x:v>
      </x:c>
      <x:c r="E112" s="72">
        <x:f t="shared" si="16"/>
        <x:v>0</x:v>
      </x:c>
      <x:c r="F112" s="72">
        <x:f t="shared" si="17"/>
        <x:v>0</x:v>
      </x:c>
      <x:c r="G112" s="72" t="str">
        <x:f t="shared" si="18"/>
        <x:v>Offen</x:v>
      </x:c>
      <x:c r="H112" s="72"/>
      <x:c r="I112" s="72" t="n">
        <x:f>COUNTIFS(Eingangsrechnungen!$A$2:$A$301,"&gt;="&amp;A112,Eingangsrechnungen!$A$2:$A$301,"&lt;"&amp;EDATE(A112,1),Eingangsrechnungen!$H$2:$H$301,"&gt;0",Eingangsrechnungen!$G$2:$G$301,"")</x:f>
        <x:v>0</x:v>
      </x:c>
      <x:c r="J112" s="72" t="str">
        <x:f t="shared" si="19"/>
        <x:v>Voraussichtliche Zahllast</x:v>
      </x:c>
    </x:row>
    <x:row r="113">
      <x:c r="A113" s="133">
        <x:v>49583</x:v>
      </x:c>
      <x:c r="B113" s="71">
        <x:f t="shared" si="15"/>
        <x:v>49653</x:v>
      </x:c>
      <x:c r="C113" s="71" t="n">
        <x:f>SUMIFS(Ausgangsrechnungen!$O$2:$O$301,Ausgangsrechnungen!$A$2:$A$301,"&gt;="&amp;A113,Ausgangsrechnungen!$A$2:$A$301,"&lt;"&amp;EDATE(A113,1))</x:f>
        <x:v>0</x:v>
      </x:c>
      <x:c r="D113" s="71" t="n">
        <x:f>SUMIFS(Eingangsrechnungen!$G$2:$G$301,Eingangsrechnungen!$A$2:$A$301,"&gt;="&amp;A113,Eingangsrechnungen!$A$2:$A$301,"&lt;"&amp;EDATE(A113,1))</x:f>
        <x:v>0</x:v>
      </x:c>
      <x:c r="E113" s="71">
        <x:f t="shared" si="16"/>
        <x:v>0</x:v>
      </x:c>
      <x:c r="F113" s="71">
        <x:f t="shared" si="17"/>
        <x:v>0</x:v>
      </x:c>
      <x:c r="G113" s="71" t="str">
        <x:f t="shared" si="18"/>
        <x:v>Offen</x:v>
      </x:c>
      <x:c r="H113" s="71"/>
      <x:c r="I113" s="71" t="n">
        <x:f>COUNTIFS(Eingangsrechnungen!$A$2:$A$301,"&gt;="&amp;A113,Eingangsrechnungen!$A$2:$A$301,"&lt;"&amp;EDATE(A113,1),Eingangsrechnungen!$H$2:$H$301,"&gt;0",Eingangsrechnungen!$G$2:$G$301,"")</x:f>
        <x:v>0</x:v>
      </x:c>
      <x:c r="J113" s="71" t="str">
        <x:f t="shared" si="19"/>
        <x:v>Voraussichtliche Zahllast</x:v>
      </x:c>
    </x:row>
    <x:row r="114">
      <x:c r="A114" s="135">
        <x:v>49614</x:v>
      </x:c>
      <x:c r="B114" s="72">
        <x:f t="shared" si="15"/>
        <x:v>49684</x:v>
      </x:c>
      <x:c r="C114" s="72" t="n">
        <x:f>SUMIFS(Ausgangsrechnungen!$O$2:$O$301,Ausgangsrechnungen!$A$2:$A$301,"&gt;="&amp;A114,Ausgangsrechnungen!$A$2:$A$301,"&lt;"&amp;EDATE(A114,1))</x:f>
        <x:v>0</x:v>
      </x:c>
      <x:c r="D114" s="72" t="n">
        <x:f>SUMIFS(Eingangsrechnungen!$G$2:$G$301,Eingangsrechnungen!$A$2:$A$301,"&gt;="&amp;A114,Eingangsrechnungen!$A$2:$A$301,"&lt;"&amp;EDATE(A114,1))</x:f>
        <x:v>0</x:v>
      </x:c>
      <x:c r="E114" s="72">
        <x:f t="shared" si="16"/>
        <x:v>0</x:v>
      </x:c>
      <x:c r="F114" s="72">
        <x:f t="shared" si="17"/>
        <x:v>0</x:v>
      </x:c>
      <x:c r="G114" s="72" t="str">
        <x:f t="shared" si="18"/>
        <x:v>Offen</x:v>
      </x:c>
      <x:c r="H114" s="72"/>
      <x:c r="I114" s="72" t="n">
        <x:f>COUNTIFS(Eingangsrechnungen!$A$2:$A$301,"&gt;="&amp;A114,Eingangsrechnungen!$A$2:$A$301,"&lt;"&amp;EDATE(A114,1),Eingangsrechnungen!$H$2:$H$301,"&gt;0",Eingangsrechnungen!$G$2:$G$301,"")</x:f>
        <x:v>0</x:v>
      </x:c>
      <x:c r="J114" s="72" t="str">
        <x:f t="shared" si="19"/>
        <x:v>Voraussichtliche Zahllast</x:v>
      </x:c>
    </x:row>
    <x:row r="115">
      <x:c r="A115" s="133">
        <x:v>49644</x:v>
      </x:c>
      <x:c r="B115" s="71">
        <x:f t="shared" si="15"/>
        <x:v>49715</x:v>
      </x:c>
      <x:c r="C115" s="71" t="n">
        <x:f>SUMIFS(Ausgangsrechnungen!$O$2:$O$301,Ausgangsrechnungen!$A$2:$A$301,"&gt;="&amp;A115,Ausgangsrechnungen!$A$2:$A$301,"&lt;"&amp;EDATE(A115,1))</x:f>
        <x:v>0</x:v>
      </x:c>
      <x:c r="D115" s="71" t="n">
        <x:f>SUMIFS(Eingangsrechnungen!$G$2:$G$301,Eingangsrechnungen!$A$2:$A$301,"&gt;="&amp;A115,Eingangsrechnungen!$A$2:$A$301,"&lt;"&amp;EDATE(A115,1))</x:f>
        <x:v>0</x:v>
      </x:c>
      <x:c r="E115" s="71">
        <x:f t="shared" si="16"/>
        <x:v>0</x:v>
      </x:c>
      <x:c r="F115" s="71">
        <x:f t="shared" si="17"/>
        <x:v>0</x:v>
      </x:c>
      <x:c r="G115" s="71" t="str">
        <x:f t="shared" si="18"/>
        <x:v>Offen</x:v>
      </x:c>
      <x:c r="H115" s="71"/>
      <x:c r="I115" s="71" t="n">
        <x:f>COUNTIFS(Eingangsrechnungen!$A$2:$A$301,"&gt;="&amp;A115,Eingangsrechnungen!$A$2:$A$301,"&lt;"&amp;EDATE(A115,1),Eingangsrechnungen!$H$2:$H$301,"&gt;0",Eingangsrechnungen!$G$2:$G$301,"")</x:f>
        <x:v>0</x:v>
      </x:c>
      <x:c r="J115" s="71" t="str">
        <x:f t="shared" si="19"/>
        <x:v>Voraussichtliche Zahllast</x:v>
      </x:c>
    </x:row>
  </x:sheetData>
  <x:conditionalFormatting sqref="E2:E19">
    <x:cfRule type="cellIs" dxfId="15" priority="1" operator="greaterThan">
      <x:formula>0</x:formula>
    </x:cfRule>
    <x:cfRule type="cellIs" dxfId="14" priority="2" operator="lessThan">
      <x:formula>0</x:formula>
    </x:cfRule>
  </x:conditionalFormatting>
  <x:conditionalFormatting sqref="E2:E115">
    <x:cfRule type="expression" dxfId="13" priority="6">
      <x:formula>E2&gt;0</x:formula>
    </x:cfRule>
    <x:cfRule type="expression" dxfId="12" priority="7">
      <x:formula>E2&lt;0</x:formula>
    </x:cfRule>
  </x:conditionalFormatting>
  <x:conditionalFormatting sqref="G2:G115">
    <x:cfRule type="expression" dxfId="11" priority="4">
      <x:formula>G2="Bezahlt"</x:formula>
    </x:cfRule>
    <x:cfRule type="expression" dxfId="10" priority="5">
      <x:formula>G2="Offen"</x:formula>
    </x:cfRule>
  </x:conditionalFormatting>
  <x:conditionalFormatting sqref="I2:I19">
    <x:cfRule type="cellIs" dxfId="9" priority="3" operator="greaterThan">
      <x:formula>0</x:formula>
    </x:cfRule>
  </x:conditionalFormatting>
  <x:dataValidations count="2">
    <x:dataValidation type="list" sqref="G2:G19">
      <x:formula1>"Offen,Bezahlt,Erstattung erhalten"</x:formula1>
    </x:dataValidation>
    <x:dataValidation type="list" sqref="G2:G115">
      <x:formula1>"Offen,Bezahlt,Erstattung"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796875" defaultRowHeight="13.800000190734863"/>
  <x:cols>
    <x:col min="1" max="1" width="16" customWidth="1"/>
    <x:col min="2" max="3" width="18" customWidth="1"/>
    <x:col min="4" max="4" width="22" customWidth="1"/>
    <x:col min="5" max="5" width="15" customWidth="1"/>
    <x:col min="6" max="6" width="17" customWidth="1"/>
    <x:col min="7" max="7" width="14" customWidth="1"/>
    <x:col min="8" max="10" width="18" customWidth="1"/>
    <x:col min="11" max="11" width="14" customWidth="1"/>
  </x:cols>
  <x:sheetData>
    <x:row r="1" ht="25.649999618530273" customHeight="1">
      <x:c r="A1" s="276" t="s">
        <x:v>197</x:v>
      </x:c>
      <x:c r="B1" s="276"/>
      <x:c r="C1" s="276"/>
      <x:c r="D1" s="276"/>
      <x:c r="E1" s="276"/>
      <x:c r="F1" s="276"/>
      <x:c r="G1" s="276"/>
      <x:c r="H1" s="276"/>
      <x:c r="I1" s="276"/>
      <x:c r="J1" s="276"/>
      <x:c r="K1" s="276"/>
    </x:row>
    <x:row r="2" ht="24" customHeight="1">
      <x:c r="A2" s="112" t="s">
        <x:v>55</x:v>
      </x:c>
      <x:c r="B2" s="8" t="s">
        <x:v>198</x:v>
      </x:c>
      <x:c r="C2" s="8" t="s">
        <x:v>165</x:v>
      </x:c>
      <x:c r="D2" s="8" t="s">
        <x:v>199</x:v>
      </x:c>
      <x:c r="E2" s="8" t="s">
        <x:v>168</x:v>
      </x:c>
      <x:c r="F2" s="8" t="s">
        <x:v>169</x:v>
      </x:c>
      <x:c r="G2" s="8" t="s">
        <x:v>171</x:v>
      </x:c>
      <x:c r="H2" s="8" t="s">
        <x:v>173</x:v>
      </x:c>
      <x:c r="I2" s="8" t="s">
        <x:v>200</x:v>
      </x:c>
      <x:c r="J2" s="8" t="s">
        <x:v>201</x:v>
      </x:c>
      <x:c r="K2" s="8" t="s">
        <x:v>202</x:v>
      </x:c>
    </x:row>
    <x:row r="3">
      <x:c r="A3" s="113">
        <x:v>46204</x:v>
      </x:c>
      <x:c r="B3" s="117" t="n">
        <x:f>SUMIFS(Ausgangsrechnungen!$N$2:$N$301,Ausgangsrechnungen!$A$2:$A$301,"&gt;="&amp;A3,Ausgangsrechnungen!$A$2:$A$301,"&lt;"&amp;EDATE(A3,1))</x:f>
        <x:v>50796.61</x:v>
      </x:c>
      <x:c r="C3" s="117" t="e">
        <x:f>Liquiditätsplan!D2</x:f>
      </x:c>
      <x:c r="D3" s="117" t="n">
        <x:f>SUMIFS(Eingangsrechnungen!$F$2:$F$301,Eingangsrechnungen!$A$2:$A$301,"&gt;="&amp;A3,Eingangsrechnungen!$A$2:$A$301,"&lt;"&amp;EDATE(A3,1))</x:f>
        <x:v>17595.06</x:v>
      </x:c>
      <x:c r="E3" s="117" t="e">
        <x:f>Liquiditätsplan!G2</x:f>
      </x:c>
      <x:c r="F3" s="117" t="e">
        <x:f>Liquiditätsplan!H2</x:f>
      </x:c>
      <x:c r="G3" s="117" t="e">
        <x:f>Liquiditätsplan!J2</x:f>
      </x:c>
      <x:c r="H3" s="117" t="e">
        <x:f>Liquiditätsplan!L2</x:f>
      </x:c>
      <x:c r="I3" s="117" t="e">
        <x:f t="shared" ref="I3:I34" si="0">SUM(D3:H3)</x:f>
      </x:c>
      <x:c r="J3" s="117" t="e">
        <x:f t="shared" ref="J3:J34" si="1">B3+C3-I3</x:f>
      </x:c>
      <x:c r="K3" s="138" t="e">
        <x:f t="shared" ref="K3:K34" si="2">IF(B3=0,0,J3/B3)</x:f>
      </x:c>
    </x:row>
    <x:row r="4">
      <x:c r="A4" s="136">
        <x:v>46235</x:v>
      </x:c>
      <x:c r="B4" s="115" t="n">
        <x:f>SUMIFS(Ausgangsrechnungen!$N$2:$N$301,Ausgangsrechnungen!$A$2:$A$301,"&gt;="&amp;A4,Ausgangsrechnungen!$A$2:$A$301,"&lt;"&amp;EDATE(A4,1))</x:f>
        <x:v>0</x:v>
      </x:c>
      <x:c r="C4" s="115" t="e">
        <x:f>Liquiditätsplan!D3</x:f>
      </x:c>
      <x:c r="D4" s="115" t="n">
        <x:f>SUMIFS(Eingangsrechnungen!$F$2:$F$301,Eingangsrechnungen!$A$2:$A$301,"&gt;="&amp;A4,Eingangsrechnungen!$A$2:$A$301,"&lt;"&amp;EDATE(A4,1))</x:f>
        <x:v>0</x:v>
      </x:c>
      <x:c r="E4" s="115" t="e">
        <x:f>Liquiditätsplan!G3</x:f>
      </x:c>
      <x:c r="F4" s="115" t="e">
        <x:f>Liquiditätsplan!H3</x:f>
      </x:c>
      <x:c r="G4" s="115" t="e">
        <x:f>Liquiditätsplan!J3</x:f>
      </x:c>
      <x:c r="H4" s="115" t="e">
        <x:f>Liquiditätsplan!L3</x:f>
      </x:c>
      <x:c r="I4" s="115">
        <x:f t="shared" si="0"/>
        <x:v>3000</x:v>
      </x:c>
      <x:c r="J4" s="115">
        <x:f t="shared" si="1"/>
        <x:v>-3000</x:v>
      </x:c>
      <x:c r="K4" s="139">
        <x:f t="shared" si="2"/>
        <x:v>0</x:v>
      </x:c>
    </x:row>
    <x:row r="5">
      <x:c r="A5" s="114">
        <x:v>46266</x:v>
      </x:c>
      <x:c r="B5" s="116" t="n">
        <x:f>SUMIFS(Ausgangsrechnungen!$N$2:$N$301,Ausgangsrechnungen!$A$2:$A$301,"&gt;="&amp;A5,Ausgangsrechnungen!$A$2:$A$301,"&lt;"&amp;EDATE(A5,1))</x:f>
        <x:v>0</x:v>
      </x:c>
      <x:c r="C5" s="116" t="e">
        <x:f>Liquiditätsplan!D4</x:f>
      </x:c>
      <x:c r="D5" s="116" t="n">
        <x:f>SUMIFS(Eingangsrechnungen!$F$2:$F$301,Eingangsrechnungen!$A$2:$A$301,"&gt;="&amp;A5,Eingangsrechnungen!$A$2:$A$301,"&lt;"&amp;EDATE(A5,1))</x:f>
        <x:v>0</x:v>
      </x:c>
      <x:c r="E5" s="116" t="e">
        <x:f>Liquiditätsplan!G4</x:f>
      </x:c>
      <x:c r="F5" s="116" t="e">
        <x:f>Liquiditätsplan!H4</x:f>
      </x:c>
      <x:c r="G5" s="116" t="e">
        <x:f>Liquiditätsplan!J4</x:f>
      </x:c>
      <x:c r="H5" s="116" t="e">
        <x:f>Liquiditätsplan!L4</x:f>
      </x:c>
      <x:c r="I5" s="116">
        <x:f t="shared" si="0"/>
        <x:v>3000</x:v>
      </x:c>
      <x:c r="J5" s="116">
        <x:f t="shared" si="1"/>
        <x:v>-3000</x:v>
      </x:c>
      <x:c r="K5" s="140">
        <x:f t="shared" si="2"/>
        <x:v>0</x:v>
      </x:c>
    </x:row>
    <x:row r="6">
      <x:c r="A6" s="136">
        <x:v>46296</x:v>
      </x:c>
      <x:c r="B6" s="115" t="n">
        <x:f>SUMIFS(Ausgangsrechnungen!$N$2:$N$301,Ausgangsrechnungen!$A$2:$A$301,"&gt;="&amp;A6,Ausgangsrechnungen!$A$2:$A$301,"&lt;"&amp;EDATE(A6,1))</x:f>
        <x:v>0</x:v>
      </x:c>
      <x:c r="C6" s="115" t="e">
        <x:f>Liquiditätsplan!D5</x:f>
      </x:c>
      <x:c r="D6" s="115" t="n">
        <x:f>SUMIFS(Eingangsrechnungen!$F$2:$F$301,Eingangsrechnungen!$A$2:$A$301,"&gt;="&amp;A6,Eingangsrechnungen!$A$2:$A$301,"&lt;"&amp;EDATE(A6,1))</x:f>
        <x:v>0</x:v>
      </x:c>
      <x:c r="E6" s="115" t="e">
        <x:f>Liquiditätsplan!G5</x:f>
      </x:c>
      <x:c r="F6" s="115" t="e">
        <x:f>Liquiditätsplan!H5</x:f>
      </x:c>
      <x:c r="G6" s="115" t="e">
        <x:f>Liquiditätsplan!J5</x:f>
      </x:c>
      <x:c r="H6" s="115" t="e">
        <x:f>Liquiditätsplan!L5</x:f>
      </x:c>
      <x:c r="I6" s="115">
        <x:f t="shared" si="0"/>
        <x:v>3000</x:v>
      </x:c>
      <x:c r="J6" s="115">
        <x:f t="shared" si="1"/>
        <x:v>-3000</x:v>
      </x:c>
      <x:c r="K6" s="139">
        <x:f t="shared" si="2"/>
        <x:v>0</x:v>
      </x:c>
    </x:row>
    <x:row r="7">
      <x:c r="A7" s="114">
        <x:v>46327</x:v>
      </x:c>
      <x:c r="B7" s="116" t="n">
        <x:f>SUMIFS(Ausgangsrechnungen!$N$2:$N$301,Ausgangsrechnungen!$A$2:$A$301,"&gt;="&amp;A7,Ausgangsrechnungen!$A$2:$A$301,"&lt;"&amp;EDATE(A7,1))</x:f>
        <x:v>0</x:v>
      </x:c>
      <x:c r="C7" s="116" t="e">
        <x:f>Liquiditätsplan!D6</x:f>
      </x:c>
      <x:c r="D7" s="116" t="n">
        <x:f>SUMIFS(Eingangsrechnungen!$F$2:$F$301,Eingangsrechnungen!$A$2:$A$301,"&gt;="&amp;A7,Eingangsrechnungen!$A$2:$A$301,"&lt;"&amp;EDATE(A7,1))</x:f>
        <x:v>0</x:v>
      </x:c>
      <x:c r="E7" s="116" t="e">
        <x:f>Liquiditätsplan!G6</x:f>
      </x:c>
      <x:c r="F7" s="116" t="e">
        <x:f>Liquiditätsplan!H6</x:f>
      </x:c>
      <x:c r="G7" s="116" t="e">
        <x:f>Liquiditätsplan!J6</x:f>
      </x:c>
      <x:c r="H7" s="116" t="e">
        <x:f>Liquiditätsplan!L6</x:f>
      </x:c>
      <x:c r="I7" s="116">
        <x:f t="shared" si="0"/>
        <x:v>3000</x:v>
      </x:c>
      <x:c r="J7" s="116">
        <x:f t="shared" si="1"/>
        <x:v>-3000</x:v>
      </x:c>
      <x:c r="K7" s="140">
        <x:f t="shared" si="2"/>
        <x:v>0</x:v>
      </x:c>
    </x:row>
    <x:row r="8">
      <x:c r="A8" s="136">
        <x:v>46357</x:v>
      </x:c>
      <x:c r="B8" s="115" t="n">
        <x:f>SUMIFS(Ausgangsrechnungen!$N$2:$N$301,Ausgangsrechnungen!$A$2:$A$301,"&gt;="&amp;A8,Ausgangsrechnungen!$A$2:$A$301,"&lt;"&amp;EDATE(A8,1))</x:f>
        <x:v>0</x:v>
      </x:c>
      <x:c r="C8" s="115" t="e">
        <x:f>Liquiditätsplan!D7</x:f>
      </x:c>
      <x:c r="D8" s="115" t="n">
        <x:f>SUMIFS(Eingangsrechnungen!$F$2:$F$301,Eingangsrechnungen!$A$2:$A$301,"&gt;="&amp;A8,Eingangsrechnungen!$A$2:$A$301,"&lt;"&amp;EDATE(A8,1))</x:f>
        <x:v>0</x:v>
      </x:c>
      <x:c r="E8" s="115" t="e">
        <x:f>Liquiditätsplan!G7</x:f>
      </x:c>
      <x:c r="F8" s="115" t="e">
        <x:f>Liquiditätsplan!H7</x:f>
      </x:c>
      <x:c r="G8" s="115" t="e">
        <x:f>Liquiditätsplan!J7</x:f>
      </x:c>
      <x:c r="H8" s="115" t="e">
        <x:f>Liquiditätsplan!L7</x:f>
      </x:c>
      <x:c r="I8" s="115">
        <x:f t="shared" si="0"/>
        <x:v>3000</x:v>
      </x:c>
      <x:c r="J8" s="115">
        <x:f t="shared" si="1"/>
        <x:v>-3000</x:v>
      </x:c>
      <x:c r="K8" s="139">
        <x:f t="shared" si="2"/>
        <x:v>0</x:v>
      </x:c>
    </x:row>
    <x:row r="9">
      <x:c r="A9" s="114">
        <x:v>46388</x:v>
      </x:c>
      <x:c r="B9" s="116" t="n">
        <x:f>SUMIFS(Ausgangsrechnungen!$N$2:$N$301,Ausgangsrechnungen!$A$2:$A$301,"&gt;="&amp;A9,Ausgangsrechnungen!$A$2:$A$301,"&lt;"&amp;EDATE(A9,1))</x:f>
        <x:v>0</x:v>
      </x:c>
      <x:c r="C9" s="116" t="e">
        <x:f>Liquiditätsplan!D8</x:f>
      </x:c>
      <x:c r="D9" s="116" t="n">
        <x:f>SUMIFS(Eingangsrechnungen!$F$2:$F$301,Eingangsrechnungen!$A$2:$A$301,"&gt;="&amp;A9,Eingangsrechnungen!$A$2:$A$301,"&lt;"&amp;EDATE(A9,1))</x:f>
        <x:v>0</x:v>
      </x:c>
      <x:c r="E9" s="116" t="e">
        <x:f>Liquiditätsplan!G8</x:f>
      </x:c>
      <x:c r="F9" s="116" t="e">
        <x:f>Liquiditätsplan!H8</x:f>
      </x:c>
      <x:c r="G9" s="116" t="e">
        <x:f>Liquiditätsplan!J8</x:f>
      </x:c>
      <x:c r="H9" s="116" t="e">
        <x:f>Liquiditätsplan!L8</x:f>
      </x:c>
      <x:c r="I9" s="116">
        <x:f t="shared" si="0"/>
        <x:v>3000</x:v>
      </x:c>
      <x:c r="J9" s="116">
        <x:f t="shared" si="1"/>
        <x:v>-3000</x:v>
      </x:c>
      <x:c r="K9" s="140">
        <x:f t="shared" si="2"/>
        <x:v>0</x:v>
      </x:c>
    </x:row>
    <x:row r="10">
      <x:c r="A10" s="136">
        <x:v>46419</x:v>
      </x:c>
      <x:c r="B10" s="115" t="n">
        <x:f>SUMIFS(Ausgangsrechnungen!$N$2:$N$301,Ausgangsrechnungen!$A$2:$A$301,"&gt;="&amp;A10,Ausgangsrechnungen!$A$2:$A$301,"&lt;"&amp;EDATE(A10,1))</x:f>
        <x:v>0</x:v>
      </x:c>
      <x:c r="C10" s="115" t="e">
        <x:f>Liquiditätsplan!D9</x:f>
      </x:c>
      <x:c r="D10" s="115" t="n">
        <x:f>SUMIFS(Eingangsrechnungen!$F$2:$F$301,Eingangsrechnungen!$A$2:$A$301,"&gt;="&amp;A10,Eingangsrechnungen!$A$2:$A$301,"&lt;"&amp;EDATE(A10,1))</x:f>
        <x:v>0</x:v>
      </x:c>
      <x:c r="E10" s="115" t="e">
        <x:f>Liquiditätsplan!G9</x:f>
      </x:c>
      <x:c r="F10" s="115" t="e">
        <x:f>Liquiditätsplan!H9</x:f>
      </x:c>
      <x:c r="G10" s="115" t="e">
        <x:f>Liquiditätsplan!J9</x:f>
      </x:c>
      <x:c r="H10" s="115" t="e">
        <x:f>Liquiditätsplan!L9</x:f>
      </x:c>
      <x:c r="I10" s="115">
        <x:f t="shared" si="0"/>
        <x:v>3000</x:v>
      </x:c>
      <x:c r="J10" s="115">
        <x:f t="shared" si="1"/>
        <x:v>-3000</x:v>
      </x:c>
      <x:c r="K10" s="139">
        <x:f t="shared" si="2"/>
        <x:v>0</x:v>
      </x:c>
    </x:row>
    <x:row r="11">
      <x:c r="A11" s="114">
        <x:v>46447</x:v>
      </x:c>
      <x:c r="B11" s="116" t="n">
        <x:f>SUMIFS(Ausgangsrechnungen!$N$2:$N$301,Ausgangsrechnungen!$A$2:$A$301,"&gt;="&amp;A11,Ausgangsrechnungen!$A$2:$A$301,"&lt;"&amp;EDATE(A11,1))</x:f>
        <x:v>0</x:v>
      </x:c>
      <x:c r="C11" s="116" t="e">
        <x:f>Liquiditätsplan!D10</x:f>
      </x:c>
      <x:c r="D11" s="116" t="n">
        <x:f>SUMIFS(Eingangsrechnungen!$F$2:$F$301,Eingangsrechnungen!$A$2:$A$301,"&gt;="&amp;A11,Eingangsrechnungen!$A$2:$A$301,"&lt;"&amp;EDATE(A11,1))</x:f>
        <x:v>0</x:v>
      </x:c>
      <x:c r="E11" s="116" t="e">
        <x:f>Liquiditätsplan!G10</x:f>
      </x:c>
      <x:c r="F11" s="116" t="e">
        <x:f>Liquiditätsplan!H10</x:f>
      </x:c>
      <x:c r="G11" s="116" t="e">
        <x:f>Liquiditätsplan!J10</x:f>
      </x:c>
      <x:c r="H11" s="116" t="e">
        <x:f>Liquiditätsplan!L10</x:f>
      </x:c>
      <x:c r="I11" s="116">
        <x:f t="shared" si="0"/>
        <x:v>3000</x:v>
      </x:c>
      <x:c r="J11" s="116">
        <x:f t="shared" si="1"/>
        <x:v>-3000</x:v>
      </x:c>
      <x:c r="K11" s="140">
        <x:f t="shared" si="2"/>
        <x:v>0</x:v>
      </x:c>
    </x:row>
    <x:row r="12">
      <x:c r="A12" s="136">
        <x:v>46478</x:v>
      </x:c>
      <x:c r="B12" s="115" t="n">
        <x:f>SUMIFS(Ausgangsrechnungen!$N$2:$N$301,Ausgangsrechnungen!$A$2:$A$301,"&gt;="&amp;A12,Ausgangsrechnungen!$A$2:$A$301,"&lt;"&amp;EDATE(A12,1))</x:f>
        <x:v>0</x:v>
      </x:c>
      <x:c r="C12" s="115" t="e">
        <x:f>Liquiditätsplan!D11</x:f>
      </x:c>
      <x:c r="D12" s="115" t="n">
        <x:f>SUMIFS(Eingangsrechnungen!$F$2:$F$301,Eingangsrechnungen!$A$2:$A$301,"&gt;="&amp;A12,Eingangsrechnungen!$A$2:$A$301,"&lt;"&amp;EDATE(A12,1))</x:f>
        <x:v>0</x:v>
      </x:c>
      <x:c r="E12" s="115" t="e">
        <x:f>Liquiditätsplan!G11</x:f>
      </x:c>
      <x:c r="F12" s="115" t="e">
        <x:f>Liquiditätsplan!H11</x:f>
      </x:c>
      <x:c r="G12" s="115" t="e">
        <x:f>Liquiditätsplan!J11</x:f>
      </x:c>
      <x:c r="H12" s="115" t="e">
        <x:f>Liquiditätsplan!L11</x:f>
      </x:c>
      <x:c r="I12" s="115">
        <x:f t="shared" si="0"/>
        <x:v>3000</x:v>
      </x:c>
      <x:c r="J12" s="115">
        <x:f t="shared" si="1"/>
        <x:v>-3000</x:v>
      </x:c>
      <x:c r="K12" s="139">
        <x:f t="shared" si="2"/>
        <x:v>0</x:v>
      </x:c>
    </x:row>
    <x:row r="13">
      <x:c r="A13" s="114">
        <x:v>46508</x:v>
      </x:c>
      <x:c r="B13" s="116" t="n">
        <x:f>SUMIFS(Ausgangsrechnungen!$N$2:$N$301,Ausgangsrechnungen!$A$2:$A$301,"&gt;="&amp;A13,Ausgangsrechnungen!$A$2:$A$301,"&lt;"&amp;EDATE(A13,1))</x:f>
        <x:v>0</x:v>
      </x:c>
      <x:c r="C13" s="116" t="e">
        <x:f>Liquiditätsplan!D12</x:f>
      </x:c>
      <x:c r="D13" s="116" t="n">
        <x:f>SUMIFS(Eingangsrechnungen!$F$2:$F$301,Eingangsrechnungen!$A$2:$A$301,"&gt;="&amp;A13,Eingangsrechnungen!$A$2:$A$301,"&lt;"&amp;EDATE(A13,1))</x:f>
        <x:v>0</x:v>
      </x:c>
      <x:c r="E13" s="116" t="e">
        <x:f>Liquiditätsplan!G12</x:f>
      </x:c>
      <x:c r="F13" s="116" t="e">
        <x:f>Liquiditätsplan!H12</x:f>
      </x:c>
      <x:c r="G13" s="116" t="e">
        <x:f>Liquiditätsplan!J12</x:f>
      </x:c>
      <x:c r="H13" s="116" t="e">
        <x:f>Liquiditätsplan!L12</x:f>
      </x:c>
      <x:c r="I13" s="116">
        <x:f t="shared" si="0"/>
        <x:v>3000</x:v>
      </x:c>
      <x:c r="J13" s="116">
        <x:f t="shared" si="1"/>
        <x:v>-3000</x:v>
      </x:c>
      <x:c r="K13" s="140">
        <x:f t="shared" si="2"/>
        <x:v>0</x:v>
      </x:c>
    </x:row>
    <x:row r="14">
      <x:c r="A14" s="136">
        <x:v>46539</x:v>
      </x:c>
      <x:c r="B14" s="115" t="n">
        <x:f>SUMIFS(Ausgangsrechnungen!$N$2:$N$301,Ausgangsrechnungen!$A$2:$A$301,"&gt;="&amp;A14,Ausgangsrechnungen!$A$2:$A$301,"&lt;"&amp;EDATE(A14,1))</x:f>
        <x:v>0</x:v>
      </x:c>
      <x:c r="C14" s="115" t="e">
        <x:f>Liquiditätsplan!D13</x:f>
      </x:c>
      <x:c r="D14" s="115" t="n">
        <x:f>SUMIFS(Eingangsrechnungen!$F$2:$F$301,Eingangsrechnungen!$A$2:$A$301,"&gt;="&amp;A14,Eingangsrechnungen!$A$2:$A$301,"&lt;"&amp;EDATE(A14,1))</x:f>
        <x:v>0</x:v>
      </x:c>
      <x:c r="E14" s="115" t="e">
        <x:f>Liquiditätsplan!G13</x:f>
      </x:c>
      <x:c r="F14" s="115" t="e">
        <x:f>Liquiditätsplan!H13</x:f>
      </x:c>
      <x:c r="G14" s="115" t="e">
        <x:f>Liquiditätsplan!J13</x:f>
      </x:c>
      <x:c r="H14" s="115" t="e">
        <x:f>Liquiditätsplan!L13</x:f>
      </x:c>
      <x:c r="I14" s="115">
        <x:f t="shared" si="0"/>
        <x:v>3000</x:v>
      </x:c>
      <x:c r="J14" s="115">
        <x:f t="shared" si="1"/>
        <x:v>-3000</x:v>
      </x:c>
      <x:c r="K14" s="139">
        <x:f t="shared" si="2"/>
        <x:v>0</x:v>
      </x:c>
    </x:row>
    <x:row r="15">
      <x:c r="A15" s="114">
        <x:v>46569</x:v>
      </x:c>
      <x:c r="B15" s="116" t="n">
        <x:f>SUMIFS(Ausgangsrechnungen!$N$2:$N$301,Ausgangsrechnungen!$A$2:$A$301,"&gt;="&amp;A15,Ausgangsrechnungen!$A$2:$A$301,"&lt;"&amp;EDATE(A15,1))</x:f>
        <x:v>0</x:v>
      </x:c>
      <x:c r="C15" s="116" t="e">
        <x:f>Liquiditätsplan!D14</x:f>
      </x:c>
      <x:c r="D15" s="116" t="n">
        <x:f>SUMIFS(Eingangsrechnungen!$F$2:$F$301,Eingangsrechnungen!$A$2:$A$301,"&gt;="&amp;A15,Eingangsrechnungen!$A$2:$A$301,"&lt;"&amp;EDATE(A15,1))</x:f>
        <x:v>0</x:v>
      </x:c>
      <x:c r="E15" s="116" t="e">
        <x:f>Liquiditätsplan!G14</x:f>
      </x:c>
      <x:c r="F15" s="116" t="e">
        <x:f>Liquiditätsplan!H14</x:f>
      </x:c>
      <x:c r="G15" s="116" t="e">
        <x:f>Liquiditätsplan!J14</x:f>
      </x:c>
      <x:c r="H15" s="116" t="e">
        <x:f>Liquiditätsplan!L14</x:f>
      </x:c>
      <x:c r="I15" s="116">
        <x:f t="shared" si="0"/>
        <x:v>3000</x:v>
      </x:c>
      <x:c r="J15" s="116">
        <x:f t="shared" si="1"/>
        <x:v>-3000</x:v>
      </x:c>
      <x:c r="K15" s="140">
        <x:f t="shared" si="2"/>
        <x:v>0</x:v>
      </x:c>
    </x:row>
    <x:row r="16">
      <x:c r="A16" s="136">
        <x:v>46600</x:v>
      </x:c>
      <x:c r="B16" s="115" t="n">
        <x:f>SUMIFS(Ausgangsrechnungen!$N$2:$N$301,Ausgangsrechnungen!$A$2:$A$301,"&gt;="&amp;A16,Ausgangsrechnungen!$A$2:$A$301,"&lt;"&amp;EDATE(A16,1))</x:f>
        <x:v>0</x:v>
      </x:c>
      <x:c r="C16" s="115" t="e">
        <x:f>Liquiditätsplan!D15</x:f>
      </x:c>
      <x:c r="D16" s="115" t="n">
        <x:f>SUMIFS(Eingangsrechnungen!$F$2:$F$301,Eingangsrechnungen!$A$2:$A$301,"&gt;="&amp;A16,Eingangsrechnungen!$A$2:$A$301,"&lt;"&amp;EDATE(A16,1))</x:f>
        <x:v>0</x:v>
      </x:c>
      <x:c r="E16" s="115" t="e">
        <x:f>Liquiditätsplan!G15</x:f>
      </x:c>
      <x:c r="F16" s="115" t="e">
        <x:f>Liquiditätsplan!H15</x:f>
      </x:c>
      <x:c r="G16" s="115" t="e">
        <x:f>Liquiditätsplan!J15</x:f>
      </x:c>
      <x:c r="H16" s="115" t="e">
        <x:f>Liquiditätsplan!L15</x:f>
      </x:c>
      <x:c r="I16" s="115">
        <x:f t="shared" si="0"/>
        <x:v>3000</x:v>
      </x:c>
      <x:c r="J16" s="115">
        <x:f t="shared" si="1"/>
        <x:v>-3000</x:v>
      </x:c>
      <x:c r="K16" s="139">
        <x:f t="shared" si="2"/>
        <x:v>0</x:v>
      </x:c>
    </x:row>
    <x:row r="17">
      <x:c r="A17" s="114">
        <x:v>46631</x:v>
      </x:c>
      <x:c r="B17" s="116" t="n">
        <x:f>SUMIFS(Ausgangsrechnungen!$N$2:$N$301,Ausgangsrechnungen!$A$2:$A$301,"&gt;="&amp;A17,Ausgangsrechnungen!$A$2:$A$301,"&lt;"&amp;EDATE(A17,1))</x:f>
        <x:v>0</x:v>
      </x:c>
      <x:c r="C17" s="116" t="e">
        <x:f>Liquiditätsplan!D16</x:f>
      </x:c>
      <x:c r="D17" s="116" t="n">
        <x:f>SUMIFS(Eingangsrechnungen!$F$2:$F$301,Eingangsrechnungen!$A$2:$A$301,"&gt;="&amp;A17,Eingangsrechnungen!$A$2:$A$301,"&lt;"&amp;EDATE(A17,1))</x:f>
        <x:v>0</x:v>
      </x:c>
      <x:c r="E17" s="116" t="e">
        <x:f>Liquiditätsplan!G16</x:f>
      </x:c>
      <x:c r="F17" s="116" t="e">
        <x:f>Liquiditätsplan!H16</x:f>
      </x:c>
      <x:c r="G17" s="116" t="e">
        <x:f>Liquiditätsplan!J16</x:f>
      </x:c>
      <x:c r="H17" s="116" t="e">
        <x:f>Liquiditätsplan!L16</x:f>
      </x:c>
      <x:c r="I17" s="116">
        <x:f t="shared" si="0"/>
        <x:v>3000</x:v>
      </x:c>
      <x:c r="J17" s="116">
        <x:f t="shared" si="1"/>
        <x:v>-3000</x:v>
      </x:c>
      <x:c r="K17" s="140">
        <x:f t="shared" si="2"/>
        <x:v>0</x:v>
      </x:c>
    </x:row>
    <x:row r="18">
      <x:c r="A18" s="136">
        <x:v>46661</x:v>
      </x:c>
      <x:c r="B18" s="115" t="n">
        <x:f>SUMIFS(Ausgangsrechnungen!$N$2:$N$301,Ausgangsrechnungen!$A$2:$A$301,"&gt;="&amp;A18,Ausgangsrechnungen!$A$2:$A$301,"&lt;"&amp;EDATE(A18,1))</x:f>
        <x:v>0</x:v>
      </x:c>
      <x:c r="C18" s="115" t="e">
        <x:f>Liquiditätsplan!D17</x:f>
      </x:c>
      <x:c r="D18" s="115" t="n">
        <x:f>SUMIFS(Eingangsrechnungen!$F$2:$F$301,Eingangsrechnungen!$A$2:$A$301,"&gt;="&amp;A18,Eingangsrechnungen!$A$2:$A$301,"&lt;"&amp;EDATE(A18,1))</x:f>
        <x:v>0</x:v>
      </x:c>
      <x:c r="E18" s="115" t="e">
        <x:f>Liquiditätsplan!G17</x:f>
      </x:c>
      <x:c r="F18" s="115" t="e">
        <x:f>Liquiditätsplan!H17</x:f>
      </x:c>
      <x:c r="G18" s="115" t="e">
        <x:f>Liquiditätsplan!J17</x:f>
      </x:c>
      <x:c r="H18" s="115" t="e">
        <x:f>Liquiditätsplan!L17</x:f>
      </x:c>
      <x:c r="I18" s="115">
        <x:f t="shared" si="0"/>
        <x:v>3000</x:v>
      </x:c>
      <x:c r="J18" s="115">
        <x:f t="shared" si="1"/>
        <x:v>-3000</x:v>
      </x:c>
      <x:c r="K18" s="139">
        <x:f t="shared" si="2"/>
        <x:v>0</x:v>
      </x:c>
    </x:row>
    <x:row r="19">
      <x:c r="A19" s="114">
        <x:v>46692</x:v>
      </x:c>
      <x:c r="B19" s="116" t="n">
        <x:f>SUMIFS(Ausgangsrechnungen!$N$2:$N$301,Ausgangsrechnungen!$A$2:$A$301,"&gt;="&amp;A19,Ausgangsrechnungen!$A$2:$A$301,"&lt;"&amp;EDATE(A19,1))</x:f>
        <x:v>0</x:v>
      </x:c>
      <x:c r="C19" s="116" t="e">
        <x:f>Liquiditätsplan!D18</x:f>
      </x:c>
      <x:c r="D19" s="116" t="n">
        <x:f>SUMIFS(Eingangsrechnungen!$F$2:$F$301,Eingangsrechnungen!$A$2:$A$301,"&gt;="&amp;A19,Eingangsrechnungen!$A$2:$A$301,"&lt;"&amp;EDATE(A19,1))</x:f>
        <x:v>0</x:v>
      </x:c>
      <x:c r="E19" s="116" t="e">
        <x:f>Liquiditätsplan!G18</x:f>
      </x:c>
      <x:c r="F19" s="116" t="e">
        <x:f>Liquiditätsplan!H18</x:f>
      </x:c>
      <x:c r="G19" s="116" t="e">
        <x:f>Liquiditätsplan!J18</x:f>
      </x:c>
      <x:c r="H19" s="116" t="e">
        <x:f>Liquiditätsplan!L18</x:f>
      </x:c>
      <x:c r="I19" s="116">
        <x:f t="shared" si="0"/>
        <x:v>3000</x:v>
      </x:c>
      <x:c r="J19" s="116">
        <x:f t="shared" si="1"/>
        <x:v>-3000</x:v>
      </x:c>
      <x:c r="K19" s="140">
        <x:f t="shared" si="2"/>
        <x:v>0</x:v>
      </x:c>
    </x:row>
    <x:row r="20">
      <x:c r="A20" s="136">
        <x:v>46722</x:v>
      </x:c>
      <x:c r="B20" s="115" t="n">
        <x:f>SUMIFS(Ausgangsrechnungen!$N$2:$N$301,Ausgangsrechnungen!$A$2:$A$301,"&gt;="&amp;A20,Ausgangsrechnungen!$A$2:$A$301,"&lt;"&amp;EDATE(A20,1))</x:f>
        <x:v>0</x:v>
      </x:c>
      <x:c r="C20" s="115" t="e">
        <x:f>Liquiditätsplan!D19</x:f>
      </x:c>
      <x:c r="D20" s="115" t="n">
        <x:f>SUMIFS(Eingangsrechnungen!$F$2:$F$301,Eingangsrechnungen!$A$2:$A$301,"&gt;="&amp;A20,Eingangsrechnungen!$A$2:$A$301,"&lt;"&amp;EDATE(A20,1))</x:f>
        <x:v>0</x:v>
      </x:c>
      <x:c r="E20" s="115" t="e">
        <x:f>Liquiditätsplan!G19</x:f>
      </x:c>
      <x:c r="F20" s="115" t="e">
        <x:f>Liquiditätsplan!H19</x:f>
      </x:c>
      <x:c r="G20" s="115" t="e">
        <x:f>Liquiditätsplan!J19</x:f>
      </x:c>
      <x:c r="H20" s="115" t="e">
        <x:f>Liquiditätsplan!L19</x:f>
      </x:c>
      <x:c r="I20" s="115">
        <x:f t="shared" si="0"/>
        <x:v>3000</x:v>
      </x:c>
      <x:c r="J20" s="115">
        <x:f t="shared" si="1"/>
        <x:v>-3000</x:v>
      </x:c>
      <x:c r="K20" s="139">
        <x:f t="shared" si="2"/>
        <x:v>0</x:v>
      </x:c>
    </x:row>
    <x:row r="21">
      <x:c r="A21" s="114">
        <x:v>46753</x:v>
      </x:c>
      <x:c r="B21" s="116" t="n">
        <x:f>SUMIFS(Ausgangsrechnungen!$N$2:$N$301,Ausgangsrechnungen!$A$2:$A$301,"&gt;="&amp;A21,Ausgangsrechnungen!$A$2:$A$301,"&lt;"&amp;EDATE(A21,1))</x:f>
        <x:v>0</x:v>
      </x:c>
      <x:c r="C21" s="116" t="e">
        <x:f>Liquiditätsplan!D20</x:f>
      </x:c>
      <x:c r="D21" s="116" t="n">
        <x:f>SUMIFS(Eingangsrechnungen!$F$2:$F$301,Eingangsrechnungen!$A$2:$A$301,"&gt;="&amp;A21,Eingangsrechnungen!$A$2:$A$301,"&lt;"&amp;EDATE(A21,1))</x:f>
        <x:v>0</x:v>
      </x:c>
      <x:c r="E21" s="116" t="e">
        <x:f>Liquiditätsplan!G20</x:f>
      </x:c>
      <x:c r="F21" s="116" t="e">
        <x:f>Liquiditätsplan!H20</x:f>
      </x:c>
      <x:c r="G21" s="116" t="e">
        <x:f>Liquiditätsplan!J20</x:f>
      </x:c>
      <x:c r="H21" s="116" t="e">
        <x:f>Liquiditätsplan!L20</x:f>
      </x:c>
      <x:c r="I21" s="116">
        <x:f t="shared" si="0"/>
        <x:v>3000</x:v>
      </x:c>
      <x:c r="J21" s="116">
        <x:f t="shared" si="1"/>
        <x:v>-3000</x:v>
      </x:c>
      <x:c r="K21" s="140">
        <x:f t="shared" si="2"/>
        <x:v>0</x:v>
      </x:c>
    </x:row>
    <x:row r="22">
      <x:c r="A22" s="136">
        <x:v>46784</x:v>
      </x:c>
      <x:c r="B22" s="115" t="n">
        <x:f>SUMIFS(Ausgangsrechnungen!$N$2:$N$301,Ausgangsrechnungen!$A$2:$A$301,"&gt;="&amp;A22,Ausgangsrechnungen!$A$2:$A$301,"&lt;"&amp;EDATE(A22,1))</x:f>
        <x:v>0</x:v>
      </x:c>
      <x:c r="C22" s="115" t="e">
        <x:f>Liquiditätsplan!D21</x:f>
      </x:c>
      <x:c r="D22" s="115" t="n">
        <x:f>SUMIFS(Eingangsrechnungen!$F$2:$F$301,Eingangsrechnungen!$A$2:$A$301,"&gt;="&amp;A22,Eingangsrechnungen!$A$2:$A$301,"&lt;"&amp;EDATE(A22,1))</x:f>
        <x:v>0</x:v>
      </x:c>
      <x:c r="E22" s="115" t="e">
        <x:f>Liquiditätsplan!G21</x:f>
      </x:c>
      <x:c r="F22" s="115" t="e">
        <x:f>Liquiditätsplan!H21</x:f>
      </x:c>
      <x:c r="G22" s="115" t="e">
        <x:f>Liquiditätsplan!J21</x:f>
      </x:c>
      <x:c r="H22" s="115" t="e">
        <x:f>Liquiditätsplan!L21</x:f>
      </x:c>
      <x:c r="I22" s="115">
        <x:f t="shared" si="0"/>
        <x:v>3000</x:v>
      </x:c>
      <x:c r="J22" s="115">
        <x:f t="shared" si="1"/>
        <x:v>-3000</x:v>
      </x:c>
      <x:c r="K22" s="139">
        <x:f t="shared" si="2"/>
        <x:v>0</x:v>
      </x:c>
    </x:row>
    <x:row r="23">
      <x:c r="A23" s="114">
        <x:v>46813</x:v>
      </x:c>
      <x:c r="B23" s="116" t="n">
        <x:f>SUMIFS(Ausgangsrechnungen!$N$2:$N$301,Ausgangsrechnungen!$A$2:$A$301,"&gt;="&amp;A23,Ausgangsrechnungen!$A$2:$A$301,"&lt;"&amp;EDATE(A23,1))</x:f>
        <x:v>0</x:v>
      </x:c>
      <x:c r="C23" s="116" t="e">
        <x:f>Liquiditätsplan!D22</x:f>
      </x:c>
      <x:c r="D23" s="116" t="n">
        <x:f>SUMIFS(Eingangsrechnungen!$F$2:$F$301,Eingangsrechnungen!$A$2:$A$301,"&gt;="&amp;A23,Eingangsrechnungen!$A$2:$A$301,"&lt;"&amp;EDATE(A23,1))</x:f>
        <x:v>0</x:v>
      </x:c>
      <x:c r="E23" s="116" t="e">
        <x:f>Liquiditätsplan!G22</x:f>
      </x:c>
      <x:c r="F23" s="116" t="e">
        <x:f>Liquiditätsplan!H22</x:f>
      </x:c>
      <x:c r="G23" s="116" t="e">
        <x:f>Liquiditätsplan!J22</x:f>
      </x:c>
      <x:c r="H23" s="116" t="e">
        <x:f>Liquiditätsplan!L22</x:f>
      </x:c>
      <x:c r="I23" s="116">
        <x:f t="shared" si="0"/>
        <x:v>3000</x:v>
      </x:c>
      <x:c r="J23" s="116">
        <x:f t="shared" si="1"/>
        <x:v>-3000</x:v>
      </x:c>
      <x:c r="K23" s="140">
        <x:f t="shared" si="2"/>
        <x:v>0</x:v>
      </x:c>
    </x:row>
    <x:row r="24">
      <x:c r="A24" s="136">
        <x:v>46844</x:v>
      </x:c>
      <x:c r="B24" s="115" t="n">
        <x:f>SUMIFS(Ausgangsrechnungen!$N$2:$N$301,Ausgangsrechnungen!$A$2:$A$301,"&gt;="&amp;A24,Ausgangsrechnungen!$A$2:$A$301,"&lt;"&amp;EDATE(A24,1))</x:f>
        <x:v>0</x:v>
      </x:c>
      <x:c r="C24" s="115" t="e">
        <x:f>Liquiditätsplan!D23</x:f>
      </x:c>
      <x:c r="D24" s="115" t="n">
        <x:f>SUMIFS(Eingangsrechnungen!$F$2:$F$301,Eingangsrechnungen!$A$2:$A$301,"&gt;="&amp;A24,Eingangsrechnungen!$A$2:$A$301,"&lt;"&amp;EDATE(A24,1))</x:f>
        <x:v>0</x:v>
      </x:c>
      <x:c r="E24" s="115" t="e">
        <x:f>Liquiditätsplan!G23</x:f>
      </x:c>
      <x:c r="F24" s="115" t="e">
        <x:f>Liquiditätsplan!H23</x:f>
      </x:c>
      <x:c r="G24" s="115" t="e">
        <x:f>Liquiditätsplan!J23</x:f>
      </x:c>
      <x:c r="H24" s="115" t="e">
        <x:f>Liquiditätsplan!L23</x:f>
      </x:c>
      <x:c r="I24" s="115">
        <x:f t="shared" si="0"/>
        <x:v>3000</x:v>
      </x:c>
      <x:c r="J24" s="115">
        <x:f t="shared" si="1"/>
        <x:v>-3000</x:v>
      </x:c>
      <x:c r="K24" s="139">
        <x:f t="shared" si="2"/>
        <x:v>0</x:v>
      </x:c>
    </x:row>
    <x:row r="25">
      <x:c r="A25" s="113">
        <x:v>46874</x:v>
      </x:c>
      <x:c r="B25" s="117" t="n">
        <x:f>SUMIFS(Ausgangsrechnungen!$N$2:$N$301,Ausgangsrechnungen!$A$2:$A$301,"&gt;="&amp;A25,Ausgangsrechnungen!$A$2:$A$301,"&lt;"&amp;EDATE(A25,1))</x:f>
        <x:v>0</x:v>
      </x:c>
      <x:c r="C25" s="117" t="e">
        <x:f>Liquiditätsplan!D24</x:f>
      </x:c>
      <x:c r="D25" s="117" t="n">
        <x:f>SUMIFS(Eingangsrechnungen!$F$2:$F$301,Eingangsrechnungen!$A$2:$A$301,"&gt;="&amp;A25,Eingangsrechnungen!$A$2:$A$301,"&lt;"&amp;EDATE(A25,1))</x:f>
        <x:v>0</x:v>
      </x:c>
      <x:c r="E25" s="117" t="e">
        <x:f>Liquiditätsplan!G24</x:f>
      </x:c>
      <x:c r="F25" s="117" t="e">
        <x:f>Liquiditätsplan!H24</x:f>
      </x:c>
      <x:c r="G25" s="117" t="e">
        <x:f>Liquiditätsplan!J24</x:f>
      </x:c>
      <x:c r="H25" s="117" t="e">
        <x:f>Liquiditätsplan!L24</x:f>
      </x:c>
      <x:c r="I25" s="117">
        <x:f t="shared" si="0"/>
        <x:v>3000</x:v>
      </x:c>
      <x:c r="J25" s="117">
        <x:f t="shared" si="1"/>
        <x:v>-3000</x:v>
      </x:c>
      <x:c r="K25" s="138">
        <x:f t="shared" si="2"/>
        <x:v>0</x:v>
      </x:c>
    </x:row>
    <x:row r="26">
      <x:c r="A26" s="136">
        <x:v>46905</x:v>
      </x:c>
      <x:c r="B26" s="115" t="n">
        <x:f>SUMIFS(Ausgangsrechnungen!$N$2:$N$301,Ausgangsrechnungen!$A$2:$A$301,"&gt;="&amp;A26,Ausgangsrechnungen!$A$2:$A$301,"&lt;"&amp;EDATE(A26,1))</x:f>
        <x:v>0</x:v>
      </x:c>
      <x:c r="C26" s="115" t="e">
        <x:f>Liquiditätsplan!D25</x:f>
      </x:c>
      <x:c r="D26" s="115" t="n">
        <x:f>SUMIFS(Eingangsrechnungen!$F$2:$F$301,Eingangsrechnungen!$A$2:$A$301,"&gt;="&amp;A26,Eingangsrechnungen!$A$2:$A$301,"&lt;"&amp;EDATE(A26,1))</x:f>
        <x:v>0</x:v>
      </x:c>
      <x:c r="E26" s="115" t="e">
        <x:f>Liquiditätsplan!G25</x:f>
      </x:c>
      <x:c r="F26" s="115" t="e">
        <x:f>Liquiditätsplan!H25</x:f>
      </x:c>
      <x:c r="G26" s="115" t="e">
        <x:f>Liquiditätsplan!J25</x:f>
      </x:c>
      <x:c r="H26" s="115" t="e">
        <x:f>Liquiditätsplan!L25</x:f>
      </x:c>
      <x:c r="I26" s="115">
        <x:f t="shared" si="0"/>
        <x:v>3000</x:v>
      </x:c>
      <x:c r="J26" s="115">
        <x:f t="shared" si="1"/>
        <x:v>-3000</x:v>
      </x:c>
      <x:c r="K26" s="139">
        <x:f t="shared" si="2"/>
        <x:v>0</x:v>
      </x:c>
    </x:row>
    <x:row r="27">
      <x:c r="A27" s="114">
        <x:v>46935</x:v>
      </x:c>
      <x:c r="B27" s="116" t="n">
        <x:f>SUMIFS(Ausgangsrechnungen!$N$2:$N$301,Ausgangsrechnungen!$A$2:$A$301,"&gt;="&amp;A27,Ausgangsrechnungen!$A$2:$A$301,"&lt;"&amp;EDATE(A27,1))</x:f>
        <x:v>0</x:v>
      </x:c>
      <x:c r="C27" s="116" t="e">
        <x:f>Liquiditätsplan!D26</x:f>
      </x:c>
      <x:c r="D27" s="116" t="n">
        <x:f>SUMIFS(Eingangsrechnungen!$F$2:$F$301,Eingangsrechnungen!$A$2:$A$301,"&gt;="&amp;A27,Eingangsrechnungen!$A$2:$A$301,"&lt;"&amp;EDATE(A27,1))</x:f>
        <x:v>0</x:v>
      </x:c>
      <x:c r="E27" s="116" t="e">
        <x:f>Liquiditätsplan!G26</x:f>
      </x:c>
      <x:c r="F27" s="116" t="e">
        <x:f>Liquiditätsplan!H26</x:f>
      </x:c>
      <x:c r="G27" s="116" t="e">
        <x:f>Liquiditätsplan!J26</x:f>
      </x:c>
      <x:c r="H27" s="116" t="e">
        <x:f>Liquiditätsplan!L26</x:f>
      </x:c>
      <x:c r="I27" s="116">
        <x:f t="shared" si="0"/>
        <x:v>3000</x:v>
      </x:c>
      <x:c r="J27" s="116">
        <x:f t="shared" si="1"/>
        <x:v>-3000</x:v>
      </x:c>
      <x:c r="K27" s="140">
        <x:f t="shared" si="2"/>
        <x:v>0</x:v>
      </x:c>
    </x:row>
    <x:row r="28">
      <x:c r="A28" s="136">
        <x:v>46966</x:v>
      </x:c>
      <x:c r="B28" s="115" t="n">
        <x:f>SUMIFS(Ausgangsrechnungen!$N$2:$N$301,Ausgangsrechnungen!$A$2:$A$301,"&gt;="&amp;A28,Ausgangsrechnungen!$A$2:$A$301,"&lt;"&amp;EDATE(A28,1))</x:f>
        <x:v>0</x:v>
      </x:c>
      <x:c r="C28" s="115" t="e">
        <x:f>Liquiditätsplan!D27</x:f>
      </x:c>
      <x:c r="D28" s="115" t="n">
        <x:f>SUMIFS(Eingangsrechnungen!$F$2:$F$301,Eingangsrechnungen!$A$2:$A$301,"&gt;="&amp;A28,Eingangsrechnungen!$A$2:$A$301,"&lt;"&amp;EDATE(A28,1))</x:f>
        <x:v>0</x:v>
      </x:c>
      <x:c r="E28" s="115" t="e">
        <x:f>Liquiditätsplan!G27</x:f>
      </x:c>
      <x:c r="F28" s="115" t="e">
        <x:f>Liquiditätsplan!H27</x:f>
      </x:c>
      <x:c r="G28" s="115" t="e">
        <x:f>Liquiditätsplan!J27</x:f>
      </x:c>
      <x:c r="H28" s="115" t="e">
        <x:f>Liquiditätsplan!L27</x:f>
      </x:c>
      <x:c r="I28" s="115">
        <x:f t="shared" si="0"/>
        <x:v>3000</x:v>
      </x:c>
      <x:c r="J28" s="115">
        <x:f t="shared" si="1"/>
        <x:v>-3000</x:v>
      </x:c>
      <x:c r="K28" s="139">
        <x:f t="shared" si="2"/>
        <x:v>0</x:v>
      </x:c>
    </x:row>
    <x:row r="29">
      <x:c r="A29" s="113">
        <x:v>46997</x:v>
      </x:c>
      <x:c r="B29" s="117" t="n">
        <x:f>SUMIFS(Ausgangsrechnungen!$N$2:$N$301,Ausgangsrechnungen!$A$2:$A$301,"&gt;="&amp;A29,Ausgangsrechnungen!$A$2:$A$301,"&lt;"&amp;EDATE(A29,1))</x:f>
        <x:v>0</x:v>
      </x:c>
      <x:c r="C29" s="117" t="e">
        <x:f>Liquiditätsplan!D28</x:f>
      </x:c>
      <x:c r="D29" s="117" t="n">
        <x:f>SUMIFS(Eingangsrechnungen!$F$2:$F$301,Eingangsrechnungen!$A$2:$A$301,"&gt;="&amp;A29,Eingangsrechnungen!$A$2:$A$301,"&lt;"&amp;EDATE(A29,1))</x:f>
        <x:v>0</x:v>
      </x:c>
      <x:c r="E29" s="117" t="e">
        <x:f>Liquiditätsplan!G28</x:f>
      </x:c>
      <x:c r="F29" s="117" t="e">
        <x:f>Liquiditätsplan!H28</x:f>
      </x:c>
      <x:c r="G29" s="117" t="e">
        <x:f>Liquiditätsplan!J28</x:f>
      </x:c>
      <x:c r="H29" s="117" t="e">
        <x:f>Liquiditätsplan!L28</x:f>
      </x:c>
      <x:c r="I29" s="117">
        <x:f t="shared" si="0"/>
        <x:v>3000</x:v>
      </x:c>
      <x:c r="J29" s="117">
        <x:f t="shared" si="1"/>
        <x:v>-3000</x:v>
      </x:c>
      <x:c r="K29" s="138">
        <x:f t="shared" si="2"/>
        <x:v>0</x:v>
      </x:c>
    </x:row>
    <x:row r="30">
      <x:c r="A30" s="137">
        <x:v>47027</x:v>
      </x:c>
      <x:c r="B30" s="118" t="n">
        <x:f>SUMIFS(Ausgangsrechnungen!$N$2:$N$301,Ausgangsrechnungen!$A$2:$A$301,"&gt;="&amp;A30,Ausgangsrechnungen!$A$2:$A$301,"&lt;"&amp;EDATE(A30,1))</x:f>
        <x:v>0</x:v>
      </x:c>
      <x:c r="C30" s="118" t="e">
        <x:f>Liquiditätsplan!D29</x:f>
      </x:c>
      <x:c r="D30" s="118" t="n">
        <x:f>SUMIFS(Eingangsrechnungen!$F$2:$F$301,Eingangsrechnungen!$A$2:$A$301,"&gt;="&amp;A30,Eingangsrechnungen!$A$2:$A$301,"&lt;"&amp;EDATE(A30,1))</x:f>
        <x:v>0</x:v>
      </x:c>
      <x:c r="E30" s="118" t="e">
        <x:f>Liquiditätsplan!G29</x:f>
      </x:c>
      <x:c r="F30" s="118" t="e">
        <x:f>Liquiditätsplan!H29</x:f>
      </x:c>
      <x:c r="G30" s="118" t="e">
        <x:f>Liquiditätsplan!J29</x:f>
      </x:c>
      <x:c r="H30" s="118" t="e">
        <x:f>Liquiditätsplan!L29</x:f>
      </x:c>
      <x:c r="I30" s="118">
        <x:f t="shared" si="0"/>
        <x:v>3000</x:v>
      </x:c>
      <x:c r="J30" s="118">
        <x:f t="shared" si="1"/>
        <x:v>-3000</x:v>
      </x:c>
      <x:c r="K30" s="141">
        <x:f t="shared" si="2"/>
        <x:v>0</x:v>
      </x:c>
    </x:row>
    <x:row r="31">
      <x:c r="A31" s="113">
        <x:v>47058</x:v>
      </x:c>
      <x:c r="B31" s="117" t="n">
        <x:f>SUMIFS(Ausgangsrechnungen!$N$2:$N$301,Ausgangsrechnungen!$A$2:$A$301,"&gt;="&amp;A31,Ausgangsrechnungen!$A$2:$A$301,"&lt;"&amp;EDATE(A31,1))</x:f>
        <x:v>0</x:v>
      </x:c>
      <x:c r="C31" s="117" t="e">
        <x:f>Liquiditätsplan!D30</x:f>
      </x:c>
      <x:c r="D31" s="117" t="n">
        <x:f>SUMIFS(Eingangsrechnungen!$F$2:$F$301,Eingangsrechnungen!$A$2:$A$301,"&gt;="&amp;A31,Eingangsrechnungen!$A$2:$A$301,"&lt;"&amp;EDATE(A31,1))</x:f>
        <x:v>0</x:v>
      </x:c>
      <x:c r="E31" s="117" t="e">
        <x:f>Liquiditätsplan!G30</x:f>
      </x:c>
      <x:c r="F31" s="117" t="e">
        <x:f>Liquiditätsplan!H30</x:f>
      </x:c>
      <x:c r="G31" s="117" t="e">
        <x:f>Liquiditätsplan!J30</x:f>
      </x:c>
      <x:c r="H31" s="117" t="e">
        <x:f>Liquiditätsplan!L30</x:f>
      </x:c>
      <x:c r="I31" s="117">
        <x:f t="shared" si="0"/>
        <x:v>3000</x:v>
      </x:c>
      <x:c r="J31" s="117">
        <x:f t="shared" si="1"/>
        <x:v>-3000</x:v>
      </x:c>
      <x:c r="K31" s="138">
        <x:f t="shared" si="2"/>
        <x:v>0</x:v>
      </x:c>
    </x:row>
    <x:row r="32">
      <x:c r="A32" s="136">
        <x:v>47088</x:v>
      </x:c>
      <x:c r="B32" s="115" t="n">
        <x:f>SUMIFS(Ausgangsrechnungen!$N$2:$N$301,Ausgangsrechnungen!$A$2:$A$301,"&gt;="&amp;A32,Ausgangsrechnungen!$A$2:$A$301,"&lt;"&amp;EDATE(A32,1))</x:f>
        <x:v>0</x:v>
      </x:c>
      <x:c r="C32" s="115" t="e">
        <x:f>Liquiditätsplan!D31</x:f>
      </x:c>
      <x:c r="D32" s="115" t="n">
        <x:f>SUMIFS(Eingangsrechnungen!$F$2:$F$301,Eingangsrechnungen!$A$2:$A$301,"&gt;="&amp;A32,Eingangsrechnungen!$A$2:$A$301,"&lt;"&amp;EDATE(A32,1))</x:f>
        <x:v>0</x:v>
      </x:c>
      <x:c r="E32" s="115" t="e">
        <x:f>Liquiditätsplan!G31</x:f>
      </x:c>
      <x:c r="F32" s="115" t="e">
        <x:f>Liquiditätsplan!H31</x:f>
      </x:c>
      <x:c r="G32" s="115" t="e">
        <x:f>Liquiditätsplan!J31</x:f>
      </x:c>
      <x:c r="H32" s="115" t="e">
        <x:f>Liquiditätsplan!L31</x:f>
      </x:c>
      <x:c r="I32" s="115">
        <x:f t="shared" si="0"/>
        <x:v>3000</x:v>
      </x:c>
      <x:c r="J32" s="115">
        <x:f t="shared" si="1"/>
        <x:v>-3000</x:v>
      </x:c>
      <x:c r="K32" s="139">
        <x:f t="shared" si="2"/>
        <x:v>0</x:v>
      </x:c>
    </x:row>
    <x:row r="33">
      <x:c r="A33" s="114">
        <x:v>47119</x:v>
      </x:c>
      <x:c r="B33" s="116" t="n">
        <x:f>SUMIFS(Ausgangsrechnungen!$N$2:$N$301,Ausgangsrechnungen!$A$2:$A$301,"&gt;="&amp;A33,Ausgangsrechnungen!$A$2:$A$301,"&lt;"&amp;EDATE(A33,1))</x:f>
        <x:v>0</x:v>
      </x:c>
      <x:c r="C33" s="116" t="e">
        <x:f>Liquiditätsplan!D32</x:f>
      </x:c>
      <x:c r="D33" s="116" t="n">
        <x:f>SUMIFS(Eingangsrechnungen!$F$2:$F$301,Eingangsrechnungen!$A$2:$A$301,"&gt;="&amp;A33,Eingangsrechnungen!$A$2:$A$301,"&lt;"&amp;EDATE(A33,1))</x:f>
        <x:v>0</x:v>
      </x:c>
      <x:c r="E33" s="116" t="e">
        <x:f>Liquiditätsplan!G32</x:f>
      </x:c>
      <x:c r="F33" s="116" t="e">
        <x:f>Liquiditätsplan!H32</x:f>
      </x:c>
      <x:c r="G33" s="116" t="e">
        <x:f>Liquiditätsplan!J32</x:f>
      </x:c>
      <x:c r="H33" s="116" t="e">
        <x:f>Liquiditätsplan!L32</x:f>
      </x:c>
      <x:c r="I33" s="116">
        <x:f t="shared" si="0"/>
        <x:v>3000</x:v>
      </x:c>
      <x:c r="J33" s="116">
        <x:f t="shared" si="1"/>
        <x:v>-3000</x:v>
      </x:c>
      <x:c r="K33" s="140">
        <x:f t="shared" si="2"/>
        <x:v>0</x:v>
      </x:c>
    </x:row>
    <x:row r="34">
      <x:c r="A34" s="136">
        <x:v>47150</x:v>
      </x:c>
      <x:c r="B34" s="115" t="n">
        <x:f>SUMIFS(Ausgangsrechnungen!$N$2:$N$301,Ausgangsrechnungen!$A$2:$A$301,"&gt;="&amp;A34,Ausgangsrechnungen!$A$2:$A$301,"&lt;"&amp;EDATE(A34,1))</x:f>
        <x:v>0</x:v>
      </x:c>
      <x:c r="C34" s="115" t="e">
        <x:f>Liquiditätsplan!D33</x:f>
      </x:c>
      <x:c r="D34" s="115" t="n">
        <x:f>SUMIFS(Eingangsrechnungen!$F$2:$F$301,Eingangsrechnungen!$A$2:$A$301,"&gt;="&amp;A34,Eingangsrechnungen!$A$2:$A$301,"&lt;"&amp;EDATE(A34,1))</x:f>
        <x:v>0</x:v>
      </x:c>
      <x:c r="E34" s="115" t="e">
        <x:f>Liquiditätsplan!G33</x:f>
      </x:c>
      <x:c r="F34" s="115" t="e">
        <x:f>Liquiditätsplan!H33</x:f>
      </x:c>
      <x:c r="G34" s="115" t="e">
        <x:f>Liquiditätsplan!J33</x:f>
      </x:c>
      <x:c r="H34" s="115" t="e">
        <x:f>Liquiditätsplan!L33</x:f>
      </x:c>
      <x:c r="I34" s="115">
        <x:f t="shared" si="0"/>
        <x:v>3000</x:v>
      </x:c>
      <x:c r="J34" s="115">
        <x:f t="shared" si="1"/>
        <x:v>-3000</x:v>
      </x:c>
      <x:c r="K34" s="139">
        <x:f t="shared" si="2"/>
        <x:v>0</x:v>
      </x:c>
    </x:row>
    <x:row r="35">
      <x:c r="A35" s="114">
        <x:v>47178</x:v>
      </x:c>
      <x:c r="B35" s="116" t="n">
        <x:f>SUMIFS(Ausgangsrechnungen!$N$2:$N$301,Ausgangsrechnungen!$A$2:$A$301,"&gt;="&amp;A35,Ausgangsrechnungen!$A$2:$A$301,"&lt;"&amp;EDATE(A35,1))</x:f>
        <x:v>0</x:v>
      </x:c>
      <x:c r="C35" s="116" t="e">
        <x:f>Liquiditätsplan!D34</x:f>
      </x:c>
      <x:c r="D35" s="116" t="n">
        <x:f>SUMIFS(Eingangsrechnungen!$F$2:$F$301,Eingangsrechnungen!$A$2:$A$301,"&gt;="&amp;A35,Eingangsrechnungen!$A$2:$A$301,"&lt;"&amp;EDATE(A35,1))</x:f>
        <x:v>0</x:v>
      </x:c>
      <x:c r="E35" s="116" t="e">
        <x:f>Liquiditätsplan!G34</x:f>
      </x:c>
      <x:c r="F35" s="116" t="e">
        <x:f>Liquiditätsplan!H34</x:f>
      </x:c>
      <x:c r="G35" s="116" t="e">
        <x:f>Liquiditätsplan!J34</x:f>
      </x:c>
      <x:c r="H35" s="116" t="e">
        <x:f>Liquiditätsplan!L34</x:f>
      </x:c>
      <x:c r="I35" s="116" t="e">
        <x:f t="shared" ref="I35:I66" si="3">SUM(D35:H35)</x:f>
      </x:c>
      <x:c r="J35" s="116" t="e">
        <x:f t="shared" ref="J35:J66" si="4">B35+C35-I35</x:f>
      </x:c>
      <x:c r="K35" s="140" t="n">
        <x:f t="shared" ref="K35:K66" si="5">IF(B35=0,0,J35/B35)</x:f>
        <x:v>0</x:v>
      </x:c>
    </x:row>
    <x:row r="36">
      <x:c r="A36" s="136">
        <x:v>47209</x:v>
      </x:c>
      <x:c r="B36" s="115" t="n">
        <x:f>SUMIFS(Ausgangsrechnungen!$N$2:$N$301,Ausgangsrechnungen!$A$2:$A$301,"&gt;="&amp;A36,Ausgangsrechnungen!$A$2:$A$301,"&lt;"&amp;EDATE(A36,1))</x:f>
        <x:v>0</x:v>
      </x:c>
      <x:c r="C36" s="115" t="e">
        <x:f>Liquiditätsplan!D35</x:f>
      </x:c>
      <x:c r="D36" s="115" t="n">
        <x:f>SUMIFS(Eingangsrechnungen!$F$2:$F$301,Eingangsrechnungen!$A$2:$A$301,"&gt;="&amp;A36,Eingangsrechnungen!$A$2:$A$301,"&lt;"&amp;EDATE(A36,1))</x:f>
        <x:v>0</x:v>
      </x:c>
      <x:c r="E36" s="115" t="e">
        <x:f>Liquiditätsplan!G35</x:f>
      </x:c>
      <x:c r="F36" s="115" t="e">
        <x:f>Liquiditätsplan!H35</x:f>
      </x:c>
      <x:c r="G36" s="115" t="e">
        <x:f>Liquiditätsplan!J35</x:f>
      </x:c>
      <x:c r="H36" s="115" t="e">
        <x:f>Liquiditätsplan!L35</x:f>
      </x:c>
      <x:c r="I36" s="115">
        <x:f t="shared" si="3"/>
        <x:v>3000</x:v>
      </x:c>
      <x:c r="J36" s="115">
        <x:f t="shared" si="4"/>
        <x:v>-3000</x:v>
      </x:c>
      <x:c r="K36" s="139">
        <x:f t="shared" si="5"/>
        <x:v>0</x:v>
      </x:c>
    </x:row>
    <x:row r="37">
      <x:c r="A37" s="114">
        <x:v>47239</x:v>
      </x:c>
      <x:c r="B37" s="116" t="n">
        <x:f>SUMIFS(Ausgangsrechnungen!$N$2:$N$301,Ausgangsrechnungen!$A$2:$A$301,"&gt;="&amp;A37,Ausgangsrechnungen!$A$2:$A$301,"&lt;"&amp;EDATE(A37,1))</x:f>
        <x:v>0</x:v>
      </x:c>
      <x:c r="C37" s="116" t="e">
        <x:f>Liquiditätsplan!D36</x:f>
      </x:c>
      <x:c r="D37" s="116" t="n">
        <x:f>SUMIFS(Eingangsrechnungen!$F$2:$F$301,Eingangsrechnungen!$A$2:$A$301,"&gt;="&amp;A37,Eingangsrechnungen!$A$2:$A$301,"&lt;"&amp;EDATE(A37,1))</x:f>
        <x:v>0</x:v>
      </x:c>
      <x:c r="E37" s="116" t="e">
        <x:f>Liquiditätsplan!G36</x:f>
      </x:c>
      <x:c r="F37" s="116" t="e">
        <x:f>Liquiditätsplan!H36</x:f>
      </x:c>
      <x:c r="G37" s="116" t="e">
        <x:f>Liquiditätsplan!J36</x:f>
      </x:c>
      <x:c r="H37" s="116" t="e">
        <x:f>Liquiditätsplan!L36</x:f>
      </x:c>
      <x:c r="I37" s="116">
        <x:f t="shared" si="3"/>
        <x:v>3000</x:v>
      </x:c>
      <x:c r="J37" s="116">
        <x:f t="shared" si="4"/>
        <x:v>-3000</x:v>
      </x:c>
      <x:c r="K37" s="140">
        <x:f t="shared" si="5"/>
        <x:v>0</x:v>
      </x:c>
    </x:row>
    <x:row r="38">
      <x:c r="A38" s="136">
        <x:v>47270</x:v>
      </x:c>
      <x:c r="B38" s="115" t="n">
        <x:f>SUMIFS(Ausgangsrechnungen!$N$2:$N$301,Ausgangsrechnungen!$A$2:$A$301,"&gt;="&amp;A38,Ausgangsrechnungen!$A$2:$A$301,"&lt;"&amp;EDATE(A38,1))</x:f>
        <x:v>0</x:v>
      </x:c>
      <x:c r="C38" s="115" t="e">
        <x:f>Liquiditätsplan!D37</x:f>
      </x:c>
      <x:c r="D38" s="115" t="n">
        <x:f>SUMIFS(Eingangsrechnungen!$F$2:$F$301,Eingangsrechnungen!$A$2:$A$301,"&gt;="&amp;A38,Eingangsrechnungen!$A$2:$A$301,"&lt;"&amp;EDATE(A38,1))</x:f>
        <x:v>0</x:v>
      </x:c>
      <x:c r="E38" s="115" t="e">
        <x:f>Liquiditätsplan!G37</x:f>
      </x:c>
      <x:c r="F38" s="115" t="e">
        <x:f>Liquiditätsplan!H37</x:f>
      </x:c>
      <x:c r="G38" s="115" t="e">
        <x:f>Liquiditätsplan!J37</x:f>
      </x:c>
      <x:c r="H38" s="115" t="e">
        <x:f>Liquiditätsplan!L37</x:f>
      </x:c>
      <x:c r="I38" s="115">
        <x:f t="shared" si="3"/>
        <x:v>3000</x:v>
      </x:c>
      <x:c r="J38" s="115">
        <x:f t="shared" si="4"/>
        <x:v>-3000</x:v>
      </x:c>
      <x:c r="K38" s="139">
        <x:f t="shared" si="5"/>
        <x:v>0</x:v>
      </x:c>
    </x:row>
    <x:row r="39">
      <x:c r="A39" s="114">
        <x:v>47300</x:v>
      </x:c>
      <x:c r="B39" s="116" t="n">
        <x:f>SUMIFS(Ausgangsrechnungen!$N$2:$N$301,Ausgangsrechnungen!$A$2:$A$301,"&gt;="&amp;A39,Ausgangsrechnungen!$A$2:$A$301,"&lt;"&amp;EDATE(A39,1))</x:f>
        <x:v>0</x:v>
      </x:c>
      <x:c r="C39" s="116" t="e">
        <x:f>Liquiditätsplan!D38</x:f>
      </x:c>
      <x:c r="D39" s="116" t="n">
        <x:f>SUMIFS(Eingangsrechnungen!$F$2:$F$301,Eingangsrechnungen!$A$2:$A$301,"&gt;="&amp;A39,Eingangsrechnungen!$A$2:$A$301,"&lt;"&amp;EDATE(A39,1))</x:f>
        <x:v>0</x:v>
      </x:c>
      <x:c r="E39" s="116" t="e">
        <x:f>Liquiditätsplan!G38</x:f>
      </x:c>
      <x:c r="F39" s="116" t="e">
        <x:f>Liquiditätsplan!H38</x:f>
      </x:c>
      <x:c r="G39" s="116" t="e">
        <x:f>Liquiditätsplan!J38</x:f>
      </x:c>
      <x:c r="H39" s="116" t="e">
        <x:f>Liquiditätsplan!L38</x:f>
      </x:c>
      <x:c r="I39" s="116">
        <x:f t="shared" si="3"/>
        <x:v>3000</x:v>
      </x:c>
      <x:c r="J39" s="116">
        <x:f t="shared" si="4"/>
        <x:v>-3000</x:v>
      </x:c>
      <x:c r="K39" s="140">
        <x:f t="shared" si="5"/>
        <x:v>0</x:v>
      </x:c>
    </x:row>
    <x:row r="40">
      <x:c r="A40" s="136">
        <x:v>47331</x:v>
      </x:c>
      <x:c r="B40" s="115" t="n">
        <x:f>SUMIFS(Ausgangsrechnungen!$N$2:$N$301,Ausgangsrechnungen!$A$2:$A$301,"&gt;="&amp;A40,Ausgangsrechnungen!$A$2:$A$301,"&lt;"&amp;EDATE(A40,1))</x:f>
        <x:v>0</x:v>
      </x:c>
      <x:c r="C40" s="115" t="e">
        <x:f>Liquiditätsplan!D39</x:f>
      </x:c>
      <x:c r="D40" s="115" t="n">
        <x:f>SUMIFS(Eingangsrechnungen!$F$2:$F$301,Eingangsrechnungen!$A$2:$A$301,"&gt;="&amp;A40,Eingangsrechnungen!$A$2:$A$301,"&lt;"&amp;EDATE(A40,1))</x:f>
        <x:v>0</x:v>
      </x:c>
      <x:c r="E40" s="115" t="e">
        <x:f>Liquiditätsplan!G39</x:f>
      </x:c>
      <x:c r="F40" s="115" t="e">
        <x:f>Liquiditätsplan!H39</x:f>
      </x:c>
      <x:c r="G40" s="115" t="e">
        <x:f>Liquiditätsplan!J39</x:f>
      </x:c>
      <x:c r="H40" s="115" t="e">
        <x:f>Liquiditätsplan!L39</x:f>
      </x:c>
      <x:c r="I40" s="115">
        <x:f t="shared" si="3"/>
        <x:v>3000</x:v>
      </x:c>
      <x:c r="J40" s="115">
        <x:f t="shared" si="4"/>
        <x:v>-3000</x:v>
      </x:c>
      <x:c r="K40" s="139">
        <x:f t="shared" si="5"/>
        <x:v>0</x:v>
      </x:c>
    </x:row>
    <x:row r="41">
      <x:c r="A41" s="114">
        <x:v>47362</x:v>
      </x:c>
      <x:c r="B41" s="116" t="n">
        <x:f>SUMIFS(Ausgangsrechnungen!$N$2:$N$301,Ausgangsrechnungen!$A$2:$A$301,"&gt;="&amp;A41,Ausgangsrechnungen!$A$2:$A$301,"&lt;"&amp;EDATE(A41,1))</x:f>
        <x:v>0</x:v>
      </x:c>
      <x:c r="C41" s="116" t="e">
        <x:f>Liquiditätsplan!D40</x:f>
      </x:c>
      <x:c r="D41" s="116" t="n">
        <x:f>SUMIFS(Eingangsrechnungen!$F$2:$F$301,Eingangsrechnungen!$A$2:$A$301,"&gt;="&amp;A41,Eingangsrechnungen!$A$2:$A$301,"&lt;"&amp;EDATE(A41,1))</x:f>
        <x:v>0</x:v>
      </x:c>
      <x:c r="E41" s="116" t="e">
        <x:f>Liquiditätsplan!G40</x:f>
      </x:c>
      <x:c r="F41" s="116" t="e">
        <x:f>Liquiditätsplan!H40</x:f>
      </x:c>
      <x:c r="G41" s="116" t="e">
        <x:f>Liquiditätsplan!J40</x:f>
      </x:c>
      <x:c r="H41" s="116" t="e">
        <x:f>Liquiditätsplan!L40</x:f>
      </x:c>
      <x:c r="I41" s="116">
        <x:f t="shared" si="3"/>
        <x:v>3000</x:v>
      </x:c>
      <x:c r="J41" s="116">
        <x:f t="shared" si="4"/>
        <x:v>-3000</x:v>
      </x:c>
      <x:c r="K41" s="140">
        <x:f t="shared" si="5"/>
        <x:v>0</x:v>
      </x:c>
    </x:row>
    <x:row r="42">
      <x:c r="A42" s="136">
        <x:v>47392</x:v>
      </x:c>
      <x:c r="B42" s="115" t="n">
        <x:f>SUMIFS(Ausgangsrechnungen!$N$2:$N$301,Ausgangsrechnungen!$A$2:$A$301,"&gt;="&amp;A42,Ausgangsrechnungen!$A$2:$A$301,"&lt;"&amp;EDATE(A42,1))</x:f>
        <x:v>0</x:v>
      </x:c>
      <x:c r="C42" s="115" t="e">
        <x:f>Liquiditätsplan!D41</x:f>
      </x:c>
      <x:c r="D42" s="115" t="n">
        <x:f>SUMIFS(Eingangsrechnungen!$F$2:$F$301,Eingangsrechnungen!$A$2:$A$301,"&gt;="&amp;A42,Eingangsrechnungen!$A$2:$A$301,"&lt;"&amp;EDATE(A42,1))</x:f>
        <x:v>0</x:v>
      </x:c>
      <x:c r="E42" s="115" t="e">
        <x:f>Liquiditätsplan!G41</x:f>
      </x:c>
      <x:c r="F42" s="115" t="e">
        <x:f>Liquiditätsplan!H41</x:f>
      </x:c>
      <x:c r="G42" s="115" t="e">
        <x:f>Liquiditätsplan!J41</x:f>
      </x:c>
      <x:c r="H42" s="115" t="e">
        <x:f>Liquiditätsplan!L41</x:f>
      </x:c>
      <x:c r="I42" s="115">
        <x:f t="shared" si="3"/>
        <x:v>3000</x:v>
      </x:c>
      <x:c r="J42" s="115">
        <x:f t="shared" si="4"/>
        <x:v>-3000</x:v>
      </x:c>
      <x:c r="K42" s="139">
        <x:f t="shared" si="5"/>
        <x:v>0</x:v>
      </x:c>
    </x:row>
    <x:row r="43">
      <x:c r="A43" s="114">
        <x:v>47423</x:v>
      </x:c>
      <x:c r="B43" s="116" t="n">
        <x:f>SUMIFS(Ausgangsrechnungen!$N$2:$N$301,Ausgangsrechnungen!$A$2:$A$301,"&gt;="&amp;A43,Ausgangsrechnungen!$A$2:$A$301,"&lt;"&amp;EDATE(A43,1))</x:f>
        <x:v>0</x:v>
      </x:c>
      <x:c r="C43" s="116" t="e">
        <x:f>Liquiditätsplan!D42</x:f>
      </x:c>
      <x:c r="D43" s="116" t="n">
        <x:f>SUMIFS(Eingangsrechnungen!$F$2:$F$301,Eingangsrechnungen!$A$2:$A$301,"&gt;="&amp;A43,Eingangsrechnungen!$A$2:$A$301,"&lt;"&amp;EDATE(A43,1))</x:f>
        <x:v>0</x:v>
      </x:c>
      <x:c r="E43" s="116" t="e">
        <x:f>Liquiditätsplan!G42</x:f>
      </x:c>
      <x:c r="F43" s="116" t="e">
        <x:f>Liquiditätsplan!H42</x:f>
      </x:c>
      <x:c r="G43" s="116" t="e">
        <x:f>Liquiditätsplan!J42</x:f>
      </x:c>
      <x:c r="H43" s="116" t="e">
        <x:f>Liquiditätsplan!L42</x:f>
      </x:c>
      <x:c r="I43" s="116">
        <x:f t="shared" si="3"/>
        <x:v>3000</x:v>
      </x:c>
      <x:c r="J43" s="116">
        <x:f t="shared" si="4"/>
        <x:v>-3000</x:v>
      </x:c>
      <x:c r="K43" s="140">
        <x:f t="shared" si="5"/>
        <x:v>0</x:v>
      </x:c>
    </x:row>
    <x:row r="44">
      <x:c r="A44" s="136">
        <x:v>47453</x:v>
      </x:c>
      <x:c r="B44" s="115" t="n">
        <x:f>SUMIFS(Ausgangsrechnungen!$N$2:$N$301,Ausgangsrechnungen!$A$2:$A$301,"&gt;="&amp;A44,Ausgangsrechnungen!$A$2:$A$301,"&lt;"&amp;EDATE(A44,1))</x:f>
        <x:v>0</x:v>
      </x:c>
      <x:c r="C44" s="115" t="e">
        <x:f>Liquiditätsplan!D43</x:f>
      </x:c>
      <x:c r="D44" s="115" t="n">
        <x:f>SUMIFS(Eingangsrechnungen!$F$2:$F$301,Eingangsrechnungen!$A$2:$A$301,"&gt;="&amp;A44,Eingangsrechnungen!$A$2:$A$301,"&lt;"&amp;EDATE(A44,1))</x:f>
        <x:v>0</x:v>
      </x:c>
      <x:c r="E44" s="115" t="e">
        <x:f>Liquiditätsplan!G43</x:f>
      </x:c>
      <x:c r="F44" s="115" t="e">
        <x:f>Liquiditätsplan!H43</x:f>
      </x:c>
      <x:c r="G44" s="115" t="e">
        <x:f>Liquiditätsplan!J43</x:f>
      </x:c>
      <x:c r="H44" s="115" t="e">
        <x:f>Liquiditätsplan!L43</x:f>
      </x:c>
      <x:c r="I44" s="115">
        <x:f t="shared" si="3"/>
        <x:v>3000</x:v>
      </x:c>
      <x:c r="J44" s="115">
        <x:f t="shared" si="4"/>
        <x:v>-3000</x:v>
      </x:c>
      <x:c r="K44" s="139">
        <x:f t="shared" si="5"/>
        <x:v>0</x:v>
      </x:c>
    </x:row>
    <x:row r="45">
      <x:c r="A45" s="114">
        <x:v>47484</x:v>
      </x:c>
      <x:c r="B45" s="116" t="n">
        <x:f>SUMIFS(Ausgangsrechnungen!$N$2:$N$301,Ausgangsrechnungen!$A$2:$A$301,"&gt;="&amp;A45,Ausgangsrechnungen!$A$2:$A$301,"&lt;"&amp;EDATE(A45,1))</x:f>
        <x:v>0</x:v>
      </x:c>
      <x:c r="C45" s="116" t="e">
        <x:f>Liquiditätsplan!D44</x:f>
      </x:c>
      <x:c r="D45" s="116" t="n">
        <x:f>SUMIFS(Eingangsrechnungen!$F$2:$F$301,Eingangsrechnungen!$A$2:$A$301,"&gt;="&amp;A45,Eingangsrechnungen!$A$2:$A$301,"&lt;"&amp;EDATE(A45,1))</x:f>
        <x:v>0</x:v>
      </x:c>
      <x:c r="E45" s="116" t="e">
        <x:f>Liquiditätsplan!G44</x:f>
      </x:c>
      <x:c r="F45" s="116" t="e">
        <x:f>Liquiditätsplan!H44</x:f>
      </x:c>
      <x:c r="G45" s="116" t="e">
        <x:f>Liquiditätsplan!J44</x:f>
      </x:c>
      <x:c r="H45" s="116" t="e">
        <x:f>Liquiditätsplan!L44</x:f>
      </x:c>
      <x:c r="I45" s="116">
        <x:f t="shared" si="3"/>
        <x:v>3000</x:v>
      </x:c>
      <x:c r="J45" s="116">
        <x:f t="shared" si="4"/>
        <x:v>-3000</x:v>
      </x:c>
      <x:c r="K45" s="140">
        <x:f t="shared" si="5"/>
        <x:v>0</x:v>
      </x:c>
    </x:row>
    <x:row r="46">
      <x:c r="A46" s="136">
        <x:v>47515</x:v>
      </x:c>
      <x:c r="B46" s="115" t="n">
        <x:f>SUMIFS(Ausgangsrechnungen!$N$2:$N$301,Ausgangsrechnungen!$A$2:$A$301,"&gt;="&amp;A46,Ausgangsrechnungen!$A$2:$A$301,"&lt;"&amp;EDATE(A46,1))</x:f>
        <x:v>0</x:v>
      </x:c>
      <x:c r="C46" s="115" t="e">
        <x:f>Liquiditätsplan!D45</x:f>
      </x:c>
      <x:c r="D46" s="115" t="n">
        <x:f>SUMIFS(Eingangsrechnungen!$F$2:$F$301,Eingangsrechnungen!$A$2:$A$301,"&gt;="&amp;A46,Eingangsrechnungen!$A$2:$A$301,"&lt;"&amp;EDATE(A46,1))</x:f>
        <x:v>0</x:v>
      </x:c>
      <x:c r="E46" s="115" t="e">
        <x:f>Liquiditätsplan!G45</x:f>
      </x:c>
      <x:c r="F46" s="115" t="e">
        <x:f>Liquiditätsplan!H45</x:f>
      </x:c>
      <x:c r="G46" s="115" t="e">
        <x:f>Liquiditätsplan!J45</x:f>
      </x:c>
      <x:c r="H46" s="115" t="e">
        <x:f>Liquiditätsplan!L45</x:f>
      </x:c>
      <x:c r="I46" s="115">
        <x:f t="shared" si="3"/>
        <x:v>3000</x:v>
      </x:c>
      <x:c r="J46" s="115">
        <x:f t="shared" si="4"/>
        <x:v>-3000</x:v>
      </x:c>
      <x:c r="K46" s="139">
        <x:f t="shared" si="5"/>
        <x:v>0</x:v>
      </x:c>
    </x:row>
    <x:row r="47">
      <x:c r="A47" s="114">
        <x:v>47543</x:v>
      </x:c>
      <x:c r="B47" s="116" t="n">
        <x:f>SUMIFS(Ausgangsrechnungen!$N$2:$N$301,Ausgangsrechnungen!$A$2:$A$301,"&gt;="&amp;A47,Ausgangsrechnungen!$A$2:$A$301,"&lt;"&amp;EDATE(A47,1))</x:f>
        <x:v>0</x:v>
      </x:c>
      <x:c r="C47" s="116" t="e">
        <x:f>Liquiditätsplan!D46</x:f>
      </x:c>
      <x:c r="D47" s="116" t="n">
        <x:f>SUMIFS(Eingangsrechnungen!$F$2:$F$301,Eingangsrechnungen!$A$2:$A$301,"&gt;="&amp;A47,Eingangsrechnungen!$A$2:$A$301,"&lt;"&amp;EDATE(A47,1))</x:f>
        <x:v>0</x:v>
      </x:c>
      <x:c r="E47" s="116" t="e">
        <x:f>Liquiditätsplan!G46</x:f>
      </x:c>
      <x:c r="F47" s="116" t="e">
        <x:f>Liquiditätsplan!H46</x:f>
      </x:c>
      <x:c r="G47" s="116" t="e">
        <x:f>Liquiditätsplan!J46</x:f>
      </x:c>
      <x:c r="H47" s="116" t="e">
        <x:f>Liquiditätsplan!L46</x:f>
      </x:c>
      <x:c r="I47" s="116">
        <x:f t="shared" si="3"/>
        <x:v>3000</x:v>
      </x:c>
      <x:c r="J47" s="116">
        <x:f t="shared" si="4"/>
        <x:v>-3000</x:v>
      </x:c>
      <x:c r="K47" s="140">
        <x:f t="shared" si="5"/>
        <x:v>0</x:v>
      </x:c>
    </x:row>
    <x:row r="48">
      <x:c r="A48" s="136">
        <x:v>47574</x:v>
      </x:c>
      <x:c r="B48" s="115" t="n">
        <x:f>SUMIFS(Ausgangsrechnungen!$N$2:$N$301,Ausgangsrechnungen!$A$2:$A$301,"&gt;="&amp;A48,Ausgangsrechnungen!$A$2:$A$301,"&lt;"&amp;EDATE(A48,1))</x:f>
        <x:v>0</x:v>
      </x:c>
      <x:c r="C48" s="115" t="e">
        <x:f>Liquiditätsplan!D47</x:f>
      </x:c>
      <x:c r="D48" s="115" t="n">
        <x:f>SUMIFS(Eingangsrechnungen!$F$2:$F$301,Eingangsrechnungen!$A$2:$A$301,"&gt;="&amp;A48,Eingangsrechnungen!$A$2:$A$301,"&lt;"&amp;EDATE(A48,1))</x:f>
        <x:v>0</x:v>
      </x:c>
      <x:c r="E48" s="115" t="e">
        <x:f>Liquiditätsplan!G47</x:f>
      </x:c>
      <x:c r="F48" s="115" t="e">
        <x:f>Liquiditätsplan!H47</x:f>
      </x:c>
      <x:c r="G48" s="115" t="e">
        <x:f>Liquiditätsplan!J47</x:f>
      </x:c>
      <x:c r="H48" s="115" t="e">
        <x:f>Liquiditätsplan!L47</x:f>
      </x:c>
      <x:c r="I48" s="115">
        <x:f t="shared" si="3"/>
        <x:v>3000</x:v>
      </x:c>
      <x:c r="J48" s="115">
        <x:f t="shared" si="4"/>
        <x:v>-3000</x:v>
      </x:c>
      <x:c r="K48" s="139">
        <x:f t="shared" si="5"/>
        <x:v>0</x:v>
      </x:c>
    </x:row>
    <x:row r="49">
      <x:c r="A49" s="114">
        <x:v>47604</x:v>
      </x:c>
      <x:c r="B49" s="116" t="n">
        <x:f>SUMIFS(Ausgangsrechnungen!$N$2:$N$301,Ausgangsrechnungen!$A$2:$A$301,"&gt;="&amp;A49,Ausgangsrechnungen!$A$2:$A$301,"&lt;"&amp;EDATE(A49,1))</x:f>
        <x:v>0</x:v>
      </x:c>
      <x:c r="C49" s="116" t="e">
        <x:f>Liquiditätsplan!D48</x:f>
      </x:c>
      <x:c r="D49" s="116" t="n">
        <x:f>SUMIFS(Eingangsrechnungen!$F$2:$F$301,Eingangsrechnungen!$A$2:$A$301,"&gt;="&amp;A49,Eingangsrechnungen!$A$2:$A$301,"&lt;"&amp;EDATE(A49,1))</x:f>
        <x:v>0</x:v>
      </x:c>
      <x:c r="E49" s="116" t="e">
        <x:f>Liquiditätsplan!G48</x:f>
      </x:c>
      <x:c r="F49" s="116" t="e">
        <x:f>Liquiditätsplan!H48</x:f>
      </x:c>
      <x:c r="G49" s="116" t="e">
        <x:f>Liquiditätsplan!J48</x:f>
      </x:c>
      <x:c r="H49" s="116" t="e">
        <x:f>Liquiditätsplan!L48</x:f>
      </x:c>
      <x:c r="I49" s="116">
        <x:f t="shared" si="3"/>
        <x:v>3000</x:v>
      </x:c>
      <x:c r="J49" s="116">
        <x:f t="shared" si="4"/>
        <x:v>-3000</x:v>
      </x:c>
      <x:c r="K49" s="140">
        <x:f t="shared" si="5"/>
        <x:v>0</x:v>
      </x:c>
    </x:row>
    <x:row r="50">
      <x:c r="A50" s="136">
        <x:v>47635</x:v>
      </x:c>
      <x:c r="B50" s="115" t="n">
        <x:f>SUMIFS(Ausgangsrechnungen!$N$2:$N$301,Ausgangsrechnungen!$A$2:$A$301,"&gt;="&amp;A50,Ausgangsrechnungen!$A$2:$A$301,"&lt;"&amp;EDATE(A50,1))</x:f>
        <x:v>0</x:v>
      </x:c>
      <x:c r="C50" s="115" t="e">
        <x:f>Liquiditätsplan!D49</x:f>
      </x:c>
      <x:c r="D50" s="115" t="n">
        <x:f>SUMIFS(Eingangsrechnungen!$F$2:$F$301,Eingangsrechnungen!$A$2:$A$301,"&gt;="&amp;A50,Eingangsrechnungen!$A$2:$A$301,"&lt;"&amp;EDATE(A50,1))</x:f>
        <x:v>0</x:v>
      </x:c>
      <x:c r="E50" s="115" t="e">
        <x:f>Liquiditätsplan!G49</x:f>
      </x:c>
      <x:c r="F50" s="115" t="e">
        <x:f>Liquiditätsplan!H49</x:f>
      </x:c>
      <x:c r="G50" s="115" t="e">
        <x:f>Liquiditätsplan!J49</x:f>
      </x:c>
      <x:c r="H50" s="115" t="e">
        <x:f>Liquiditätsplan!L49</x:f>
      </x:c>
      <x:c r="I50" s="115">
        <x:f t="shared" si="3"/>
        <x:v>3000</x:v>
      </x:c>
      <x:c r="J50" s="115">
        <x:f t="shared" si="4"/>
        <x:v>-3000</x:v>
      </x:c>
      <x:c r="K50" s="139">
        <x:f t="shared" si="5"/>
        <x:v>0</x:v>
      </x:c>
    </x:row>
    <x:row r="51">
      <x:c r="A51" s="114">
        <x:v>47665</x:v>
      </x:c>
      <x:c r="B51" s="116" t="n">
        <x:f>SUMIFS(Ausgangsrechnungen!$N$2:$N$301,Ausgangsrechnungen!$A$2:$A$301,"&gt;="&amp;A51,Ausgangsrechnungen!$A$2:$A$301,"&lt;"&amp;EDATE(A51,1))</x:f>
        <x:v>0</x:v>
      </x:c>
      <x:c r="C51" s="116" t="e">
        <x:f>Liquiditätsplan!D50</x:f>
      </x:c>
      <x:c r="D51" s="116" t="n">
        <x:f>SUMIFS(Eingangsrechnungen!$F$2:$F$301,Eingangsrechnungen!$A$2:$A$301,"&gt;="&amp;A51,Eingangsrechnungen!$A$2:$A$301,"&lt;"&amp;EDATE(A51,1))</x:f>
        <x:v>0</x:v>
      </x:c>
      <x:c r="E51" s="116" t="e">
        <x:f>Liquiditätsplan!G50</x:f>
      </x:c>
      <x:c r="F51" s="116" t="e">
        <x:f>Liquiditätsplan!H50</x:f>
      </x:c>
      <x:c r="G51" s="116" t="e">
        <x:f>Liquiditätsplan!J50</x:f>
      </x:c>
      <x:c r="H51" s="116" t="e">
        <x:f>Liquiditätsplan!L50</x:f>
      </x:c>
      <x:c r="I51" s="116">
        <x:f t="shared" si="3"/>
        <x:v>3000</x:v>
      </x:c>
      <x:c r="J51" s="116">
        <x:f t="shared" si="4"/>
        <x:v>-3000</x:v>
      </x:c>
      <x:c r="K51" s="140">
        <x:f t="shared" si="5"/>
        <x:v>0</x:v>
      </x:c>
    </x:row>
    <x:row r="52">
      <x:c r="A52" s="136">
        <x:v>47696</x:v>
      </x:c>
      <x:c r="B52" s="115" t="n">
        <x:f>SUMIFS(Ausgangsrechnungen!$N$2:$N$301,Ausgangsrechnungen!$A$2:$A$301,"&gt;="&amp;A52,Ausgangsrechnungen!$A$2:$A$301,"&lt;"&amp;EDATE(A52,1))</x:f>
        <x:v>0</x:v>
      </x:c>
      <x:c r="C52" s="115" t="e">
        <x:f>Liquiditätsplan!D51</x:f>
      </x:c>
      <x:c r="D52" s="115" t="n">
        <x:f>SUMIFS(Eingangsrechnungen!$F$2:$F$301,Eingangsrechnungen!$A$2:$A$301,"&gt;="&amp;A52,Eingangsrechnungen!$A$2:$A$301,"&lt;"&amp;EDATE(A52,1))</x:f>
        <x:v>0</x:v>
      </x:c>
      <x:c r="E52" s="115" t="e">
        <x:f>Liquiditätsplan!G51</x:f>
      </x:c>
      <x:c r="F52" s="115" t="e">
        <x:f>Liquiditätsplan!H51</x:f>
      </x:c>
      <x:c r="G52" s="115" t="e">
        <x:f>Liquiditätsplan!J51</x:f>
      </x:c>
      <x:c r="H52" s="115" t="e">
        <x:f>Liquiditätsplan!L51</x:f>
      </x:c>
      <x:c r="I52" s="115">
        <x:f t="shared" si="3"/>
        <x:v>3000</x:v>
      </x:c>
      <x:c r="J52" s="115">
        <x:f t="shared" si="4"/>
        <x:v>-3000</x:v>
      </x:c>
      <x:c r="K52" s="139">
        <x:f t="shared" si="5"/>
        <x:v>0</x:v>
      </x:c>
    </x:row>
    <x:row r="53">
      <x:c r="A53" s="114">
        <x:v>47727</x:v>
      </x:c>
      <x:c r="B53" s="116" t="n">
        <x:f>SUMIFS(Ausgangsrechnungen!$N$2:$N$301,Ausgangsrechnungen!$A$2:$A$301,"&gt;="&amp;A53,Ausgangsrechnungen!$A$2:$A$301,"&lt;"&amp;EDATE(A53,1))</x:f>
        <x:v>0</x:v>
      </x:c>
      <x:c r="C53" s="116" t="e">
        <x:f>Liquiditätsplan!D52</x:f>
      </x:c>
      <x:c r="D53" s="116" t="n">
        <x:f>SUMIFS(Eingangsrechnungen!$F$2:$F$301,Eingangsrechnungen!$A$2:$A$301,"&gt;="&amp;A53,Eingangsrechnungen!$A$2:$A$301,"&lt;"&amp;EDATE(A53,1))</x:f>
        <x:v>0</x:v>
      </x:c>
      <x:c r="E53" s="116" t="e">
        <x:f>Liquiditätsplan!G52</x:f>
      </x:c>
      <x:c r="F53" s="116" t="e">
        <x:f>Liquiditätsplan!H52</x:f>
      </x:c>
      <x:c r="G53" s="116" t="e">
        <x:f>Liquiditätsplan!J52</x:f>
      </x:c>
      <x:c r="H53" s="116" t="e">
        <x:f>Liquiditätsplan!L52</x:f>
      </x:c>
      <x:c r="I53" s="116">
        <x:f t="shared" si="3"/>
        <x:v>3000</x:v>
      </x:c>
      <x:c r="J53" s="116">
        <x:f t="shared" si="4"/>
        <x:v>-3000</x:v>
      </x:c>
      <x:c r="K53" s="140">
        <x:f t="shared" si="5"/>
        <x:v>0</x:v>
      </x:c>
    </x:row>
    <x:row r="54">
      <x:c r="A54" s="136">
        <x:v>47757</x:v>
      </x:c>
      <x:c r="B54" s="115" t="n">
        <x:f>SUMIFS(Ausgangsrechnungen!$N$2:$N$301,Ausgangsrechnungen!$A$2:$A$301,"&gt;="&amp;A54,Ausgangsrechnungen!$A$2:$A$301,"&lt;"&amp;EDATE(A54,1))</x:f>
        <x:v>0</x:v>
      </x:c>
      <x:c r="C54" s="115" t="e">
        <x:f>Liquiditätsplan!D53</x:f>
      </x:c>
      <x:c r="D54" s="115" t="n">
        <x:f>SUMIFS(Eingangsrechnungen!$F$2:$F$301,Eingangsrechnungen!$A$2:$A$301,"&gt;="&amp;A54,Eingangsrechnungen!$A$2:$A$301,"&lt;"&amp;EDATE(A54,1))</x:f>
        <x:v>0</x:v>
      </x:c>
      <x:c r="E54" s="115" t="e">
        <x:f>Liquiditätsplan!G53</x:f>
      </x:c>
      <x:c r="F54" s="115" t="e">
        <x:f>Liquiditätsplan!H53</x:f>
      </x:c>
      <x:c r="G54" s="115" t="e">
        <x:f>Liquiditätsplan!J53</x:f>
      </x:c>
      <x:c r="H54" s="115" t="e">
        <x:f>Liquiditätsplan!L53</x:f>
      </x:c>
      <x:c r="I54" s="115">
        <x:f t="shared" si="3"/>
        <x:v>3000</x:v>
      </x:c>
      <x:c r="J54" s="115">
        <x:f t="shared" si="4"/>
        <x:v>-3000</x:v>
      </x:c>
      <x:c r="K54" s="139">
        <x:f t="shared" si="5"/>
        <x:v>0</x:v>
      </x:c>
    </x:row>
    <x:row r="55">
      <x:c r="A55" s="114">
        <x:v>47788</x:v>
      </x:c>
      <x:c r="B55" s="116" t="n">
        <x:f>SUMIFS(Ausgangsrechnungen!$N$2:$N$301,Ausgangsrechnungen!$A$2:$A$301,"&gt;="&amp;A55,Ausgangsrechnungen!$A$2:$A$301,"&lt;"&amp;EDATE(A55,1))</x:f>
        <x:v>0</x:v>
      </x:c>
      <x:c r="C55" s="116" t="e">
        <x:f>Liquiditätsplan!D54</x:f>
      </x:c>
      <x:c r="D55" s="116" t="n">
        <x:f>SUMIFS(Eingangsrechnungen!$F$2:$F$301,Eingangsrechnungen!$A$2:$A$301,"&gt;="&amp;A55,Eingangsrechnungen!$A$2:$A$301,"&lt;"&amp;EDATE(A55,1))</x:f>
        <x:v>0</x:v>
      </x:c>
      <x:c r="E55" s="116" t="e">
        <x:f>Liquiditätsplan!G54</x:f>
      </x:c>
      <x:c r="F55" s="116" t="e">
        <x:f>Liquiditätsplan!H54</x:f>
      </x:c>
      <x:c r="G55" s="116" t="e">
        <x:f>Liquiditätsplan!J54</x:f>
      </x:c>
      <x:c r="H55" s="116" t="e">
        <x:f>Liquiditätsplan!L54</x:f>
      </x:c>
      <x:c r="I55" s="116">
        <x:f t="shared" si="3"/>
        <x:v>3000</x:v>
      </x:c>
      <x:c r="J55" s="116">
        <x:f t="shared" si="4"/>
        <x:v>-3000</x:v>
      </x:c>
      <x:c r="K55" s="140">
        <x:f t="shared" si="5"/>
        <x:v>0</x:v>
      </x:c>
    </x:row>
    <x:row r="56">
      <x:c r="A56" s="136">
        <x:v>47818</x:v>
      </x:c>
      <x:c r="B56" s="115" t="n">
        <x:f>SUMIFS(Ausgangsrechnungen!$N$2:$N$301,Ausgangsrechnungen!$A$2:$A$301,"&gt;="&amp;A56,Ausgangsrechnungen!$A$2:$A$301,"&lt;"&amp;EDATE(A56,1))</x:f>
        <x:v>0</x:v>
      </x:c>
      <x:c r="C56" s="115" t="e">
        <x:f>Liquiditätsplan!D55</x:f>
      </x:c>
      <x:c r="D56" s="115" t="n">
        <x:f>SUMIFS(Eingangsrechnungen!$F$2:$F$301,Eingangsrechnungen!$A$2:$A$301,"&gt;="&amp;A56,Eingangsrechnungen!$A$2:$A$301,"&lt;"&amp;EDATE(A56,1))</x:f>
        <x:v>0</x:v>
      </x:c>
      <x:c r="E56" s="115" t="e">
        <x:f>Liquiditätsplan!G55</x:f>
      </x:c>
      <x:c r="F56" s="115" t="e">
        <x:f>Liquiditätsplan!H55</x:f>
      </x:c>
      <x:c r="G56" s="115" t="e">
        <x:f>Liquiditätsplan!J55</x:f>
      </x:c>
      <x:c r="H56" s="115" t="e">
        <x:f>Liquiditätsplan!L55</x:f>
      </x:c>
      <x:c r="I56" s="115">
        <x:f t="shared" si="3"/>
        <x:v>3000</x:v>
      </x:c>
      <x:c r="J56" s="115">
        <x:f t="shared" si="4"/>
        <x:v>-3000</x:v>
      </x:c>
      <x:c r="K56" s="139">
        <x:f t="shared" si="5"/>
        <x:v>0</x:v>
      </x:c>
    </x:row>
    <x:row r="57">
      <x:c r="A57" s="114">
        <x:v>47849</x:v>
      </x:c>
      <x:c r="B57" s="116" t="n">
        <x:f>SUMIFS(Ausgangsrechnungen!$N$2:$N$301,Ausgangsrechnungen!$A$2:$A$301,"&gt;="&amp;A57,Ausgangsrechnungen!$A$2:$A$301,"&lt;"&amp;EDATE(A57,1))</x:f>
        <x:v>0</x:v>
      </x:c>
      <x:c r="C57" s="116" t="e">
        <x:f>Liquiditätsplan!D56</x:f>
      </x:c>
      <x:c r="D57" s="116" t="n">
        <x:f>SUMIFS(Eingangsrechnungen!$F$2:$F$301,Eingangsrechnungen!$A$2:$A$301,"&gt;="&amp;A57,Eingangsrechnungen!$A$2:$A$301,"&lt;"&amp;EDATE(A57,1))</x:f>
        <x:v>0</x:v>
      </x:c>
      <x:c r="E57" s="116" t="e">
        <x:f>Liquiditätsplan!G56</x:f>
      </x:c>
      <x:c r="F57" s="116" t="e">
        <x:f>Liquiditätsplan!H56</x:f>
      </x:c>
      <x:c r="G57" s="116" t="e">
        <x:f>Liquiditätsplan!J56</x:f>
      </x:c>
      <x:c r="H57" s="116" t="e">
        <x:f>Liquiditätsplan!L56</x:f>
      </x:c>
      <x:c r="I57" s="116">
        <x:f t="shared" si="3"/>
        <x:v>3000</x:v>
      </x:c>
      <x:c r="J57" s="116">
        <x:f t="shared" si="4"/>
        <x:v>-3000</x:v>
      </x:c>
      <x:c r="K57" s="140">
        <x:f t="shared" si="5"/>
        <x:v>0</x:v>
      </x:c>
    </x:row>
    <x:row r="58">
      <x:c r="A58" s="136">
        <x:v>47880</x:v>
      </x:c>
      <x:c r="B58" s="115" t="n">
        <x:f>SUMIFS(Ausgangsrechnungen!$N$2:$N$301,Ausgangsrechnungen!$A$2:$A$301,"&gt;="&amp;A58,Ausgangsrechnungen!$A$2:$A$301,"&lt;"&amp;EDATE(A58,1))</x:f>
        <x:v>0</x:v>
      </x:c>
      <x:c r="C58" s="115" t="e">
        <x:f>Liquiditätsplan!D57</x:f>
      </x:c>
      <x:c r="D58" s="115" t="n">
        <x:f>SUMIFS(Eingangsrechnungen!$F$2:$F$301,Eingangsrechnungen!$A$2:$A$301,"&gt;="&amp;A58,Eingangsrechnungen!$A$2:$A$301,"&lt;"&amp;EDATE(A58,1))</x:f>
        <x:v>0</x:v>
      </x:c>
      <x:c r="E58" s="115" t="e">
        <x:f>Liquiditätsplan!G57</x:f>
      </x:c>
      <x:c r="F58" s="115" t="e">
        <x:f>Liquiditätsplan!H57</x:f>
      </x:c>
      <x:c r="G58" s="115" t="e">
        <x:f>Liquiditätsplan!J57</x:f>
      </x:c>
      <x:c r="H58" s="115" t="e">
        <x:f>Liquiditätsplan!L57</x:f>
      </x:c>
      <x:c r="I58" s="115">
        <x:f t="shared" si="3"/>
        <x:v>3000</x:v>
      </x:c>
      <x:c r="J58" s="115">
        <x:f t="shared" si="4"/>
        <x:v>-3000</x:v>
      </x:c>
      <x:c r="K58" s="139">
        <x:f t="shared" si="5"/>
        <x:v>0</x:v>
      </x:c>
    </x:row>
    <x:row r="59">
      <x:c r="A59" s="114">
        <x:v>47908</x:v>
      </x:c>
      <x:c r="B59" s="116" t="n">
        <x:f>SUMIFS(Ausgangsrechnungen!$N$2:$N$301,Ausgangsrechnungen!$A$2:$A$301,"&gt;="&amp;A59,Ausgangsrechnungen!$A$2:$A$301,"&lt;"&amp;EDATE(A59,1))</x:f>
        <x:v>0</x:v>
      </x:c>
      <x:c r="C59" s="116" t="e">
        <x:f>Liquiditätsplan!D58</x:f>
      </x:c>
      <x:c r="D59" s="116" t="n">
        <x:f>SUMIFS(Eingangsrechnungen!$F$2:$F$301,Eingangsrechnungen!$A$2:$A$301,"&gt;="&amp;A59,Eingangsrechnungen!$A$2:$A$301,"&lt;"&amp;EDATE(A59,1))</x:f>
        <x:v>0</x:v>
      </x:c>
      <x:c r="E59" s="116" t="e">
        <x:f>Liquiditätsplan!G58</x:f>
      </x:c>
      <x:c r="F59" s="116" t="e">
        <x:f>Liquiditätsplan!H58</x:f>
      </x:c>
      <x:c r="G59" s="116" t="e">
        <x:f>Liquiditätsplan!J58</x:f>
      </x:c>
      <x:c r="H59" s="116" t="e">
        <x:f>Liquiditätsplan!L58</x:f>
      </x:c>
      <x:c r="I59" s="116">
        <x:f t="shared" si="3"/>
        <x:v>3000</x:v>
      </x:c>
      <x:c r="J59" s="116">
        <x:f t="shared" si="4"/>
        <x:v>-3000</x:v>
      </x:c>
      <x:c r="K59" s="140">
        <x:f t="shared" si="5"/>
        <x:v>0</x:v>
      </x:c>
    </x:row>
    <x:row r="60">
      <x:c r="A60" s="136">
        <x:v>47939</x:v>
      </x:c>
      <x:c r="B60" s="115" t="n">
        <x:f>SUMIFS(Ausgangsrechnungen!$N$2:$N$301,Ausgangsrechnungen!$A$2:$A$301,"&gt;="&amp;A60,Ausgangsrechnungen!$A$2:$A$301,"&lt;"&amp;EDATE(A60,1))</x:f>
        <x:v>0</x:v>
      </x:c>
      <x:c r="C60" s="115" t="e">
        <x:f>Liquiditätsplan!D59</x:f>
      </x:c>
      <x:c r="D60" s="115" t="n">
        <x:f>SUMIFS(Eingangsrechnungen!$F$2:$F$301,Eingangsrechnungen!$A$2:$A$301,"&gt;="&amp;A60,Eingangsrechnungen!$A$2:$A$301,"&lt;"&amp;EDATE(A60,1))</x:f>
        <x:v>0</x:v>
      </x:c>
      <x:c r="E60" s="115" t="e">
        <x:f>Liquiditätsplan!G59</x:f>
      </x:c>
      <x:c r="F60" s="115" t="e">
        <x:f>Liquiditätsplan!H59</x:f>
      </x:c>
      <x:c r="G60" s="115" t="e">
        <x:f>Liquiditätsplan!J59</x:f>
      </x:c>
      <x:c r="H60" s="115" t="e">
        <x:f>Liquiditätsplan!L59</x:f>
      </x:c>
      <x:c r="I60" s="115">
        <x:f t="shared" si="3"/>
        <x:v>3000</x:v>
      </x:c>
      <x:c r="J60" s="115">
        <x:f t="shared" si="4"/>
        <x:v>-3000</x:v>
      </x:c>
      <x:c r="K60" s="139">
        <x:f t="shared" si="5"/>
        <x:v>0</x:v>
      </x:c>
    </x:row>
    <x:row r="61">
      <x:c r="A61" s="114">
        <x:v>47969</x:v>
      </x:c>
      <x:c r="B61" s="116" t="n">
        <x:f>SUMIFS(Ausgangsrechnungen!$N$2:$N$301,Ausgangsrechnungen!$A$2:$A$301,"&gt;="&amp;A61,Ausgangsrechnungen!$A$2:$A$301,"&lt;"&amp;EDATE(A61,1))</x:f>
        <x:v>0</x:v>
      </x:c>
      <x:c r="C61" s="116" t="e">
        <x:f>Liquiditätsplan!D60</x:f>
      </x:c>
      <x:c r="D61" s="116" t="n">
        <x:f>SUMIFS(Eingangsrechnungen!$F$2:$F$301,Eingangsrechnungen!$A$2:$A$301,"&gt;="&amp;A61,Eingangsrechnungen!$A$2:$A$301,"&lt;"&amp;EDATE(A61,1))</x:f>
        <x:v>0</x:v>
      </x:c>
      <x:c r="E61" s="116" t="e">
        <x:f>Liquiditätsplan!G60</x:f>
      </x:c>
      <x:c r="F61" s="116" t="e">
        <x:f>Liquiditätsplan!H60</x:f>
      </x:c>
      <x:c r="G61" s="116" t="e">
        <x:f>Liquiditätsplan!J60</x:f>
      </x:c>
      <x:c r="H61" s="116" t="e">
        <x:f>Liquiditätsplan!L60</x:f>
      </x:c>
      <x:c r="I61" s="116">
        <x:f t="shared" si="3"/>
        <x:v>3000</x:v>
      </x:c>
      <x:c r="J61" s="116">
        <x:f t="shared" si="4"/>
        <x:v>-3000</x:v>
      </x:c>
      <x:c r="K61" s="140">
        <x:f t="shared" si="5"/>
        <x:v>0</x:v>
      </x:c>
    </x:row>
    <x:row r="62">
      <x:c r="A62" s="136">
        <x:v>48000</x:v>
      </x:c>
      <x:c r="B62" s="115" t="n">
        <x:f>SUMIFS(Ausgangsrechnungen!$N$2:$N$301,Ausgangsrechnungen!$A$2:$A$301,"&gt;="&amp;A62,Ausgangsrechnungen!$A$2:$A$301,"&lt;"&amp;EDATE(A62,1))</x:f>
        <x:v>0</x:v>
      </x:c>
      <x:c r="C62" s="115" t="e">
        <x:f>Liquiditätsplan!D61</x:f>
      </x:c>
      <x:c r="D62" s="115" t="n">
        <x:f>SUMIFS(Eingangsrechnungen!$F$2:$F$301,Eingangsrechnungen!$A$2:$A$301,"&gt;="&amp;A62,Eingangsrechnungen!$A$2:$A$301,"&lt;"&amp;EDATE(A62,1))</x:f>
        <x:v>0</x:v>
      </x:c>
      <x:c r="E62" s="115" t="e">
        <x:f>Liquiditätsplan!G61</x:f>
      </x:c>
      <x:c r="F62" s="115" t="e">
        <x:f>Liquiditätsplan!H61</x:f>
      </x:c>
      <x:c r="G62" s="115" t="e">
        <x:f>Liquiditätsplan!J61</x:f>
      </x:c>
      <x:c r="H62" s="115" t="e">
        <x:f>Liquiditätsplan!L61</x:f>
      </x:c>
      <x:c r="I62" s="115">
        <x:f t="shared" si="3"/>
        <x:v>3000</x:v>
      </x:c>
      <x:c r="J62" s="115">
        <x:f t="shared" si="4"/>
        <x:v>-3000</x:v>
      </x:c>
      <x:c r="K62" s="139">
        <x:f t="shared" si="5"/>
        <x:v>0</x:v>
      </x:c>
    </x:row>
    <x:row r="63">
      <x:c r="A63" s="114">
        <x:v>48030</x:v>
      </x:c>
      <x:c r="B63" s="116" t="n">
        <x:f>SUMIFS(Ausgangsrechnungen!$N$2:$N$301,Ausgangsrechnungen!$A$2:$A$301,"&gt;="&amp;A63,Ausgangsrechnungen!$A$2:$A$301,"&lt;"&amp;EDATE(A63,1))</x:f>
        <x:v>0</x:v>
      </x:c>
      <x:c r="C63" s="116" t="e">
        <x:f>Liquiditätsplan!D62</x:f>
      </x:c>
      <x:c r="D63" s="116" t="n">
        <x:f>SUMIFS(Eingangsrechnungen!$F$2:$F$301,Eingangsrechnungen!$A$2:$A$301,"&gt;="&amp;A63,Eingangsrechnungen!$A$2:$A$301,"&lt;"&amp;EDATE(A63,1))</x:f>
        <x:v>0</x:v>
      </x:c>
      <x:c r="E63" s="116" t="e">
        <x:f>Liquiditätsplan!G62</x:f>
      </x:c>
      <x:c r="F63" s="116" t="e">
        <x:f>Liquiditätsplan!H62</x:f>
      </x:c>
      <x:c r="G63" s="116" t="e">
        <x:f>Liquiditätsplan!J62</x:f>
      </x:c>
      <x:c r="H63" s="116" t="e">
        <x:f>Liquiditätsplan!L62</x:f>
      </x:c>
      <x:c r="I63" s="116">
        <x:f t="shared" si="3"/>
        <x:v>3000</x:v>
      </x:c>
      <x:c r="J63" s="116">
        <x:f t="shared" si="4"/>
        <x:v>-3000</x:v>
      </x:c>
      <x:c r="K63" s="140">
        <x:f t="shared" si="5"/>
        <x:v>0</x:v>
      </x:c>
    </x:row>
    <x:row r="64">
      <x:c r="A64" s="136">
        <x:v>48061</x:v>
      </x:c>
      <x:c r="B64" s="115" t="n">
        <x:f>SUMIFS(Ausgangsrechnungen!$N$2:$N$301,Ausgangsrechnungen!$A$2:$A$301,"&gt;="&amp;A64,Ausgangsrechnungen!$A$2:$A$301,"&lt;"&amp;EDATE(A64,1))</x:f>
        <x:v>0</x:v>
      </x:c>
      <x:c r="C64" s="115" t="e">
        <x:f>Liquiditätsplan!D63</x:f>
      </x:c>
      <x:c r="D64" s="115" t="n">
        <x:f>SUMIFS(Eingangsrechnungen!$F$2:$F$301,Eingangsrechnungen!$A$2:$A$301,"&gt;="&amp;A64,Eingangsrechnungen!$A$2:$A$301,"&lt;"&amp;EDATE(A64,1))</x:f>
        <x:v>0</x:v>
      </x:c>
      <x:c r="E64" s="115" t="e">
        <x:f>Liquiditätsplan!G63</x:f>
      </x:c>
      <x:c r="F64" s="115" t="e">
        <x:f>Liquiditätsplan!H63</x:f>
      </x:c>
      <x:c r="G64" s="115" t="e">
        <x:f>Liquiditätsplan!J63</x:f>
      </x:c>
      <x:c r="H64" s="115" t="e">
        <x:f>Liquiditätsplan!L63</x:f>
      </x:c>
      <x:c r="I64" s="115">
        <x:f t="shared" si="3"/>
        <x:v>3000</x:v>
      </x:c>
      <x:c r="J64" s="115">
        <x:f t="shared" si="4"/>
        <x:v>-3000</x:v>
      </x:c>
      <x:c r="K64" s="139">
        <x:f t="shared" si="5"/>
        <x:v>0</x:v>
      </x:c>
    </x:row>
    <x:row r="65">
      <x:c r="A65" s="114">
        <x:v>48092</x:v>
      </x:c>
      <x:c r="B65" s="116" t="n">
        <x:f>SUMIFS(Ausgangsrechnungen!$N$2:$N$301,Ausgangsrechnungen!$A$2:$A$301,"&gt;="&amp;A65,Ausgangsrechnungen!$A$2:$A$301,"&lt;"&amp;EDATE(A65,1))</x:f>
        <x:v>0</x:v>
      </x:c>
      <x:c r="C65" s="116" t="e">
        <x:f>Liquiditätsplan!D64</x:f>
      </x:c>
      <x:c r="D65" s="116" t="n">
        <x:f>SUMIFS(Eingangsrechnungen!$F$2:$F$301,Eingangsrechnungen!$A$2:$A$301,"&gt;="&amp;A65,Eingangsrechnungen!$A$2:$A$301,"&lt;"&amp;EDATE(A65,1))</x:f>
        <x:v>0</x:v>
      </x:c>
      <x:c r="E65" s="116" t="e">
        <x:f>Liquiditätsplan!G64</x:f>
      </x:c>
      <x:c r="F65" s="116" t="e">
        <x:f>Liquiditätsplan!H64</x:f>
      </x:c>
      <x:c r="G65" s="116" t="e">
        <x:f>Liquiditätsplan!J64</x:f>
      </x:c>
      <x:c r="H65" s="116" t="e">
        <x:f>Liquiditätsplan!L64</x:f>
      </x:c>
      <x:c r="I65" s="116">
        <x:f t="shared" si="3"/>
        <x:v>3000</x:v>
      </x:c>
      <x:c r="J65" s="116">
        <x:f t="shared" si="4"/>
        <x:v>-3000</x:v>
      </x:c>
      <x:c r="K65" s="140">
        <x:f t="shared" si="5"/>
        <x:v>0</x:v>
      </x:c>
    </x:row>
    <x:row r="66">
      <x:c r="A66" s="136">
        <x:v>48122</x:v>
      </x:c>
      <x:c r="B66" s="115" t="n">
        <x:f>SUMIFS(Ausgangsrechnungen!$N$2:$N$301,Ausgangsrechnungen!$A$2:$A$301,"&gt;="&amp;A66,Ausgangsrechnungen!$A$2:$A$301,"&lt;"&amp;EDATE(A66,1))</x:f>
        <x:v>0</x:v>
      </x:c>
      <x:c r="C66" s="115" t="e">
        <x:f>Liquiditätsplan!D65</x:f>
      </x:c>
      <x:c r="D66" s="115" t="n">
        <x:f>SUMIFS(Eingangsrechnungen!$F$2:$F$301,Eingangsrechnungen!$A$2:$A$301,"&gt;="&amp;A66,Eingangsrechnungen!$A$2:$A$301,"&lt;"&amp;EDATE(A66,1))</x:f>
        <x:v>0</x:v>
      </x:c>
      <x:c r="E66" s="115" t="e">
        <x:f>Liquiditätsplan!G65</x:f>
      </x:c>
      <x:c r="F66" s="115" t="e">
        <x:f>Liquiditätsplan!H65</x:f>
      </x:c>
      <x:c r="G66" s="115" t="e">
        <x:f>Liquiditätsplan!J65</x:f>
      </x:c>
      <x:c r="H66" s="115" t="e">
        <x:f>Liquiditätsplan!L65</x:f>
      </x:c>
      <x:c r="I66" s="115">
        <x:f t="shared" si="3"/>
        <x:v>3000</x:v>
      </x:c>
      <x:c r="J66" s="115">
        <x:f t="shared" si="4"/>
        <x:v>-3000</x:v>
      </x:c>
      <x:c r="K66" s="139">
        <x:f t="shared" si="5"/>
        <x:v>0</x:v>
      </x:c>
    </x:row>
    <x:row r="67">
      <x:c r="A67" s="114">
        <x:v>48153</x:v>
      </x:c>
      <x:c r="B67" s="116" t="n">
        <x:f>SUMIFS(Ausgangsrechnungen!$N$2:$N$301,Ausgangsrechnungen!$A$2:$A$301,"&gt;="&amp;A67,Ausgangsrechnungen!$A$2:$A$301,"&lt;"&amp;EDATE(A67,1))</x:f>
        <x:v>0</x:v>
      </x:c>
      <x:c r="C67" s="116" t="e">
        <x:f>Liquiditätsplan!D66</x:f>
      </x:c>
      <x:c r="D67" s="116" t="n">
        <x:f>SUMIFS(Eingangsrechnungen!$F$2:$F$301,Eingangsrechnungen!$A$2:$A$301,"&gt;="&amp;A67,Eingangsrechnungen!$A$2:$A$301,"&lt;"&amp;EDATE(A67,1))</x:f>
        <x:v>0</x:v>
      </x:c>
      <x:c r="E67" s="116" t="e">
        <x:f>Liquiditätsplan!G66</x:f>
      </x:c>
      <x:c r="F67" s="116" t="e">
        <x:f>Liquiditätsplan!H66</x:f>
      </x:c>
      <x:c r="G67" s="116" t="e">
        <x:f>Liquiditätsplan!J66</x:f>
      </x:c>
      <x:c r="H67" s="116" t="e">
        <x:f>Liquiditätsplan!L66</x:f>
      </x:c>
      <x:c r="I67" s="116" t="e">
        <x:f t="shared" ref="I67:I98" si="6">SUM(D67:H67)</x:f>
      </x:c>
      <x:c r="J67" s="116" t="e">
        <x:f t="shared" ref="J67:J98" si="7">B67+C67-I67</x:f>
      </x:c>
      <x:c r="K67" s="140" t="n">
        <x:f t="shared" ref="K67:K98" si="8">IF(B67=0,0,J67/B67)</x:f>
        <x:v>0</x:v>
      </x:c>
    </x:row>
    <x:row r="68">
      <x:c r="A68" s="136">
        <x:v>48183</x:v>
      </x:c>
      <x:c r="B68" s="115" t="n">
        <x:f>SUMIFS(Ausgangsrechnungen!$N$2:$N$301,Ausgangsrechnungen!$A$2:$A$301,"&gt;="&amp;A68,Ausgangsrechnungen!$A$2:$A$301,"&lt;"&amp;EDATE(A68,1))</x:f>
        <x:v>0</x:v>
      </x:c>
      <x:c r="C68" s="115" t="e">
        <x:f>Liquiditätsplan!D67</x:f>
      </x:c>
      <x:c r="D68" s="115" t="n">
        <x:f>SUMIFS(Eingangsrechnungen!$F$2:$F$301,Eingangsrechnungen!$A$2:$A$301,"&gt;="&amp;A68,Eingangsrechnungen!$A$2:$A$301,"&lt;"&amp;EDATE(A68,1))</x:f>
        <x:v>0</x:v>
      </x:c>
      <x:c r="E68" s="115" t="e">
        <x:f>Liquiditätsplan!G67</x:f>
      </x:c>
      <x:c r="F68" s="115" t="e">
        <x:f>Liquiditätsplan!H67</x:f>
      </x:c>
      <x:c r="G68" s="115" t="e">
        <x:f>Liquiditätsplan!J67</x:f>
      </x:c>
      <x:c r="H68" s="115" t="e">
        <x:f>Liquiditätsplan!L67</x:f>
      </x:c>
      <x:c r="I68" s="115">
        <x:f t="shared" si="6"/>
        <x:v>3000</x:v>
      </x:c>
      <x:c r="J68" s="115">
        <x:f t="shared" si="7"/>
        <x:v>-3000</x:v>
      </x:c>
      <x:c r="K68" s="139">
        <x:f t="shared" si="8"/>
        <x:v>0</x:v>
      </x:c>
    </x:row>
    <x:row r="69">
      <x:c r="A69" s="114">
        <x:v>48214</x:v>
      </x:c>
      <x:c r="B69" s="116" t="n">
        <x:f>SUMIFS(Ausgangsrechnungen!$N$2:$N$301,Ausgangsrechnungen!$A$2:$A$301,"&gt;="&amp;A69,Ausgangsrechnungen!$A$2:$A$301,"&lt;"&amp;EDATE(A69,1))</x:f>
        <x:v>0</x:v>
      </x:c>
      <x:c r="C69" s="116" t="e">
        <x:f>Liquiditätsplan!D68</x:f>
      </x:c>
      <x:c r="D69" s="116" t="n">
        <x:f>SUMIFS(Eingangsrechnungen!$F$2:$F$301,Eingangsrechnungen!$A$2:$A$301,"&gt;="&amp;A69,Eingangsrechnungen!$A$2:$A$301,"&lt;"&amp;EDATE(A69,1))</x:f>
        <x:v>0</x:v>
      </x:c>
      <x:c r="E69" s="116" t="e">
        <x:f>Liquiditätsplan!G68</x:f>
      </x:c>
      <x:c r="F69" s="116" t="e">
        <x:f>Liquiditätsplan!H68</x:f>
      </x:c>
      <x:c r="G69" s="116" t="e">
        <x:f>Liquiditätsplan!J68</x:f>
      </x:c>
      <x:c r="H69" s="116" t="e">
        <x:f>Liquiditätsplan!L68</x:f>
      </x:c>
      <x:c r="I69" s="116">
        <x:f t="shared" si="6"/>
        <x:v>3000</x:v>
      </x:c>
      <x:c r="J69" s="116">
        <x:f t="shared" si="7"/>
        <x:v>-3000</x:v>
      </x:c>
      <x:c r="K69" s="140">
        <x:f t="shared" si="8"/>
        <x:v>0</x:v>
      </x:c>
    </x:row>
    <x:row r="70">
      <x:c r="A70" s="136">
        <x:v>48245</x:v>
      </x:c>
      <x:c r="B70" s="115" t="n">
        <x:f>SUMIFS(Ausgangsrechnungen!$N$2:$N$301,Ausgangsrechnungen!$A$2:$A$301,"&gt;="&amp;A70,Ausgangsrechnungen!$A$2:$A$301,"&lt;"&amp;EDATE(A70,1))</x:f>
        <x:v>0</x:v>
      </x:c>
      <x:c r="C70" s="115" t="e">
        <x:f>Liquiditätsplan!D69</x:f>
      </x:c>
      <x:c r="D70" s="115" t="n">
        <x:f>SUMIFS(Eingangsrechnungen!$F$2:$F$301,Eingangsrechnungen!$A$2:$A$301,"&gt;="&amp;A70,Eingangsrechnungen!$A$2:$A$301,"&lt;"&amp;EDATE(A70,1))</x:f>
        <x:v>0</x:v>
      </x:c>
      <x:c r="E70" s="115" t="e">
        <x:f>Liquiditätsplan!G69</x:f>
      </x:c>
      <x:c r="F70" s="115" t="e">
        <x:f>Liquiditätsplan!H69</x:f>
      </x:c>
      <x:c r="G70" s="115" t="e">
        <x:f>Liquiditätsplan!J69</x:f>
      </x:c>
      <x:c r="H70" s="115" t="e">
        <x:f>Liquiditätsplan!L69</x:f>
      </x:c>
      <x:c r="I70" s="115">
        <x:f t="shared" si="6"/>
        <x:v>3000</x:v>
      </x:c>
      <x:c r="J70" s="115">
        <x:f t="shared" si="7"/>
        <x:v>-3000</x:v>
      </x:c>
      <x:c r="K70" s="139">
        <x:f t="shared" si="8"/>
        <x:v>0</x:v>
      </x:c>
    </x:row>
    <x:row r="71">
      <x:c r="A71" s="114">
        <x:v>48274</x:v>
      </x:c>
      <x:c r="B71" s="116" t="n">
        <x:f>SUMIFS(Ausgangsrechnungen!$N$2:$N$301,Ausgangsrechnungen!$A$2:$A$301,"&gt;="&amp;A71,Ausgangsrechnungen!$A$2:$A$301,"&lt;"&amp;EDATE(A71,1))</x:f>
        <x:v>0</x:v>
      </x:c>
      <x:c r="C71" s="116" t="e">
        <x:f>Liquiditätsplan!D70</x:f>
      </x:c>
      <x:c r="D71" s="116" t="n">
        <x:f>SUMIFS(Eingangsrechnungen!$F$2:$F$301,Eingangsrechnungen!$A$2:$A$301,"&gt;="&amp;A71,Eingangsrechnungen!$A$2:$A$301,"&lt;"&amp;EDATE(A71,1))</x:f>
        <x:v>0</x:v>
      </x:c>
      <x:c r="E71" s="116" t="e">
        <x:f>Liquiditätsplan!G70</x:f>
      </x:c>
      <x:c r="F71" s="116" t="e">
        <x:f>Liquiditätsplan!H70</x:f>
      </x:c>
      <x:c r="G71" s="116" t="e">
        <x:f>Liquiditätsplan!J70</x:f>
      </x:c>
      <x:c r="H71" s="116" t="e">
        <x:f>Liquiditätsplan!L70</x:f>
      </x:c>
      <x:c r="I71" s="116">
        <x:f t="shared" si="6"/>
        <x:v>3000</x:v>
      </x:c>
      <x:c r="J71" s="116">
        <x:f t="shared" si="7"/>
        <x:v>-3000</x:v>
      </x:c>
      <x:c r="K71" s="140">
        <x:f t="shared" si="8"/>
        <x:v>0</x:v>
      </x:c>
    </x:row>
    <x:row r="72">
      <x:c r="A72" s="136">
        <x:v>48305</x:v>
      </x:c>
      <x:c r="B72" s="115" t="n">
        <x:f>SUMIFS(Ausgangsrechnungen!$N$2:$N$301,Ausgangsrechnungen!$A$2:$A$301,"&gt;="&amp;A72,Ausgangsrechnungen!$A$2:$A$301,"&lt;"&amp;EDATE(A72,1))</x:f>
        <x:v>0</x:v>
      </x:c>
      <x:c r="C72" s="115" t="e">
        <x:f>Liquiditätsplan!D71</x:f>
      </x:c>
      <x:c r="D72" s="115" t="n">
        <x:f>SUMIFS(Eingangsrechnungen!$F$2:$F$301,Eingangsrechnungen!$A$2:$A$301,"&gt;="&amp;A72,Eingangsrechnungen!$A$2:$A$301,"&lt;"&amp;EDATE(A72,1))</x:f>
        <x:v>0</x:v>
      </x:c>
      <x:c r="E72" s="115" t="e">
        <x:f>Liquiditätsplan!G71</x:f>
      </x:c>
      <x:c r="F72" s="115" t="e">
        <x:f>Liquiditätsplan!H71</x:f>
      </x:c>
      <x:c r="G72" s="115" t="e">
        <x:f>Liquiditätsplan!J71</x:f>
      </x:c>
      <x:c r="H72" s="115" t="e">
        <x:f>Liquiditätsplan!L71</x:f>
      </x:c>
      <x:c r="I72" s="115">
        <x:f t="shared" si="6"/>
        <x:v>3000</x:v>
      </x:c>
      <x:c r="J72" s="115">
        <x:f t="shared" si="7"/>
        <x:v>-3000</x:v>
      </x:c>
      <x:c r="K72" s="139">
        <x:f t="shared" si="8"/>
        <x:v>0</x:v>
      </x:c>
    </x:row>
    <x:row r="73">
      <x:c r="A73" s="114">
        <x:v>48335</x:v>
      </x:c>
      <x:c r="B73" s="116" t="n">
        <x:f>SUMIFS(Ausgangsrechnungen!$N$2:$N$301,Ausgangsrechnungen!$A$2:$A$301,"&gt;="&amp;A73,Ausgangsrechnungen!$A$2:$A$301,"&lt;"&amp;EDATE(A73,1))</x:f>
        <x:v>0</x:v>
      </x:c>
      <x:c r="C73" s="116" t="e">
        <x:f>Liquiditätsplan!D72</x:f>
      </x:c>
      <x:c r="D73" s="116" t="n">
        <x:f>SUMIFS(Eingangsrechnungen!$F$2:$F$301,Eingangsrechnungen!$A$2:$A$301,"&gt;="&amp;A73,Eingangsrechnungen!$A$2:$A$301,"&lt;"&amp;EDATE(A73,1))</x:f>
        <x:v>0</x:v>
      </x:c>
      <x:c r="E73" s="116" t="e">
        <x:f>Liquiditätsplan!G72</x:f>
      </x:c>
      <x:c r="F73" s="116" t="e">
        <x:f>Liquiditätsplan!H72</x:f>
      </x:c>
      <x:c r="G73" s="116" t="e">
        <x:f>Liquiditätsplan!J72</x:f>
      </x:c>
      <x:c r="H73" s="116" t="e">
        <x:f>Liquiditätsplan!L72</x:f>
      </x:c>
      <x:c r="I73" s="116">
        <x:f t="shared" si="6"/>
        <x:v>3000</x:v>
      </x:c>
      <x:c r="J73" s="116">
        <x:f t="shared" si="7"/>
        <x:v>-3000</x:v>
      </x:c>
      <x:c r="K73" s="140">
        <x:f t="shared" si="8"/>
        <x:v>0</x:v>
      </x:c>
    </x:row>
    <x:row r="74">
      <x:c r="A74" s="136">
        <x:v>48366</x:v>
      </x:c>
      <x:c r="B74" s="115" t="n">
        <x:f>SUMIFS(Ausgangsrechnungen!$N$2:$N$301,Ausgangsrechnungen!$A$2:$A$301,"&gt;="&amp;A74,Ausgangsrechnungen!$A$2:$A$301,"&lt;"&amp;EDATE(A74,1))</x:f>
        <x:v>0</x:v>
      </x:c>
      <x:c r="C74" s="115" t="e">
        <x:f>Liquiditätsplan!D73</x:f>
      </x:c>
      <x:c r="D74" s="115" t="n">
        <x:f>SUMIFS(Eingangsrechnungen!$F$2:$F$301,Eingangsrechnungen!$A$2:$A$301,"&gt;="&amp;A74,Eingangsrechnungen!$A$2:$A$301,"&lt;"&amp;EDATE(A74,1))</x:f>
        <x:v>0</x:v>
      </x:c>
      <x:c r="E74" s="115" t="e">
        <x:f>Liquiditätsplan!G73</x:f>
      </x:c>
      <x:c r="F74" s="115" t="e">
        <x:f>Liquiditätsplan!H73</x:f>
      </x:c>
      <x:c r="G74" s="115" t="e">
        <x:f>Liquiditätsplan!J73</x:f>
      </x:c>
      <x:c r="H74" s="115" t="e">
        <x:f>Liquiditätsplan!L73</x:f>
      </x:c>
      <x:c r="I74" s="115">
        <x:f t="shared" si="6"/>
        <x:v>3000</x:v>
      </x:c>
      <x:c r="J74" s="115">
        <x:f t="shared" si="7"/>
        <x:v>-3000</x:v>
      </x:c>
      <x:c r="K74" s="139">
        <x:f t="shared" si="8"/>
        <x:v>0</x:v>
      </x:c>
    </x:row>
    <x:row r="75">
      <x:c r="A75" s="114">
        <x:v>48396</x:v>
      </x:c>
      <x:c r="B75" s="116" t="n">
        <x:f>SUMIFS(Ausgangsrechnungen!$N$2:$N$301,Ausgangsrechnungen!$A$2:$A$301,"&gt;="&amp;A75,Ausgangsrechnungen!$A$2:$A$301,"&lt;"&amp;EDATE(A75,1))</x:f>
        <x:v>0</x:v>
      </x:c>
      <x:c r="C75" s="116" t="e">
        <x:f>Liquiditätsplan!D74</x:f>
      </x:c>
      <x:c r="D75" s="116" t="n">
        <x:f>SUMIFS(Eingangsrechnungen!$F$2:$F$301,Eingangsrechnungen!$A$2:$A$301,"&gt;="&amp;A75,Eingangsrechnungen!$A$2:$A$301,"&lt;"&amp;EDATE(A75,1))</x:f>
        <x:v>0</x:v>
      </x:c>
      <x:c r="E75" s="116" t="e">
        <x:f>Liquiditätsplan!G74</x:f>
      </x:c>
      <x:c r="F75" s="116" t="e">
        <x:f>Liquiditätsplan!H74</x:f>
      </x:c>
      <x:c r="G75" s="116" t="e">
        <x:f>Liquiditätsplan!J74</x:f>
      </x:c>
      <x:c r="H75" s="116" t="e">
        <x:f>Liquiditätsplan!L74</x:f>
      </x:c>
      <x:c r="I75" s="116">
        <x:f t="shared" si="6"/>
        <x:v>3000</x:v>
      </x:c>
      <x:c r="J75" s="116">
        <x:f t="shared" si="7"/>
        <x:v>-3000</x:v>
      </x:c>
      <x:c r="K75" s="140">
        <x:f t="shared" si="8"/>
        <x:v>0</x:v>
      </x:c>
    </x:row>
    <x:row r="76">
      <x:c r="A76" s="136">
        <x:v>48427</x:v>
      </x:c>
      <x:c r="B76" s="115" t="n">
        <x:f>SUMIFS(Ausgangsrechnungen!$N$2:$N$301,Ausgangsrechnungen!$A$2:$A$301,"&gt;="&amp;A76,Ausgangsrechnungen!$A$2:$A$301,"&lt;"&amp;EDATE(A76,1))</x:f>
        <x:v>0</x:v>
      </x:c>
      <x:c r="C76" s="115" t="e">
        <x:f>Liquiditätsplan!D75</x:f>
      </x:c>
      <x:c r="D76" s="115" t="n">
        <x:f>SUMIFS(Eingangsrechnungen!$F$2:$F$301,Eingangsrechnungen!$A$2:$A$301,"&gt;="&amp;A76,Eingangsrechnungen!$A$2:$A$301,"&lt;"&amp;EDATE(A76,1))</x:f>
        <x:v>0</x:v>
      </x:c>
      <x:c r="E76" s="115" t="e">
        <x:f>Liquiditätsplan!G75</x:f>
      </x:c>
      <x:c r="F76" s="115" t="e">
        <x:f>Liquiditätsplan!H75</x:f>
      </x:c>
      <x:c r="G76" s="115" t="e">
        <x:f>Liquiditätsplan!J75</x:f>
      </x:c>
      <x:c r="H76" s="115" t="e">
        <x:f>Liquiditätsplan!L75</x:f>
      </x:c>
      <x:c r="I76" s="115">
        <x:f t="shared" si="6"/>
        <x:v>3000</x:v>
      </x:c>
      <x:c r="J76" s="115">
        <x:f t="shared" si="7"/>
        <x:v>-3000</x:v>
      </x:c>
      <x:c r="K76" s="139">
        <x:f t="shared" si="8"/>
        <x:v>0</x:v>
      </x:c>
    </x:row>
    <x:row r="77">
      <x:c r="A77" s="114">
        <x:v>48458</x:v>
      </x:c>
      <x:c r="B77" s="116" t="n">
        <x:f>SUMIFS(Ausgangsrechnungen!$N$2:$N$301,Ausgangsrechnungen!$A$2:$A$301,"&gt;="&amp;A77,Ausgangsrechnungen!$A$2:$A$301,"&lt;"&amp;EDATE(A77,1))</x:f>
        <x:v>0</x:v>
      </x:c>
      <x:c r="C77" s="116" t="e">
        <x:f>Liquiditätsplan!D76</x:f>
      </x:c>
      <x:c r="D77" s="116" t="n">
        <x:f>SUMIFS(Eingangsrechnungen!$F$2:$F$301,Eingangsrechnungen!$A$2:$A$301,"&gt;="&amp;A77,Eingangsrechnungen!$A$2:$A$301,"&lt;"&amp;EDATE(A77,1))</x:f>
        <x:v>0</x:v>
      </x:c>
      <x:c r="E77" s="116" t="e">
        <x:f>Liquiditätsplan!G76</x:f>
      </x:c>
      <x:c r="F77" s="116" t="e">
        <x:f>Liquiditätsplan!H76</x:f>
      </x:c>
      <x:c r="G77" s="116" t="e">
        <x:f>Liquiditätsplan!J76</x:f>
      </x:c>
      <x:c r="H77" s="116" t="e">
        <x:f>Liquiditätsplan!L76</x:f>
      </x:c>
      <x:c r="I77" s="116">
        <x:f t="shared" si="6"/>
        <x:v>3000</x:v>
      </x:c>
      <x:c r="J77" s="116">
        <x:f t="shared" si="7"/>
        <x:v>-3000</x:v>
      </x:c>
      <x:c r="K77" s="140">
        <x:f t="shared" si="8"/>
        <x:v>0</x:v>
      </x:c>
    </x:row>
    <x:row r="78">
      <x:c r="A78" s="136">
        <x:v>48488</x:v>
      </x:c>
      <x:c r="B78" s="115" t="n">
        <x:f>SUMIFS(Ausgangsrechnungen!$N$2:$N$301,Ausgangsrechnungen!$A$2:$A$301,"&gt;="&amp;A78,Ausgangsrechnungen!$A$2:$A$301,"&lt;"&amp;EDATE(A78,1))</x:f>
        <x:v>0</x:v>
      </x:c>
      <x:c r="C78" s="115" t="e">
        <x:f>Liquiditätsplan!D77</x:f>
      </x:c>
      <x:c r="D78" s="115" t="n">
        <x:f>SUMIFS(Eingangsrechnungen!$F$2:$F$301,Eingangsrechnungen!$A$2:$A$301,"&gt;="&amp;A78,Eingangsrechnungen!$A$2:$A$301,"&lt;"&amp;EDATE(A78,1))</x:f>
        <x:v>0</x:v>
      </x:c>
      <x:c r="E78" s="115" t="e">
        <x:f>Liquiditätsplan!G77</x:f>
      </x:c>
      <x:c r="F78" s="115" t="e">
        <x:f>Liquiditätsplan!H77</x:f>
      </x:c>
      <x:c r="G78" s="115" t="e">
        <x:f>Liquiditätsplan!J77</x:f>
      </x:c>
      <x:c r="H78" s="115" t="e">
        <x:f>Liquiditätsplan!L77</x:f>
      </x:c>
      <x:c r="I78" s="115">
        <x:f t="shared" si="6"/>
        <x:v>3000</x:v>
      </x:c>
      <x:c r="J78" s="115">
        <x:f t="shared" si="7"/>
        <x:v>-3000</x:v>
      </x:c>
      <x:c r="K78" s="139">
        <x:f t="shared" si="8"/>
        <x:v>0</x:v>
      </x:c>
    </x:row>
    <x:row r="79">
      <x:c r="A79" s="114">
        <x:v>48519</x:v>
      </x:c>
      <x:c r="B79" s="116" t="n">
        <x:f>SUMIFS(Ausgangsrechnungen!$N$2:$N$301,Ausgangsrechnungen!$A$2:$A$301,"&gt;="&amp;A79,Ausgangsrechnungen!$A$2:$A$301,"&lt;"&amp;EDATE(A79,1))</x:f>
        <x:v>0</x:v>
      </x:c>
      <x:c r="C79" s="116" t="e">
        <x:f>Liquiditätsplan!D78</x:f>
      </x:c>
      <x:c r="D79" s="116" t="n">
        <x:f>SUMIFS(Eingangsrechnungen!$F$2:$F$301,Eingangsrechnungen!$A$2:$A$301,"&gt;="&amp;A79,Eingangsrechnungen!$A$2:$A$301,"&lt;"&amp;EDATE(A79,1))</x:f>
        <x:v>0</x:v>
      </x:c>
      <x:c r="E79" s="116" t="e">
        <x:f>Liquiditätsplan!G78</x:f>
      </x:c>
      <x:c r="F79" s="116" t="e">
        <x:f>Liquiditätsplan!H78</x:f>
      </x:c>
      <x:c r="G79" s="116" t="e">
        <x:f>Liquiditätsplan!J78</x:f>
      </x:c>
      <x:c r="H79" s="116" t="e">
        <x:f>Liquiditätsplan!L78</x:f>
      </x:c>
      <x:c r="I79" s="116">
        <x:f t="shared" si="6"/>
        <x:v>3000</x:v>
      </x:c>
      <x:c r="J79" s="116">
        <x:f t="shared" si="7"/>
        <x:v>-3000</x:v>
      </x:c>
      <x:c r="K79" s="140">
        <x:f t="shared" si="8"/>
        <x:v>0</x:v>
      </x:c>
    </x:row>
    <x:row r="80">
      <x:c r="A80" s="136">
        <x:v>48549</x:v>
      </x:c>
      <x:c r="B80" s="115" t="n">
        <x:f>SUMIFS(Ausgangsrechnungen!$N$2:$N$301,Ausgangsrechnungen!$A$2:$A$301,"&gt;="&amp;A80,Ausgangsrechnungen!$A$2:$A$301,"&lt;"&amp;EDATE(A80,1))</x:f>
        <x:v>0</x:v>
      </x:c>
      <x:c r="C80" s="115" t="e">
        <x:f>Liquiditätsplan!D79</x:f>
      </x:c>
      <x:c r="D80" s="115" t="n">
        <x:f>SUMIFS(Eingangsrechnungen!$F$2:$F$301,Eingangsrechnungen!$A$2:$A$301,"&gt;="&amp;A80,Eingangsrechnungen!$A$2:$A$301,"&lt;"&amp;EDATE(A80,1))</x:f>
        <x:v>0</x:v>
      </x:c>
      <x:c r="E80" s="115" t="e">
        <x:f>Liquiditätsplan!G79</x:f>
      </x:c>
      <x:c r="F80" s="115" t="e">
        <x:f>Liquiditätsplan!H79</x:f>
      </x:c>
      <x:c r="G80" s="115" t="e">
        <x:f>Liquiditätsplan!J79</x:f>
      </x:c>
      <x:c r="H80" s="115" t="e">
        <x:f>Liquiditätsplan!L79</x:f>
      </x:c>
      <x:c r="I80" s="115">
        <x:f t="shared" si="6"/>
        <x:v>3000</x:v>
      </x:c>
      <x:c r="J80" s="115">
        <x:f t="shared" si="7"/>
        <x:v>-3000</x:v>
      </x:c>
      <x:c r="K80" s="139">
        <x:f t="shared" si="8"/>
        <x:v>0</x:v>
      </x:c>
    </x:row>
    <x:row r="81">
      <x:c r="A81" s="114">
        <x:v>48580</x:v>
      </x:c>
      <x:c r="B81" s="116" t="n">
        <x:f>SUMIFS(Ausgangsrechnungen!$N$2:$N$301,Ausgangsrechnungen!$A$2:$A$301,"&gt;="&amp;A81,Ausgangsrechnungen!$A$2:$A$301,"&lt;"&amp;EDATE(A81,1))</x:f>
        <x:v>0</x:v>
      </x:c>
      <x:c r="C81" s="116" t="e">
        <x:f>Liquiditätsplan!D80</x:f>
      </x:c>
      <x:c r="D81" s="116" t="n">
        <x:f>SUMIFS(Eingangsrechnungen!$F$2:$F$301,Eingangsrechnungen!$A$2:$A$301,"&gt;="&amp;A81,Eingangsrechnungen!$A$2:$A$301,"&lt;"&amp;EDATE(A81,1))</x:f>
        <x:v>0</x:v>
      </x:c>
      <x:c r="E81" s="116" t="e">
        <x:f>Liquiditätsplan!G80</x:f>
      </x:c>
      <x:c r="F81" s="116" t="e">
        <x:f>Liquiditätsplan!H80</x:f>
      </x:c>
      <x:c r="G81" s="116" t="e">
        <x:f>Liquiditätsplan!J80</x:f>
      </x:c>
      <x:c r="H81" s="116" t="e">
        <x:f>Liquiditätsplan!L80</x:f>
      </x:c>
      <x:c r="I81" s="116">
        <x:f t="shared" si="6"/>
        <x:v>3000</x:v>
      </x:c>
      <x:c r="J81" s="116">
        <x:f t="shared" si="7"/>
        <x:v>-3000</x:v>
      </x:c>
      <x:c r="K81" s="140">
        <x:f t="shared" si="8"/>
        <x:v>0</x:v>
      </x:c>
    </x:row>
    <x:row r="82">
      <x:c r="A82" s="136">
        <x:v>48611</x:v>
      </x:c>
      <x:c r="B82" s="115" t="n">
        <x:f>SUMIFS(Ausgangsrechnungen!$N$2:$N$301,Ausgangsrechnungen!$A$2:$A$301,"&gt;="&amp;A82,Ausgangsrechnungen!$A$2:$A$301,"&lt;"&amp;EDATE(A82,1))</x:f>
        <x:v>0</x:v>
      </x:c>
      <x:c r="C82" s="115" t="e">
        <x:f>Liquiditätsplan!D81</x:f>
      </x:c>
      <x:c r="D82" s="115" t="n">
        <x:f>SUMIFS(Eingangsrechnungen!$F$2:$F$301,Eingangsrechnungen!$A$2:$A$301,"&gt;="&amp;A82,Eingangsrechnungen!$A$2:$A$301,"&lt;"&amp;EDATE(A82,1))</x:f>
        <x:v>0</x:v>
      </x:c>
      <x:c r="E82" s="115" t="e">
        <x:f>Liquiditätsplan!G81</x:f>
      </x:c>
      <x:c r="F82" s="115" t="e">
        <x:f>Liquiditätsplan!H81</x:f>
      </x:c>
      <x:c r="G82" s="115" t="e">
        <x:f>Liquiditätsplan!J81</x:f>
      </x:c>
      <x:c r="H82" s="115" t="e">
        <x:f>Liquiditätsplan!L81</x:f>
      </x:c>
      <x:c r="I82" s="115">
        <x:f t="shared" si="6"/>
        <x:v>3000</x:v>
      </x:c>
      <x:c r="J82" s="115">
        <x:f t="shared" si="7"/>
        <x:v>-3000</x:v>
      </x:c>
      <x:c r="K82" s="139">
        <x:f t="shared" si="8"/>
        <x:v>0</x:v>
      </x:c>
    </x:row>
    <x:row r="83">
      <x:c r="A83" s="114">
        <x:v>48639</x:v>
      </x:c>
      <x:c r="B83" s="116" t="n">
        <x:f>SUMIFS(Ausgangsrechnungen!$N$2:$N$301,Ausgangsrechnungen!$A$2:$A$301,"&gt;="&amp;A83,Ausgangsrechnungen!$A$2:$A$301,"&lt;"&amp;EDATE(A83,1))</x:f>
        <x:v>0</x:v>
      </x:c>
      <x:c r="C83" s="116" t="e">
        <x:f>Liquiditätsplan!D82</x:f>
      </x:c>
      <x:c r="D83" s="116" t="n">
        <x:f>SUMIFS(Eingangsrechnungen!$F$2:$F$301,Eingangsrechnungen!$A$2:$A$301,"&gt;="&amp;A83,Eingangsrechnungen!$A$2:$A$301,"&lt;"&amp;EDATE(A83,1))</x:f>
        <x:v>0</x:v>
      </x:c>
      <x:c r="E83" s="116" t="e">
        <x:f>Liquiditätsplan!G82</x:f>
      </x:c>
      <x:c r="F83" s="116" t="e">
        <x:f>Liquiditätsplan!H82</x:f>
      </x:c>
      <x:c r="G83" s="116" t="e">
        <x:f>Liquiditätsplan!J82</x:f>
      </x:c>
      <x:c r="H83" s="116" t="e">
        <x:f>Liquiditätsplan!L82</x:f>
      </x:c>
      <x:c r="I83" s="116">
        <x:f t="shared" si="6"/>
        <x:v>3000</x:v>
      </x:c>
      <x:c r="J83" s="116">
        <x:f t="shared" si="7"/>
        <x:v>-3000</x:v>
      </x:c>
      <x:c r="K83" s="140">
        <x:f t="shared" si="8"/>
        <x:v>0</x:v>
      </x:c>
    </x:row>
    <x:row r="84">
      <x:c r="A84" s="136">
        <x:v>48670</x:v>
      </x:c>
      <x:c r="B84" s="115" t="n">
        <x:f>SUMIFS(Ausgangsrechnungen!$N$2:$N$301,Ausgangsrechnungen!$A$2:$A$301,"&gt;="&amp;A84,Ausgangsrechnungen!$A$2:$A$301,"&lt;"&amp;EDATE(A84,1))</x:f>
        <x:v>0</x:v>
      </x:c>
      <x:c r="C84" s="115" t="e">
        <x:f>Liquiditätsplan!D83</x:f>
      </x:c>
      <x:c r="D84" s="115" t="n">
        <x:f>SUMIFS(Eingangsrechnungen!$F$2:$F$301,Eingangsrechnungen!$A$2:$A$301,"&gt;="&amp;A84,Eingangsrechnungen!$A$2:$A$301,"&lt;"&amp;EDATE(A84,1))</x:f>
        <x:v>0</x:v>
      </x:c>
      <x:c r="E84" s="115" t="e">
        <x:f>Liquiditätsplan!G83</x:f>
      </x:c>
      <x:c r="F84" s="115" t="e">
        <x:f>Liquiditätsplan!H83</x:f>
      </x:c>
      <x:c r="G84" s="115" t="e">
        <x:f>Liquiditätsplan!J83</x:f>
      </x:c>
      <x:c r="H84" s="115" t="e">
        <x:f>Liquiditätsplan!L83</x:f>
      </x:c>
      <x:c r="I84" s="115">
        <x:f t="shared" si="6"/>
        <x:v>3000</x:v>
      </x:c>
      <x:c r="J84" s="115">
        <x:f t="shared" si="7"/>
        <x:v>-3000</x:v>
      </x:c>
      <x:c r="K84" s="139">
        <x:f t="shared" si="8"/>
        <x:v>0</x:v>
      </x:c>
    </x:row>
    <x:row r="85">
      <x:c r="A85" s="114">
        <x:v>48700</x:v>
      </x:c>
      <x:c r="B85" s="116" t="n">
        <x:f>SUMIFS(Ausgangsrechnungen!$N$2:$N$301,Ausgangsrechnungen!$A$2:$A$301,"&gt;="&amp;A85,Ausgangsrechnungen!$A$2:$A$301,"&lt;"&amp;EDATE(A85,1))</x:f>
        <x:v>0</x:v>
      </x:c>
      <x:c r="C85" s="116" t="e">
        <x:f>Liquiditätsplan!D84</x:f>
      </x:c>
      <x:c r="D85" s="116" t="n">
        <x:f>SUMIFS(Eingangsrechnungen!$F$2:$F$301,Eingangsrechnungen!$A$2:$A$301,"&gt;="&amp;A85,Eingangsrechnungen!$A$2:$A$301,"&lt;"&amp;EDATE(A85,1))</x:f>
        <x:v>0</x:v>
      </x:c>
      <x:c r="E85" s="116" t="e">
        <x:f>Liquiditätsplan!G84</x:f>
      </x:c>
      <x:c r="F85" s="116" t="e">
        <x:f>Liquiditätsplan!H84</x:f>
      </x:c>
      <x:c r="G85" s="116" t="e">
        <x:f>Liquiditätsplan!J84</x:f>
      </x:c>
      <x:c r="H85" s="116" t="e">
        <x:f>Liquiditätsplan!L84</x:f>
      </x:c>
      <x:c r="I85" s="116">
        <x:f t="shared" si="6"/>
        <x:v>3000</x:v>
      </x:c>
      <x:c r="J85" s="116">
        <x:f t="shared" si="7"/>
        <x:v>-3000</x:v>
      </x:c>
      <x:c r="K85" s="140">
        <x:f t="shared" si="8"/>
        <x:v>0</x:v>
      </x:c>
    </x:row>
    <x:row r="86">
      <x:c r="A86" s="136">
        <x:v>48731</x:v>
      </x:c>
      <x:c r="B86" s="115" t="n">
        <x:f>SUMIFS(Ausgangsrechnungen!$N$2:$N$301,Ausgangsrechnungen!$A$2:$A$301,"&gt;="&amp;A86,Ausgangsrechnungen!$A$2:$A$301,"&lt;"&amp;EDATE(A86,1))</x:f>
        <x:v>0</x:v>
      </x:c>
      <x:c r="C86" s="115" t="e">
        <x:f>Liquiditätsplan!D85</x:f>
      </x:c>
      <x:c r="D86" s="115" t="n">
        <x:f>SUMIFS(Eingangsrechnungen!$F$2:$F$301,Eingangsrechnungen!$A$2:$A$301,"&gt;="&amp;A86,Eingangsrechnungen!$A$2:$A$301,"&lt;"&amp;EDATE(A86,1))</x:f>
        <x:v>0</x:v>
      </x:c>
      <x:c r="E86" s="115" t="e">
        <x:f>Liquiditätsplan!G85</x:f>
      </x:c>
      <x:c r="F86" s="115" t="e">
        <x:f>Liquiditätsplan!H85</x:f>
      </x:c>
      <x:c r="G86" s="115" t="e">
        <x:f>Liquiditätsplan!J85</x:f>
      </x:c>
      <x:c r="H86" s="115" t="e">
        <x:f>Liquiditätsplan!L85</x:f>
      </x:c>
      <x:c r="I86" s="115">
        <x:f t="shared" si="6"/>
        <x:v>3000</x:v>
      </x:c>
      <x:c r="J86" s="115">
        <x:f t="shared" si="7"/>
        <x:v>-3000</x:v>
      </x:c>
      <x:c r="K86" s="139">
        <x:f t="shared" si="8"/>
        <x:v>0</x:v>
      </x:c>
    </x:row>
    <x:row r="87">
      <x:c r="A87" s="114">
        <x:v>48761</x:v>
      </x:c>
      <x:c r="B87" s="116" t="n">
        <x:f>SUMIFS(Ausgangsrechnungen!$N$2:$N$301,Ausgangsrechnungen!$A$2:$A$301,"&gt;="&amp;A87,Ausgangsrechnungen!$A$2:$A$301,"&lt;"&amp;EDATE(A87,1))</x:f>
        <x:v>0</x:v>
      </x:c>
      <x:c r="C87" s="116" t="e">
        <x:f>Liquiditätsplan!D86</x:f>
      </x:c>
      <x:c r="D87" s="116" t="n">
        <x:f>SUMIFS(Eingangsrechnungen!$F$2:$F$301,Eingangsrechnungen!$A$2:$A$301,"&gt;="&amp;A87,Eingangsrechnungen!$A$2:$A$301,"&lt;"&amp;EDATE(A87,1))</x:f>
        <x:v>0</x:v>
      </x:c>
      <x:c r="E87" s="116" t="e">
        <x:f>Liquiditätsplan!G86</x:f>
      </x:c>
      <x:c r="F87" s="116" t="e">
        <x:f>Liquiditätsplan!H86</x:f>
      </x:c>
      <x:c r="G87" s="116" t="e">
        <x:f>Liquiditätsplan!J86</x:f>
      </x:c>
      <x:c r="H87" s="116" t="e">
        <x:f>Liquiditätsplan!L86</x:f>
      </x:c>
      <x:c r="I87" s="116">
        <x:f t="shared" si="6"/>
        <x:v>3000</x:v>
      </x:c>
      <x:c r="J87" s="116">
        <x:f t="shared" si="7"/>
        <x:v>-3000</x:v>
      </x:c>
      <x:c r="K87" s="140">
        <x:f t="shared" si="8"/>
        <x:v>0</x:v>
      </x:c>
    </x:row>
    <x:row r="88">
      <x:c r="A88" s="136">
        <x:v>48792</x:v>
      </x:c>
      <x:c r="B88" s="115" t="n">
        <x:f>SUMIFS(Ausgangsrechnungen!$N$2:$N$301,Ausgangsrechnungen!$A$2:$A$301,"&gt;="&amp;A88,Ausgangsrechnungen!$A$2:$A$301,"&lt;"&amp;EDATE(A88,1))</x:f>
        <x:v>0</x:v>
      </x:c>
      <x:c r="C88" s="115" t="e">
        <x:f>Liquiditätsplan!D87</x:f>
      </x:c>
      <x:c r="D88" s="115" t="n">
        <x:f>SUMIFS(Eingangsrechnungen!$F$2:$F$301,Eingangsrechnungen!$A$2:$A$301,"&gt;="&amp;A88,Eingangsrechnungen!$A$2:$A$301,"&lt;"&amp;EDATE(A88,1))</x:f>
        <x:v>0</x:v>
      </x:c>
      <x:c r="E88" s="115" t="e">
        <x:f>Liquiditätsplan!G87</x:f>
      </x:c>
      <x:c r="F88" s="115" t="e">
        <x:f>Liquiditätsplan!H87</x:f>
      </x:c>
      <x:c r="G88" s="115" t="e">
        <x:f>Liquiditätsplan!J87</x:f>
      </x:c>
      <x:c r="H88" s="115" t="e">
        <x:f>Liquiditätsplan!L87</x:f>
      </x:c>
      <x:c r="I88" s="115">
        <x:f t="shared" si="6"/>
        <x:v>3000</x:v>
      </x:c>
      <x:c r="J88" s="115">
        <x:f t="shared" si="7"/>
        <x:v>-3000</x:v>
      </x:c>
      <x:c r="K88" s="139">
        <x:f t="shared" si="8"/>
        <x:v>0</x:v>
      </x:c>
    </x:row>
    <x:row r="89">
      <x:c r="A89" s="114">
        <x:v>48823</x:v>
      </x:c>
      <x:c r="B89" s="116" t="n">
        <x:f>SUMIFS(Ausgangsrechnungen!$N$2:$N$301,Ausgangsrechnungen!$A$2:$A$301,"&gt;="&amp;A89,Ausgangsrechnungen!$A$2:$A$301,"&lt;"&amp;EDATE(A89,1))</x:f>
        <x:v>0</x:v>
      </x:c>
      <x:c r="C89" s="116" t="e">
        <x:f>Liquiditätsplan!D88</x:f>
      </x:c>
      <x:c r="D89" s="116" t="n">
        <x:f>SUMIFS(Eingangsrechnungen!$F$2:$F$301,Eingangsrechnungen!$A$2:$A$301,"&gt;="&amp;A89,Eingangsrechnungen!$A$2:$A$301,"&lt;"&amp;EDATE(A89,1))</x:f>
        <x:v>0</x:v>
      </x:c>
      <x:c r="E89" s="116" t="e">
        <x:f>Liquiditätsplan!G88</x:f>
      </x:c>
      <x:c r="F89" s="116" t="e">
        <x:f>Liquiditätsplan!H88</x:f>
      </x:c>
      <x:c r="G89" s="116" t="e">
        <x:f>Liquiditätsplan!J88</x:f>
      </x:c>
      <x:c r="H89" s="116" t="e">
        <x:f>Liquiditätsplan!L88</x:f>
      </x:c>
      <x:c r="I89" s="116">
        <x:f t="shared" si="6"/>
        <x:v>3000</x:v>
      </x:c>
      <x:c r="J89" s="116">
        <x:f t="shared" si="7"/>
        <x:v>-3000</x:v>
      </x:c>
      <x:c r="K89" s="140">
        <x:f t="shared" si="8"/>
        <x:v>0</x:v>
      </x:c>
    </x:row>
    <x:row r="90">
      <x:c r="A90" s="136">
        <x:v>48853</x:v>
      </x:c>
      <x:c r="B90" s="115" t="n">
        <x:f>SUMIFS(Ausgangsrechnungen!$N$2:$N$301,Ausgangsrechnungen!$A$2:$A$301,"&gt;="&amp;A90,Ausgangsrechnungen!$A$2:$A$301,"&lt;"&amp;EDATE(A90,1))</x:f>
        <x:v>0</x:v>
      </x:c>
      <x:c r="C90" s="115" t="e">
        <x:f>Liquiditätsplan!D89</x:f>
      </x:c>
      <x:c r="D90" s="115" t="n">
        <x:f>SUMIFS(Eingangsrechnungen!$F$2:$F$301,Eingangsrechnungen!$A$2:$A$301,"&gt;="&amp;A90,Eingangsrechnungen!$A$2:$A$301,"&lt;"&amp;EDATE(A90,1))</x:f>
        <x:v>0</x:v>
      </x:c>
      <x:c r="E90" s="115" t="e">
        <x:f>Liquiditätsplan!G89</x:f>
      </x:c>
      <x:c r="F90" s="115" t="e">
        <x:f>Liquiditätsplan!H89</x:f>
      </x:c>
      <x:c r="G90" s="115" t="e">
        <x:f>Liquiditätsplan!J89</x:f>
      </x:c>
      <x:c r="H90" s="115" t="e">
        <x:f>Liquiditätsplan!L89</x:f>
      </x:c>
      <x:c r="I90" s="115">
        <x:f t="shared" si="6"/>
        <x:v>3000</x:v>
      </x:c>
      <x:c r="J90" s="115">
        <x:f t="shared" si="7"/>
        <x:v>-3000</x:v>
      </x:c>
      <x:c r="K90" s="139">
        <x:f t="shared" si="8"/>
        <x:v>0</x:v>
      </x:c>
    </x:row>
    <x:row r="91">
      <x:c r="A91" s="114">
        <x:v>48884</x:v>
      </x:c>
      <x:c r="B91" s="116" t="n">
        <x:f>SUMIFS(Ausgangsrechnungen!$N$2:$N$301,Ausgangsrechnungen!$A$2:$A$301,"&gt;="&amp;A91,Ausgangsrechnungen!$A$2:$A$301,"&lt;"&amp;EDATE(A91,1))</x:f>
        <x:v>0</x:v>
      </x:c>
      <x:c r="C91" s="116" t="e">
        <x:f>Liquiditätsplan!D90</x:f>
      </x:c>
      <x:c r="D91" s="116" t="n">
        <x:f>SUMIFS(Eingangsrechnungen!$F$2:$F$301,Eingangsrechnungen!$A$2:$A$301,"&gt;="&amp;A91,Eingangsrechnungen!$A$2:$A$301,"&lt;"&amp;EDATE(A91,1))</x:f>
        <x:v>0</x:v>
      </x:c>
      <x:c r="E91" s="116" t="e">
        <x:f>Liquiditätsplan!G90</x:f>
      </x:c>
      <x:c r="F91" s="116" t="e">
        <x:f>Liquiditätsplan!H90</x:f>
      </x:c>
      <x:c r="G91" s="116" t="e">
        <x:f>Liquiditätsplan!J90</x:f>
      </x:c>
      <x:c r="H91" s="116" t="e">
        <x:f>Liquiditätsplan!L90</x:f>
      </x:c>
      <x:c r="I91" s="116">
        <x:f t="shared" si="6"/>
        <x:v>3000</x:v>
      </x:c>
      <x:c r="J91" s="116">
        <x:f t="shared" si="7"/>
        <x:v>-3000</x:v>
      </x:c>
      <x:c r="K91" s="140">
        <x:f t="shared" si="8"/>
        <x:v>0</x:v>
      </x:c>
    </x:row>
    <x:row r="92">
      <x:c r="A92" s="136">
        <x:v>48914</x:v>
      </x:c>
      <x:c r="B92" s="115" t="n">
        <x:f>SUMIFS(Ausgangsrechnungen!$N$2:$N$301,Ausgangsrechnungen!$A$2:$A$301,"&gt;="&amp;A92,Ausgangsrechnungen!$A$2:$A$301,"&lt;"&amp;EDATE(A92,1))</x:f>
        <x:v>0</x:v>
      </x:c>
      <x:c r="C92" s="115" t="e">
        <x:f>Liquiditätsplan!D91</x:f>
      </x:c>
      <x:c r="D92" s="115" t="n">
        <x:f>SUMIFS(Eingangsrechnungen!$F$2:$F$301,Eingangsrechnungen!$A$2:$A$301,"&gt;="&amp;A92,Eingangsrechnungen!$A$2:$A$301,"&lt;"&amp;EDATE(A92,1))</x:f>
        <x:v>0</x:v>
      </x:c>
      <x:c r="E92" s="115" t="e">
        <x:f>Liquiditätsplan!G91</x:f>
      </x:c>
      <x:c r="F92" s="115" t="e">
        <x:f>Liquiditätsplan!H91</x:f>
      </x:c>
      <x:c r="G92" s="115" t="e">
        <x:f>Liquiditätsplan!J91</x:f>
      </x:c>
      <x:c r="H92" s="115" t="e">
        <x:f>Liquiditätsplan!L91</x:f>
      </x:c>
      <x:c r="I92" s="115">
        <x:f t="shared" si="6"/>
        <x:v>3000</x:v>
      </x:c>
      <x:c r="J92" s="115">
        <x:f t="shared" si="7"/>
        <x:v>-3000</x:v>
      </x:c>
      <x:c r="K92" s="139">
        <x:f t="shared" si="8"/>
        <x:v>0</x:v>
      </x:c>
    </x:row>
    <x:row r="93">
      <x:c r="A93" s="114">
        <x:v>48945</x:v>
      </x:c>
      <x:c r="B93" s="116" t="n">
        <x:f>SUMIFS(Ausgangsrechnungen!$N$2:$N$301,Ausgangsrechnungen!$A$2:$A$301,"&gt;="&amp;A93,Ausgangsrechnungen!$A$2:$A$301,"&lt;"&amp;EDATE(A93,1))</x:f>
        <x:v>0</x:v>
      </x:c>
      <x:c r="C93" s="116" t="e">
        <x:f>Liquiditätsplan!D92</x:f>
      </x:c>
      <x:c r="D93" s="116" t="n">
        <x:f>SUMIFS(Eingangsrechnungen!$F$2:$F$301,Eingangsrechnungen!$A$2:$A$301,"&gt;="&amp;A93,Eingangsrechnungen!$A$2:$A$301,"&lt;"&amp;EDATE(A93,1))</x:f>
        <x:v>0</x:v>
      </x:c>
      <x:c r="E93" s="116" t="e">
        <x:f>Liquiditätsplan!G92</x:f>
      </x:c>
      <x:c r="F93" s="116" t="e">
        <x:f>Liquiditätsplan!H92</x:f>
      </x:c>
      <x:c r="G93" s="116" t="e">
        <x:f>Liquiditätsplan!J92</x:f>
      </x:c>
      <x:c r="H93" s="116" t="e">
        <x:f>Liquiditätsplan!L92</x:f>
      </x:c>
      <x:c r="I93" s="116">
        <x:f t="shared" si="6"/>
        <x:v>3000</x:v>
      </x:c>
      <x:c r="J93" s="116">
        <x:f t="shared" si="7"/>
        <x:v>-3000</x:v>
      </x:c>
      <x:c r="K93" s="140">
        <x:f t="shared" si="8"/>
        <x:v>0</x:v>
      </x:c>
    </x:row>
    <x:row r="94">
      <x:c r="A94" s="136">
        <x:v>48976</x:v>
      </x:c>
      <x:c r="B94" s="115" t="n">
        <x:f>SUMIFS(Ausgangsrechnungen!$N$2:$N$301,Ausgangsrechnungen!$A$2:$A$301,"&gt;="&amp;A94,Ausgangsrechnungen!$A$2:$A$301,"&lt;"&amp;EDATE(A94,1))</x:f>
        <x:v>0</x:v>
      </x:c>
      <x:c r="C94" s="115" t="e">
        <x:f>Liquiditätsplan!D93</x:f>
      </x:c>
      <x:c r="D94" s="115" t="n">
        <x:f>SUMIFS(Eingangsrechnungen!$F$2:$F$301,Eingangsrechnungen!$A$2:$A$301,"&gt;="&amp;A94,Eingangsrechnungen!$A$2:$A$301,"&lt;"&amp;EDATE(A94,1))</x:f>
        <x:v>0</x:v>
      </x:c>
      <x:c r="E94" s="115" t="e">
        <x:f>Liquiditätsplan!G93</x:f>
      </x:c>
      <x:c r="F94" s="115" t="e">
        <x:f>Liquiditätsplan!H93</x:f>
      </x:c>
      <x:c r="G94" s="115" t="e">
        <x:f>Liquiditätsplan!J93</x:f>
      </x:c>
      <x:c r="H94" s="115" t="e">
        <x:f>Liquiditätsplan!L93</x:f>
      </x:c>
      <x:c r="I94" s="115">
        <x:f t="shared" si="6"/>
        <x:v>3000</x:v>
      </x:c>
      <x:c r="J94" s="115">
        <x:f t="shared" si="7"/>
        <x:v>-3000</x:v>
      </x:c>
      <x:c r="K94" s="139">
        <x:f t="shared" si="8"/>
        <x:v>0</x:v>
      </x:c>
    </x:row>
    <x:row r="95">
      <x:c r="A95" s="114">
        <x:v>49004</x:v>
      </x:c>
      <x:c r="B95" s="116" t="n">
        <x:f>SUMIFS(Ausgangsrechnungen!$N$2:$N$301,Ausgangsrechnungen!$A$2:$A$301,"&gt;="&amp;A95,Ausgangsrechnungen!$A$2:$A$301,"&lt;"&amp;EDATE(A95,1))</x:f>
        <x:v>0</x:v>
      </x:c>
      <x:c r="C95" s="116" t="e">
        <x:f>Liquiditätsplan!D94</x:f>
      </x:c>
      <x:c r="D95" s="116" t="n">
        <x:f>SUMIFS(Eingangsrechnungen!$F$2:$F$301,Eingangsrechnungen!$A$2:$A$301,"&gt;="&amp;A95,Eingangsrechnungen!$A$2:$A$301,"&lt;"&amp;EDATE(A95,1))</x:f>
        <x:v>0</x:v>
      </x:c>
      <x:c r="E95" s="116" t="e">
        <x:f>Liquiditätsplan!G94</x:f>
      </x:c>
      <x:c r="F95" s="116" t="e">
        <x:f>Liquiditätsplan!H94</x:f>
      </x:c>
      <x:c r="G95" s="116" t="e">
        <x:f>Liquiditätsplan!J94</x:f>
      </x:c>
      <x:c r="H95" s="116" t="e">
        <x:f>Liquiditätsplan!L94</x:f>
      </x:c>
      <x:c r="I95" s="116">
        <x:f t="shared" si="6"/>
        <x:v>3000</x:v>
      </x:c>
      <x:c r="J95" s="116">
        <x:f t="shared" si="7"/>
        <x:v>-3000</x:v>
      </x:c>
      <x:c r="K95" s="140">
        <x:f t="shared" si="8"/>
        <x:v>0</x:v>
      </x:c>
    </x:row>
    <x:row r="96">
      <x:c r="A96" s="136">
        <x:v>49035</x:v>
      </x:c>
      <x:c r="B96" s="115" t="n">
        <x:f>SUMIFS(Ausgangsrechnungen!$N$2:$N$301,Ausgangsrechnungen!$A$2:$A$301,"&gt;="&amp;A96,Ausgangsrechnungen!$A$2:$A$301,"&lt;"&amp;EDATE(A96,1))</x:f>
        <x:v>0</x:v>
      </x:c>
      <x:c r="C96" s="115" t="e">
        <x:f>Liquiditätsplan!D95</x:f>
      </x:c>
      <x:c r="D96" s="115" t="n">
        <x:f>SUMIFS(Eingangsrechnungen!$F$2:$F$301,Eingangsrechnungen!$A$2:$A$301,"&gt;="&amp;A96,Eingangsrechnungen!$A$2:$A$301,"&lt;"&amp;EDATE(A96,1))</x:f>
        <x:v>0</x:v>
      </x:c>
      <x:c r="E96" s="115" t="e">
        <x:f>Liquiditätsplan!G95</x:f>
      </x:c>
      <x:c r="F96" s="115" t="e">
        <x:f>Liquiditätsplan!H95</x:f>
      </x:c>
      <x:c r="G96" s="115" t="e">
        <x:f>Liquiditätsplan!J95</x:f>
      </x:c>
      <x:c r="H96" s="115" t="e">
        <x:f>Liquiditätsplan!L95</x:f>
      </x:c>
      <x:c r="I96" s="115">
        <x:f t="shared" si="6"/>
        <x:v>3000</x:v>
      </x:c>
      <x:c r="J96" s="115">
        <x:f t="shared" si="7"/>
        <x:v>-3000</x:v>
      </x:c>
      <x:c r="K96" s="139">
        <x:f t="shared" si="8"/>
        <x:v>0</x:v>
      </x:c>
    </x:row>
    <x:row r="97">
      <x:c r="A97" s="114">
        <x:v>49065</x:v>
      </x:c>
      <x:c r="B97" s="116" t="n">
        <x:f>SUMIFS(Ausgangsrechnungen!$N$2:$N$301,Ausgangsrechnungen!$A$2:$A$301,"&gt;="&amp;A97,Ausgangsrechnungen!$A$2:$A$301,"&lt;"&amp;EDATE(A97,1))</x:f>
        <x:v>0</x:v>
      </x:c>
      <x:c r="C97" s="116" t="e">
        <x:f>Liquiditätsplan!D96</x:f>
      </x:c>
      <x:c r="D97" s="116" t="n">
        <x:f>SUMIFS(Eingangsrechnungen!$F$2:$F$301,Eingangsrechnungen!$A$2:$A$301,"&gt;="&amp;A97,Eingangsrechnungen!$A$2:$A$301,"&lt;"&amp;EDATE(A97,1))</x:f>
        <x:v>0</x:v>
      </x:c>
      <x:c r="E97" s="116" t="e">
        <x:f>Liquiditätsplan!G96</x:f>
      </x:c>
      <x:c r="F97" s="116" t="e">
        <x:f>Liquiditätsplan!H96</x:f>
      </x:c>
      <x:c r="G97" s="116" t="e">
        <x:f>Liquiditätsplan!J96</x:f>
      </x:c>
      <x:c r="H97" s="116" t="e">
        <x:f>Liquiditätsplan!L96</x:f>
      </x:c>
      <x:c r="I97" s="116">
        <x:f t="shared" si="6"/>
        <x:v>3000</x:v>
      </x:c>
      <x:c r="J97" s="116">
        <x:f t="shared" si="7"/>
        <x:v>-3000</x:v>
      </x:c>
      <x:c r="K97" s="140">
        <x:f t="shared" si="8"/>
        <x:v>0</x:v>
      </x:c>
    </x:row>
    <x:row r="98">
      <x:c r="A98" s="136">
        <x:v>49096</x:v>
      </x:c>
      <x:c r="B98" s="115" t="n">
        <x:f>SUMIFS(Ausgangsrechnungen!$N$2:$N$301,Ausgangsrechnungen!$A$2:$A$301,"&gt;="&amp;A98,Ausgangsrechnungen!$A$2:$A$301,"&lt;"&amp;EDATE(A98,1))</x:f>
        <x:v>0</x:v>
      </x:c>
      <x:c r="C98" s="115" t="e">
        <x:f>Liquiditätsplan!D97</x:f>
      </x:c>
      <x:c r="D98" s="115" t="n">
        <x:f>SUMIFS(Eingangsrechnungen!$F$2:$F$301,Eingangsrechnungen!$A$2:$A$301,"&gt;="&amp;A98,Eingangsrechnungen!$A$2:$A$301,"&lt;"&amp;EDATE(A98,1))</x:f>
        <x:v>0</x:v>
      </x:c>
      <x:c r="E98" s="115" t="e">
        <x:f>Liquiditätsplan!G97</x:f>
      </x:c>
      <x:c r="F98" s="115" t="e">
        <x:f>Liquiditätsplan!H97</x:f>
      </x:c>
      <x:c r="G98" s="115" t="e">
        <x:f>Liquiditätsplan!J97</x:f>
      </x:c>
      <x:c r="H98" s="115" t="e">
        <x:f>Liquiditätsplan!L97</x:f>
      </x:c>
      <x:c r="I98" s="115">
        <x:f t="shared" si="6"/>
        <x:v>3000</x:v>
      </x:c>
      <x:c r="J98" s="115">
        <x:f t="shared" si="7"/>
        <x:v>-3000</x:v>
      </x:c>
      <x:c r="K98" s="139">
        <x:f t="shared" si="8"/>
        <x:v>0</x:v>
      </x:c>
    </x:row>
    <x:row r="99">
      <x:c r="A99" s="114">
        <x:v>49126</x:v>
      </x:c>
      <x:c r="B99" s="116" t="n">
        <x:f>SUMIFS(Ausgangsrechnungen!$N$2:$N$301,Ausgangsrechnungen!$A$2:$A$301,"&gt;="&amp;A99,Ausgangsrechnungen!$A$2:$A$301,"&lt;"&amp;EDATE(A99,1))</x:f>
        <x:v>0</x:v>
      </x:c>
      <x:c r="C99" s="116" t="e">
        <x:f>Liquiditätsplan!D98</x:f>
      </x:c>
      <x:c r="D99" s="116" t="n">
        <x:f>SUMIFS(Eingangsrechnungen!$F$2:$F$301,Eingangsrechnungen!$A$2:$A$301,"&gt;="&amp;A99,Eingangsrechnungen!$A$2:$A$301,"&lt;"&amp;EDATE(A99,1))</x:f>
        <x:v>0</x:v>
      </x:c>
      <x:c r="E99" s="116" t="e">
        <x:f>Liquiditätsplan!G98</x:f>
      </x:c>
      <x:c r="F99" s="116" t="e">
        <x:f>Liquiditätsplan!H98</x:f>
      </x:c>
      <x:c r="G99" s="116" t="e">
        <x:f>Liquiditätsplan!J98</x:f>
      </x:c>
      <x:c r="H99" s="116" t="e">
        <x:f>Liquiditätsplan!L98</x:f>
      </x:c>
      <x:c r="I99" s="116" t="e">
        <x:f t="shared" ref="I99:I116" si="9">SUM(D99:H99)</x:f>
      </x:c>
      <x:c r="J99" s="116" t="e">
        <x:f t="shared" ref="J99:J116" si="10">B99+C99-I99</x:f>
      </x:c>
      <x:c r="K99" s="140" t="n">
        <x:f t="shared" ref="K99:K116" si="11">IF(B99=0,0,J99/B99)</x:f>
        <x:v>0</x:v>
      </x:c>
    </x:row>
    <x:row r="100">
      <x:c r="A100" s="136">
        <x:v>49157</x:v>
      </x:c>
      <x:c r="B100" s="115" t="n">
        <x:f>SUMIFS(Ausgangsrechnungen!$N$2:$N$301,Ausgangsrechnungen!$A$2:$A$301,"&gt;="&amp;A100,Ausgangsrechnungen!$A$2:$A$301,"&lt;"&amp;EDATE(A100,1))</x:f>
        <x:v>0</x:v>
      </x:c>
      <x:c r="C100" s="115" t="e">
        <x:f>Liquiditätsplan!D99</x:f>
      </x:c>
      <x:c r="D100" s="115" t="n">
        <x:f>SUMIFS(Eingangsrechnungen!$F$2:$F$301,Eingangsrechnungen!$A$2:$A$301,"&gt;="&amp;A100,Eingangsrechnungen!$A$2:$A$301,"&lt;"&amp;EDATE(A100,1))</x:f>
        <x:v>0</x:v>
      </x:c>
      <x:c r="E100" s="115" t="e">
        <x:f>Liquiditätsplan!G99</x:f>
      </x:c>
      <x:c r="F100" s="115" t="e">
        <x:f>Liquiditätsplan!H99</x:f>
      </x:c>
      <x:c r="G100" s="115" t="e">
        <x:f>Liquiditätsplan!J99</x:f>
      </x:c>
      <x:c r="H100" s="115" t="e">
        <x:f>Liquiditätsplan!L99</x:f>
      </x:c>
      <x:c r="I100" s="115">
        <x:f t="shared" si="9"/>
        <x:v>3000</x:v>
      </x:c>
      <x:c r="J100" s="115">
        <x:f t="shared" si="10"/>
        <x:v>-3000</x:v>
      </x:c>
      <x:c r="K100" s="139">
        <x:f t="shared" si="11"/>
        <x:v>0</x:v>
      </x:c>
    </x:row>
    <x:row r="101">
      <x:c r="A101" s="114">
        <x:v>49188</x:v>
      </x:c>
      <x:c r="B101" s="116" t="n">
        <x:f>SUMIFS(Ausgangsrechnungen!$N$2:$N$301,Ausgangsrechnungen!$A$2:$A$301,"&gt;="&amp;A101,Ausgangsrechnungen!$A$2:$A$301,"&lt;"&amp;EDATE(A101,1))</x:f>
        <x:v>0</x:v>
      </x:c>
      <x:c r="C101" s="116" t="e">
        <x:f>Liquiditätsplan!D100</x:f>
      </x:c>
      <x:c r="D101" s="116" t="n">
        <x:f>SUMIFS(Eingangsrechnungen!$F$2:$F$301,Eingangsrechnungen!$A$2:$A$301,"&gt;="&amp;A101,Eingangsrechnungen!$A$2:$A$301,"&lt;"&amp;EDATE(A101,1))</x:f>
        <x:v>0</x:v>
      </x:c>
      <x:c r="E101" s="116" t="e">
        <x:f>Liquiditätsplan!G100</x:f>
      </x:c>
      <x:c r="F101" s="116" t="e">
        <x:f>Liquiditätsplan!H100</x:f>
      </x:c>
      <x:c r="G101" s="116" t="e">
        <x:f>Liquiditätsplan!J100</x:f>
      </x:c>
      <x:c r="H101" s="116" t="e">
        <x:f>Liquiditätsplan!L100</x:f>
      </x:c>
      <x:c r="I101" s="116">
        <x:f t="shared" si="9"/>
        <x:v>3000</x:v>
      </x:c>
      <x:c r="J101" s="116">
        <x:f t="shared" si="10"/>
        <x:v>-3000</x:v>
      </x:c>
      <x:c r="K101" s="140">
        <x:f t="shared" si="11"/>
        <x:v>0</x:v>
      </x:c>
    </x:row>
    <x:row r="102">
      <x:c r="A102" s="136">
        <x:v>49218</x:v>
      </x:c>
      <x:c r="B102" s="115" t="n">
        <x:f>SUMIFS(Ausgangsrechnungen!$N$2:$N$301,Ausgangsrechnungen!$A$2:$A$301,"&gt;="&amp;A102,Ausgangsrechnungen!$A$2:$A$301,"&lt;"&amp;EDATE(A102,1))</x:f>
        <x:v>0</x:v>
      </x:c>
      <x:c r="C102" s="115" t="e">
        <x:f>Liquiditätsplan!D101</x:f>
      </x:c>
      <x:c r="D102" s="115" t="n">
        <x:f>SUMIFS(Eingangsrechnungen!$F$2:$F$301,Eingangsrechnungen!$A$2:$A$301,"&gt;="&amp;A102,Eingangsrechnungen!$A$2:$A$301,"&lt;"&amp;EDATE(A102,1))</x:f>
        <x:v>0</x:v>
      </x:c>
      <x:c r="E102" s="115" t="e">
        <x:f>Liquiditätsplan!G101</x:f>
      </x:c>
      <x:c r="F102" s="115" t="e">
        <x:f>Liquiditätsplan!H101</x:f>
      </x:c>
      <x:c r="G102" s="115" t="e">
        <x:f>Liquiditätsplan!J101</x:f>
      </x:c>
      <x:c r="H102" s="115" t="e">
        <x:f>Liquiditätsplan!L101</x:f>
      </x:c>
      <x:c r="I102" s="115">
        <x:f t="shared" si="9"/>
        <x:v>3000</x:v>
      </x:c>
      <x:c r="J102" s="115">
        <x:f t="shared" si="10"/>
        <x:v>-3000</x:v>
      </x:c>
      <x:c r="K102" s="139">
        <x:f t="shared" si="11"/>
        <x:v>0</x:v>
      </x:c>
    </x:row>
    <x:row r="103">
      <x:c r="A103" s="114">
        <x:v>49249</x:v>
      </x:c>
      <x:c r="B103" s="116" t="n">
        <x:f>SUMIFS(Ausgangsrechnungen!$N$2:$N$301,Ausgangsrechnungen!$A$2:$A$301,"&gt;="&amp;A103,Ausgangsrechnungen!$A$2:$A$301,"&lt;"&amp;EDATE(A103,1))</x:f>
        <x:v>0</x:v>
      </x:c>
      <x:c r="C103" s="116" t="e">
        <x:f>Liquiditätsplan!D102</x:f>
      </x:c>
      <x:c r="D103" s="116" t="n">
        <x:f>SUMIFS(Eingangsrechnungen!$F$2:$F$301,Eingangsrechnungen!$A$2:$A$301,"&gt;="&amp;A103,Eingangsrechnungen!$A$2:$A$301,"&lt;"&amp;EDATE(A103,1))</x:f>
        <x:v>0</x:v>
      </x:c>
      <x:c r="E103" s="116" t="e">
        <x:f>Liquiditätsplan!G102</x:f>
      </x:c>
      <x:c r="F103" s="116" t="e">
        <x:f>Liquiditätsplan!H102</x:f>
      </x:c>
      <x:c r="G103" s="116" t="e">
        <x:f>Liquiditätsplan!J102</x:f>
      </x:c>
      <x:c r="H103" s="116" t="e">
        <x:f>Liquiditätsplan!L102</x:f>
      </x:c>
      <x:c r="I103" s="116">
        <x:f t="shared" si="9"/>
        <x:v>3000</x:v>
      </x:c>
      <x:c r="J103" s="116">
        <x:f t="shared" si="10"/>
        <x:v>-3000</x:v>
      </x:c>
      <x:c r="K103" s="140">
        <x:f t="shared" si="11"/>
        <x:v>0</x:v>
      </x:c>
    </x:row>
    <x:row r="104">
      <x:c r="A104" s="136">
        <x:v>49279</x:v>
      </x:c>
      <x:c r="B104" s="115" t="n">
        <x:f>SUMIFS(Ausgangsrechnungen!$N$2:$N$301,Ausgangsrechnungen!$A$2:$A$301,"&gt;="&amp;A104,Ausgangsrechnungen!$A$2:$A$301,"&lt;"&amp;EDATE(A104,1))</x:f>
        <x:v>0</x:v>
      </x:c>
      <x:c r="C104" s="115" t="e">
        <x:f>Liquiditätsplan!D103</x:f>
      </x:c>
      <x:c r="D104" s="115" t="n">
        <x:f>SUMIFS(Eingangsrechnungen!$F$2:$F$301,Eingangsrechnungen!$A$2:$A$301,"&gt;="&amp;A104,Eingangsrechnungen!$A$2:$A$301,"&lt;"&amp;EDATE(A104,1))</x:f>
        <x:v>0</x:v>
      </x:c>
      <x:c r="E104" s="115" t="e">
        <x:f>Liquiditätsplan!G103</x:f>
      </x:c>
      <x:c r="F104" s="115" t="e">
        <x:f>Liquiditätsplan!H103</x:f>
      </x:c>
      <x:c r="G104" s="115" t="e">
        <x:f>Liquiditätsplan!J103</x:f>
      </x:c>
      <x:c r="H104" s="115" t="e">
        <x:f>Liquiditätsplan!L103</x:f>
      </x:c>
      <x:c r="I104" s="115">
        <x:f t="shared" si="9"/>
        <x:v>3000</x:v>
      </x:c>
      <x:c r="J104" s="115">
        <x:f t="shared" si="10"/>
        <x:v>-3000</x:v>
      </x:c>
      <x:c r="K104" s="139">
        <x:f t="shared" si="11"/>
        <x:v>0</x:v>
      </x:c>
    </x:row>
    <x:row r="105">
      <x:c r="A105" s="114">
        <x:v>49310</x:v>
      </x:c>
      <x:c r="B105" s="116" t="n">
        <x:f>SUMIFS(Ausgangsrechnungen!$N$2:$N$301,Ausgangsrechnungen!$A$2:$A$301,"&gt;="&amp;A105,Ausgangsrechnungen!$A$2:$A$301,"&lt;"&amp;EDATE(A105,1))</x:f>
        <x:v>0</x:v>
      </x:c>
      <x:c r="C105" s="116" t="e">
        <x:f>Liquiditätsplan!D104</x:f>
      </x:c>
      <x:c r="D105" s="116" t="n">
        <x:f>SUMIFS(Eingangsrechnungen!$F$2:$F$301,Eingangsrechnungen!$A$2:$A$301,"&gt;="&amp;A105,Eingangsrechnungen!$A$2:$A$301,"&lt;"&amp;EDATE(A105,1))</x:f>
        <x:v>0</x:v>
      </x:c>
      <x:c r="E105" s="116" t="e">
        <x:f>Liquiditätsplan!G104</x:f>
      </x:c>
      <x:c r="F105" s="116" t="e">
        <x:f>Liquiditätsplan!H104</x:f>
      </x:c>
      <x:c r="G105" s="116" t="e">
        <x:f>Liquiditätsplan!J104</x:f>
      </x:c>
      <x:c r="H105" s="116" t="e">
        <x:f>Liquiditätsplan!L104</x:f>
      </x:c>
      <x:c r="I105" s="116">
        <x:f t="shared" si="9"/>
        <x:v>3000</x:v>
      </x:c>
      <x:c r="J105" s="116">
        <x:f t="shared" si="10"/>
        <x:v>-3000</x:v>
      </x:c>
      <x:c r="K105" s="140">
        <x:f t="shared" si="11"/>
        <x:v>0</x:v>
      </x:c>
    </x:row>
    <x:row r="106">
      <x:c r="A106" s="136">
        <x:v>49341</x:v>
      </x:c>
      <x:c r="B106" s="115" t="n">
        <x:f>SUMIFS(Ausgangsrechnungen!$N$2:$N$301,Ausgangsrechnungen!$A$2:$A$301,"&gt;="&amp;A106,Ausgangsrechnungen!$A$2:$A$301,"&lt;"&amp;EDATE(A106,1))</x:f>
        <x:v>0</x:v>
      </x:c>
      <x:c r="C106" s="115" t="e">
        <x:f>Liquiditätsplan!D105</x:f>
      </x:c>
      <x:c r="D106" s="115" t="n">
        <x:f>SUMIFS(Eingangsrechnungen!$F$2:$F$301,Eingangsrechnungen!$A$2:$A$301,"&gt;="&amp;A106,Eingangsrechnungen!$A$2:$A$301,"&lt;"&amp;EDATE(A106,1))</x:f>
        <x:v>0</x:v>
      </x:c>
      <x:c r="E106" s="115" t="e">
        <x:f>Liquiditätsplan!G105</x:f>
      </x:c>
      <x:c r="F106" s="115" t="e">
        <x:f>Liquiditätsplan!H105</x:f>
      </x:c>
      <x:c r="G106" s="115" t="e">
        <x:f>Liquiditätsplan!J105</x:f>
      </x:c>
      <x:c r="H106" s="115" t="e">
        <x:f>Liquiditätsplan!L105</x:f>
      </x:c>
      <x:c r="I106" s="115">
        <x:f t="shared" si="9"/>
        <x:v>3000</x:v>
      </x:c>
      <x:c r="J106" s="115">
        <x:f t="shared" si="10"/>
        <x:v>-3000</x:v>
      </x:c>
      <x:c r="K106" s="139">
        <x:f t="shared" si="11"/>
        <x:v>0</x:v>
      </x:c>
    </x:row>
    <x:row r="107">
      <x:c r="A107" s="114">
        <x:v>49369</x:v>
      </x:c>
      <x:c r="B107" s="116" t="n">
        <x:f>SUMIFS(Ausgangsrechnungen!$N$2:$N$301,Ausgangsrechnungen!$A$2:$A$301,"&gt;="&amp;A107,Ausgangsrechnungen!$A$2:$A$301,"&lt;"&amp;EDATE(A107,1))</x:f>
        <x:v>0</x:v>
      </x:c>
      <x:c r="C107" s="116" t="e">
        <x:f>Liquiditätsplan!D106</x:f>
      </x:c>
      <x:c r="D107" s="116" t="n">
        <x:f>SUMIFS(Eingangsrechnungen!$F$2:$F$301,Eingangsrechnungen!$A$2:$A$301,"&gt;="&amp;A107,Eingangsrechnungen!$A$2:$A$301,"&lt;"&amp;EDATE(A107,1))</x:f>
        <x:v>0</x:v>
      </x:c>
      <x:c r="E107" s="116" t="e">
        <x:f>Liquiditätsplan!G106</x:f>
      </x:c>
      <x:c r="F107" s="116" t="e">
        <x:f>Liquiditätsplan!H106</x:f>
      </x:c>
      <x:c r="G107" s="116" t="e">
        <x:f>Liquiditätsplan!J106</x:f>
      </x:c>
      <x:c r="H107" s="116" t="e">
        <x:f>Liquiditätsplan!L106</x:f>
      </x:c>
      <x:c r="I107" s="116">
        <x:f t="shared" si="9"/>
        <x:v>3000</x:v>
      </x:c>
      <x:c r="J107" s="116">
        <x:f t="shared" si="10"/>
        <x:v>-3000</x:v>
      </x:c>
      <x:c r="K107" s="140">
        <x:f t="shared" si="11"/>
        <x:v>0</x:v>
      </x:c>
    </x:row>
    <x:row r="108">
      <x:c r="A108" s="136">
        <x:v>49400</x:v>
      </x:c>
      <x:c r="B108" s="115" t="n">
        <x:f>SUMIFS(Ausgangsrechnungen!$N$2:$N$301,Ausgangsrechnungen!$A$2:$A$301,"&gt;="&amp;A108,Ausgangsrechnungen!$A$2:$A$301,"&lt;"&amp;EDATE(A108,1))</x:f>
        <x:v>0</x:v>
      </x:c>
      <x:c r="C108" s="115" t="e">
        <x:f>Liquiditätsplan!D107</x:f>
      </x:c>
      <x:c r="D108" s="115" t="n">
        <x:f>SUMIFS(Eingangsrechnungen!$F$2:$F$301,Eingangsrechnungen!$A$2:$A$301,"&gt;="&amp;A108,Eingangsrechnungen!$A$2:$A$301,"&lt;"&amp;EDATE(A108,1))</x:f>
        <x:v>0</x:v>
      </x:c>
      <x:c r="E108" s="115" t="e">
        <x:f>Liquiditätsplan!G107</x:f>
      </x:c>
      <x:c r="F108" s="115" t="e">
        <x:f>Liquiditätsplan!H107</x:f>
      </x:c>
      <x:c r="G108" s="115" t="e">
        <x:f>Liquiditätsplan!J107</x:f>
      </x:c>
      <x:c r="H108" s="115" t="e">
        <x:f>Liquiditätsplan!L107</x:f>
      </x:c>
      <x:c r="I108" s="115">
        <x:f t="shared" si="9"/>
        <x:v>3000</x:v>
      </x:c>
      <x:c r="J108" s="115">
        <x:f t="shared" si="10"/>
        <x:v>-3000</x:v>
      </x:c>
      <x:c r="K108" s="139">
        <x:f t="shared" si="11"/>
        <x:v>0</x:v>
      </x:c>
    </x:row>
    <x:row r="109">
      <x:c r="A109" s="114">
        <x:v>49430</x:v>
      </x:c>
      <x:c r="B109" s="116" t="n">
        <x:f>SUMIFS(Ausgangsrechnungen!$N$2:$N$301,Ausgangsrechnungen!$A$2:$A$301,"&gt;="&amp;A109,Ausgangsrechnungen!$A$2:$A$301,"&lt;"&amp;EDATE(A109,1))</x:f>
        <x:v>0</x:v>
      </x:c>
      <x:c r="C109" s="116" t="e">
        <x:f>Liquiditätsplan!D108</x:f>
      </x:c>
      <x:c r="D109" s="116" t="n">
        <x:f>SUMIFS(Eingangsrechnungen!$F$2:$F$301,Eingangsrechnungen!$A$2:$A$301,"&gt;="&amp;A109,Eingangsrechnungen!$A$2:$A$301,"&lt;"&amp;EDATE(A109,1))</x:f>
        <x:v>0</x:v>
      </x:c>
      <x:c r="E109" s="116" t="e">
        <x:f>Liquiditätsplan!G108</x:f>
      </x:c>
      <x:c r="F109" s="116" t="e">
        <x:f>Liquiditätsplan!H108</x:f>
      </x:c>
      <x:c r="G109" s="116" t="e">
        <x:f>Liquiditätsplan!J108</x:f>
      </x:c>
      <x:c r="H109" s="116" t="e">
        <x:f>Liquiditätsplan!L108</x:f>
      </x:c>
      <x:c r="I109" s="116">
        <x:f t="shared" si="9"/>
        <x:v>3000</x:v>
      </x:c>
      <x:c r="J109" s="116">
        <x:f t="shared" si="10"/>
        <x:v>-3000</x:v>
      </x:c>
      <x:c r="K109" s="140">
        <x:f t="shared" si="11"/>
        <x:v>0</x:v>
      </x:c>
    </x:row>
    <x:row r="110">
      <x:c r="A110" s="136">
        <x:v>49461</x:v>
      </x:c>
      <x:c r="B110" s="115" t="n">
        <x:f>SUMIFS(Ausgangsrechnungen!$N$2:$N$301,Ausgangsrechnungen!$A$2:$A$301,"&gt;="&amp;A110,Ausgangsrechnungen!$A$2:$A$301,"&lt;"&amp;EDATE(A110,1))</x:f>
        <x:v>0</x:v>
      </x:c>
      <x:c r="C110" s="115" t="e">
        <x:f>Liquiditätsplan!D109</x:f>
      </x:c>
      <x:c r="D110" s="115" t="n">
        <x:f>SUMIFS(Eingangsrechnungen!$F$2:$F$301,Eingangsrechnungen!$A$2:$A$301,"&gt;="&amp;A110,Eingangsrechnungen!$A$2:$A$301,"&lt;"&amp;EDATE(A110,1))</x:f>
        <x:v>0</x:v>
      </x:c>
      <x:c r="E110" s="115" t="e">
        <x:f>Liquiditätsplan!G109</x:f>
      </x:c>
      <x:c r="F110" s="115" t="e">
        <x:f>Liquiditätsplan!H109</x:f>
      </x:c>
      <x:c r="G110" s="115" t="e">
        <x:f>Liquiditätsplan!J109</x:f>
      </x:c>
      <x:c r="H110" s="115" t="e">
        <x:f>Liquiditätsplan!L109</x:f>
      </x:c>
      <x:c r="I110" s="115">
        <x:f t="shared" si="9"/>
        <x:v>3000</x:v>
      </x:c>
      <x:c r="J110" s="115">
        <x:f t="shared" si="10"/>
        <x:v>-3000</x:v>
      </x:c>
      <x:c r="K110" s="139">
        <x:f t="shared" si="11"/>
        <x:v>0</x:v>
      </x:c>
    </x:row>
    <x:row r="111">
      <x:c r="A111" s="114">
        <x:v>49491</x:v>
      </x:c>
      <x:c r="B111" s="116" t="n">
        <x:f>SUMIFS(Ausgangsrechnungen!$N$2:$N$301,Ausgangsrechnungen!$A$2:$A$301,"&gt;="&amp;A111,Ausgangsrechnungen!$A$2:$A$301,"&lt;"&amp;EDATE(A111,1))</x:f>
        <x:v>0</x:v>
      </x:c>
      <x:c r="C111" s="116" t="e">
        <x:f>Liquiditätsplan!D110</x:f>
      </x:c>
      <x:c r="D111" s="116" t="n">
        <x:f>SUMIFS(Eingangsrechnungen!$F$2:$F$301,Eingangsrechnungen!$A$2:$A$301,"&gt;="&amp;A111,Eingangsrechnungen!$A$2:$A$301,"&lt;"&amp;EDATE(A111,1))</x:f>
        <x:v>0</x:v>
      </x:c>
      <x:c r="E111" s="116" t="e">
        <x:f>Liquiditätsplan!G110</x:f>
      </x:c>
      <x:c r="F111" s="116" t="e">
        <x:f>Liquiditätsplan!H110</x:f>
      </x:c>
      <x:c r="G111" s="116" t="e">
        <x:f>Liquiditätsplan!J110</x:f>
      </x:c>
      <x:c r="H111" s="116" t="e">
        <x:f>Liquiditätsplan!L110</x:f>
      </x:c>
      <x:c r="I111" s="116">
        <x:f t="shared" si="9"/>
        <x:v>3000</x:v>
      </x:c>
      <x:c r="J111" s="116">
        <x:f t="shared" si="10"/>
        <x:v>-3000</x:v>
      </x:c>
      <x:c r="K111" s="140">
        <x:f t="shared" si="11"/>
        <x:v>0</x:v>
      </x:c>
    </x:row>
    <x:row r="112">
      <x:c r="A112" s="136">
        <x:v>49522</x:v>
      </x:c>
      <x:c r="B112" s="115" t="n">
        <x:f>SUMIFS(Ausgangsrechnungen!$N$2:$N$301,Ausgangsrechnungen!$A$2:$A$301,"&gt;="&amp;A112,Ausgangsrechnungen!$A$2:$A$301,"&lt;"&amp;EDATE(A112,1))</x:f>
        <x:v>0</x:v>
      </x:c>
      <x:c r="C112" s="115" t="e">
        <x:f>Liquiditätsplan!D111</x:f>
      </x:c>
      <x:c r="D112" s="115" t="n">
        <x:f>SUMIFS(Eingangsrechnungen!$F$2:$F$301,Eingangsrechnungen!$A$2:$A$301,"&gt;="&amp;A112,Eingangsrechnungen!$A$2:$A$301,"&lt;"&amp;EDATE(A112,1))</x:f>
        <x:v>0</x:v>
      </x:c>
      <x:c r="E112" s="115" t="e">
        <x:f>Liquiditätsplan!G111</x:f>
      </x:c>
      <x:c r="F112" s="115" t="e">
        <x:f>Liquiditätsplan!H111</x:f>
      </x:c>
      <x:c r="G112" s="115" t="e">
        <x:f>Liquiditätsplan!J111</x:f>
      </x:c>
      <x:c r="H112" s="115" t="e">
        <x:f>Liquiditätsplan!L111</x:f>
      </x:c>
      <x:c r="I112" s="115">
        <x:f t="shared" si="9"/>
        <x:v>3000</x:v>
      </x:c>
      <x:c r="J112" s="115">
        <x:f t="shared" si="10"/>
        <x:v>-3000</x:v>
      </x:c>
      <x:c r="K112" s="139">
        <x:f t="shared" si="11"/>
        <x:v>0</x:v>
      </x:c>
    </x:row>
    <x:row r="113">
      <x:c r="A113" s="114">
        <x:v>49553</x:v>
      </x:c>
      <x:c r="B113" s="116" t="n">
        <x:f>SUMIFS(Ausgangsrechnungen!$N$2:$N$301,Ausgangsrechnungen!$A$2:$A$301,"&gt;="&amp;A113,Ausgangsrechnungen!$A$2:$A$301,"&lt;"&amp;EDATE(A113,1))</x:f>
        <x:v>0</x:v>
      </x:c>
      <x:c r="C113" s="116" t="e">
        <x:f>Liquiditätsplan!D112</x:f>
      </x:c>
      <x:c r="D113" s="116" t="n">
        <x:f>SUMIFS(Eingangsrechnungen!$F$2:$F$301,Eingangsrechnungen!$A$2:$A$301,"&gt;="&amp;A113,Eingangsrechnungen!$A$2:$A$301,"&lt;"&amp;EDATE(A113,1))</x:f>
        <x:v>0</x:v>
      </x:c>
      <x:c r="E113" s="116" t="e">
        <x:f>Liquiditätsplan!G112</x:f>
      </x:c>
      <x:c r="F113" s="116" t="e">
        <x:f>Liquiditätsplan!H112</x:f>
      </x:c>
      <x:c r="G113" s="116" t="e">
        <x:f>Liquiditätsplan!J112</x:f>
      </x:c>
      <x:c r="H113" s="116" t="e">
        <x:f>Liquiditätsplan!L112</x:f>
      </x:c>
      <x:c r="I113" s="116">
        <x:f t="shared" si="9"/>
        <x:v>3000</x:v>
      </x:c>
      <x:c r="J113" s="116">
        <x:f t="shared" si="10"/>
        <x:v>-3000</x:v>
      </x:c>
      <x:c r="K113" s="140">
        <x:f t="shared" si="11"/>
        <x:v>0</x:v>
      </x:c>
    </x:row>
    <x:row r="114">
      <x:c r="A114" s="136">
        <x:v>49583</x:v>
      </x:c>
      <x:c r="B114" s="115" t="n">
        <x:f>SUMIFS(Ausgangsrechnungen!$N$2:$N$301,Ausgangsrechnungen!$A$2:$A$301,"&gt;="&amp;A114,Ausgangsrechnungen!$A$2:$A$301,"&lt;"&amp;EDATE(A114,1))</x:f>
        <x:v>0</x:v>
      </x:c>
      <x:c r="C114" s="115" t="e">
        <x:f>Liquiditätsplan!D113</x:f>
      </x:c>
      <x:c r="D114" s="115" t="n">
        <x:f>SUMIFS(Eingangsrechnungen!$F$2:$F$301,Eingangsrechnungen!$A$2:$A$301,"&gt;="&amp;A114,Eingangsrechnungen!$A$2:$A$301,"&lt;"&amp;EDATE(A114,1))</x:f>
        <x:v>0</x:v>
      </x:c>
      <x:c r="E114" s="115" t="e">
        <x:f>Liquiditätsplan!G113</x:f>
      </x:c>
      <x:c r="F114" s="115" t="e">
        <x:f>Liquiditätsplan!H113</x:f>
      </x:c>
      <x:c r="G114" s="115" t="e">
        <x:f>Liquiditätsplan!J113</x:f>
      </x:c>
      <x:c r="H114" s="115" t="e">
        <x:f>Liquiditätsplan!L113</x:f>
      </x:c>
      <x:c r="I114" s="115">
        <x:f t="shared" si="9"/>
        <x:v>3000</x:v>
      </x:c>
      <x:c r="J114" s="115">
        <x:f t="shared" si="10"/>
        <x:v>-3000</x:v>
      </x:c>
      <x:c r="K114" s="139">
        <x:f t="shared" si="11"/>
        <x:v>0</x:v>
      </x:c>
    </x:row>
    <x:row r="115">
      <x:c r="A115" s="114">
        <x:v>49614</x:v>
      </x:c>
      <x:c r="B115" s="116" t="n">
        <x:f>SUMIFS(Ausgangsrechnungen!$N$2:$N$301,Ausgangsrechnungen!$A$2:$A$301,"&gt;="&amp;A115,Ausgangsrechnungen!$A$2:$A$301,"&lt;"&amp;EDATE(A115,1))</x:f>
        <x:v>0</x:v>
      </x:c>
      <x:c r="C115" s="116" t="e">
        <x:f>Liquiditätsplan!D114</x:f>
      </x:c>
      <x:c r="D115" s="116" t="n">
        <x:f>SUMIFS(Eingangsrechnungen!$F$2:$F$301,Eingangsrechnungen!$A$2:$A$301,"&gt;="&amp;A115,Eingangsrechnungen!$A$2:$A$301,"&lt;"&amp;EDATE(A115,1))</x:f>
        <x:v>0</x:v>
      </x:c>
      <x:c r="E115" s="116" t="e">
        <x:f>Liquiditätsplan!G114</x:f>
      </x:c>
      <x:c r="F115" s="116" t="e">
        <x:f>Liquiditätsplan!H114</x:f>
      </x:c>
      <x:c r="G115" s="116" t="e">
        <x:f>Liquiditätsplan!J114</x:f>
      </x:c>
      <x:c r="H115" s="116" t="e">
        <x:f>Liquiditätsplan!L114</x:f>
      </x:c>
      <x:c r="I115" s="116">
        <x:f t="shared" si="9"/>
        <x:v>3000</x:v>
      </x:c>
      <x:c r="J115" s="116">
        <x:f t="shared" si="10"/>
        <x:v>-3000</x:v>
      </x:c>
      <x:c r="K115" s="140">
        <x:f t="shared" si="11"/>
        <x:v>0</x:v>
      </x:c>
    </x:row>
    <x:row r="116">
      <x:c r="A116" s="136">
        <x:v>49644</x:v>
      </x:c>
      <x:c r="B116" s="115" t="n">
        <x:f>SUMIFS(Ausgangsrechnungen!$N$2:$N$301,Ausgangsrechnungen!$A$2:$A$301,"&gt;="&amp;A116,Ausgangsrechnungen!$A$2:$A$301,"&lt;"&amp;EDATE(A116,1))</x:f>
        <x:v>0</x:v>
      </x:c>
      <x:c r="C116" s="115" t="e">
        <x:f>Liquiditätsplan!D115</x:f>
      </x:c>
      <x:c r="D116" s="115" t="n">
        <x:f>SUMIFS(Eingangsrechnungen!$F$2:$F$301,Eingangsrechnungen!$A$2:$A$301,"&gt;="&amp;A116,Eingangsrechnungen!$A$2:$A$301,"&lt;"&amp;EDATE(A116,1))</x:f>
        <x:v>0</x:v>
      </x:c>
      <x:c r="E116" s="115" t="e">
        <x:f>Liquiditätsplan!G115</x:f>
      </x:c>
      <x:c r="F116" s="115" t="e">
        <x:f>Liquiditätsplan!H115</x:f>
      </x:c>
      <x:c r="G116" s="115" t="e">
        <x:f>Liquiditätsplan!J115</x:f>
      </x:c>
      <x:c r="H116" s="115" t="e">
        <x:f>Liquiditätsplan!L115</x:f>
      </x:c>
      <x:c r="I116" s="115">
        <x:f t="shared" si="9"/>
        <x:v>3000</x:v>
      </x:c>
      <x:c r="J116" s="115">
        <x:f t="shared" si="10"/>
        <x:v>-3000</x:v>
      </x:c>
      <x:c r="K116" s="139">
        <x:f t="shared" si="11"/>
        <x:v>0</x:v>
      </x:c>
    </x:row>
    <x:row r="117">
      <x:c r="A117" s="142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119"/>
    </x:row>
    <x:row r="118">
      <x:c r="A118" s="143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120"/>
    </x:row>
    <x:row r="119" ht="20.850000381469727" customHeight="1">
      <x:c r="A119" s="277"/>
      <x:c r="B119" s="278"/>
      <x:c r="C119" s="278"/>
      <x:c r="D119" s="278"/>
      <x:c r="E119" s="278"/>
      <x:c r="F119" s="278"/>
      <x:c r="G119" s="278"/>
      <x:c r="H119" s="278"/>
      <x:c r="I119" s="278"/>
      <x:c r="J119" s="278"/>
      <x:c r="K119" s="279"/>
    </x:row>
    <x:row r="120" ht="27.149999618530273" customHeight="1">
      <x:c r="A120" s="200"/>
      <x:c r="B120" s="201"/>
      <x:c r="C120" s="201"/>
      <x:c r="D120" s="201"/>
      <x:c r="E120" s="201"/>
      <x:c r="F120" s="201"/>
      <x:c r="G120" s="201"/>
      <x:c r="H120" s="201"/>
      <x:c r="I120" s="201"/>
      <x:c r="J120" s="201"/>
      <x:c r="K120" s="206"/>
    </x:row>
    <x:row r="121" ht="16.049999237060547" customHeight="1">
      <x:c r="A121" s="215"/>
      <x:c r="B121" s="207"/>
      <x:c r="C121" s="207"/>
      <x:c r="D121" s="207"/>
      <x:c r="E121" s="207"/>
      <x:c r="F121" s="207"/>
      <x:c r="G121" s="207"/>
      <x:c r="H121" s="207"/>
      <x:c r="I121" s="207"/>
      <x:c r="J121" s="209"/>
      <x:c r="K121" s="211"/>
    </x:row>
    <x:row r="122" ht="16.049999237060547" customHeight="1">
      <x:c r="A122" s="215"/>
      <x:c r="B122" s="207"/>
      <x:c r="C122" s="207"/>
      <x:c r="D122" s="207"/>
      <x:c r="E122" s="207"/>
      <x:c r="F122" s="207"/>
      <x:c r="G122" s="207"/>
      <x:c r="H122" s="207"/>
      <x:c r="I122" s="207"/>
      <x:c r="J122" s="209"/>
      <x:c r="K122" s="211"/>
    </x:row>
    <x:row r="123" ht="16.049999237060547" customHeight="1">
      <x:c r="A123" s="215"/>
      <x:c r="B123" s="217"/>
      <x:c r="C123" s="217"/>
      <x:c r="D123" s="217"/>
      <x:c r="E123" s="217"/>
      <x:c r="F123" s="217"/>
      <x:c r="G123" s="217"/>
      <x:c r="H123" s="217"/>
      <x:c r="I123" s="217"/>
      <x:c r="J123" s="218"/>
      <x:c r="K123" s="219"/>
    </x:row>
    <x:row r="124" ht="16.049999237060547" customHeight="1">
      <x:c r="A124" s="215"/>
      <x:c r="B124" s="207"/>
      <x:c r="C124" s="207"/>
      <x:c r="D124" s="207"/>
      <x:c r="E124" s="207"/>
      <x:c r="F124" s="207"/>
      <x:c r="G124" s="207"/>
      <x:c r="H124" s="207"/>
      <x:c r="I124" s="207"/>
      <x:c r="J124" s="209"/>
      <x:c r="K124" s="211"/>
    </x:row>
    <x:row r="125" ht="16.049999237060547" customHeight="1">
      <x:c r="A125" s="215"/>
      <x:c r="B125" s="207"/>
      <x:c r="C125" s="207"/>
      <x:c r="D125" s="207"/>
      <x:c r="E125" s="207"/>
      <x:c r="F125" s="207"/>
      <x:c r="G125" s="207"/>
      <x:c r="H125" s="207"/>
      <x:c r="I125" s="207"/>
      <x:c r="J125" s="209"/>
      <x:c r="K125" s="211"/>
    </x:row>
    <x:row r="126" ht="16.049999237060547" customHeight="1">
      <x:c r="A126" s="215"/>
      <x:c r="B126" s="207"/>
      <x:c r="C126" s="207"/>
      <x:c r="D126" s="207"/>
      <x:c r="E126" s="207"/>
      <x:c r="F126" s="207"/>
      <x:c r="G126" s="207"/>
      <x:c r="H126" s="207"/>
      <x:c r="I126" s="207"/>
      <x:c r="J126" s="209"/>
      <x:c r="K126" s="211"/>
    </x:row>
    <x:row r="127" ht="16.049999237060547" customHeight="1">
      <x:c r="A127" s="215"/>
      <x:c r="B127" s="207"/>
      <x:c r="C127" s="207"/>
      <x:c r="D127" s="207"/>
      <x:c r="E127" s="207"/>
      <x:c r="F127" s="207"/>
      <x:c r="G127" s="207"/>
      <x:c r="H127" s="207"/>
      <x:c r="I127" s="207"/>
      <x:c r="J127" s="209"/>
      <x:c r="K127" s="211"/>
    </x:row>
    <x:row r="128" ht="16.049999237060547" customHeight="1">
      <x:c r="A128" s="215"/>
      <x:c r="B128" s="207"/>
      <x:c r="C128" s="207"/>
      <x:c r="D128" s="207"/>
      <x:c r="E128" s="207"/>
      <x:c r="F128" s="207"/>
      <x:c r="G128" s="207"/>
      <x:c r="H128" s="207"/>
      <x:c r="I128" s="207"/>
      <x:c r="J128" s="209"/>
      <x:c r="K128" s="211"/>
    </x:row>
    <x:row r="129" ht="16.049999237060547" customHeight="1">
      <x:c r="A129" s="215"/>
      <x:c r="B129" s="207"/>
      <x:c r="C129" s="207"/>
      <x:c r="D129" s="207"/>
      <x:c r="E129" s="207"/>
      <x:c r="F129" s="207"/>
      <x:c r="G129" s="207"/>
      <x:c r="H129" s="207"/>
      <x:c r="I129" s="207"/>
      <x:c r="J129" s="209"/>
      <x:c r="K129" s="211"/>
    </x:row>
    <x:row r="130" ht="16.049999237060547" customHeight="1">
      <x:c r="A130" s="216"/>
      <x:c r="B130" s="208"/>
      <x:c r="C130" s="208"/>
      <x:c r="D130" s="208"/>
      <x:c r="E130" s="208"/>
      <x:c r="F130" s="208"/>
      <x:c r="G130" s="208"/>
      <x:c r="H130" s="208"/>
      <x:c r="I130" s="208"/>
      <x:c r="J130" s="210"/>
      <x:c r="K130" s="212"/>
    </x:row>
    <x:row r="131">
      <x:c r="B131" s="3"/>
      <x:c r="C131" s="3"/>
      <x:c r="D131" s="3"/>
      <x:c r="E131" s="7"/>
      <x:c r="F131" s="3"/>
    </x:row>
    <x:row r="132" ht="20.850000381469727" customHeight="1">
      <x:c r="A132" s="280" t="s">
        <x:v>203</x:v>
      </x:c>
      <x:c r="B132" s="281"/>
      <x:c r="C132" s="281"/>
      <x:c r="D132" s="281"/>
      <x:c r="E132" s="282"/>
      <x:c r="F132" s="281"/>
      <x:c r="G132" s="280"/>
      <x:c r="H132" s="280"/>
      <x:c r="I132" s="280"/>
      <x:c r="J132" s="280"/>
      <x:c r="K132" s="280"/>
    </x:row>
    <x:row r="133" ht="27.149999618530273" customHeight="1">
      <x:c r="A133" s="220" t="s">
        <x:v>204</x:v>
      </x:c>
      <x:c r="B133" s="221" t="s">
        <x:v>198</x:v>
      </x:c>
      <x:c r="C133" s="221" t="s">
        <x:v>165</x:v>
      </x:c>
      <x:c r="D133" s="221" t="s">
        <x:v>199</x:v>
      </x:c>
      <x:c r="E133" s="225" t="s">
        <x:v>168</x:v>
      </x:c>
      <x:c r="F133" s="221" t="s">
        <x:v>169</x:v>
      </x:c>
      <x:c r="G133" s="220" t="s">
        <x:v>171</x:v>
      </x:c>
      <x:c r="H133" s="220" t="s">
        <x:v>173</x:v>
      </x:c>
      <x:c r="I133" s="220" t="s">
        <x:v>200</x:v>
      </x:c>
      <x:c r="J133" s="220" t="s">
        <x:v>201</x:v>
      </x:c>
      <x:c r="K133" s="220" t="s">
        <x:v>202</x:v>
      </x:c>
    </x:row>
    <x:row r="134" ht="16.049999237060547" customHeight="1">
      <x:c r="A134" s="222" t="s">
        <x:v>205</x:v>
      </x:c>
      <x:c r="B134" s="223" t="n">
        <x:f t="shared" ref="B134:J134" si="12">SUM(B3:B8)</x:f>
        <x:v>50796.61000000001</x:v>
      </x:c>
      <x:c r="C134" s="223">
        <x:f t="shared" si="12"/>
        <x:v>0</x:v>
      </x:c>
      <x:c r="D134" s="223">
        <x:f t="shared" si="12"/>
        <x:v>17595.060000000001</x:v>
      </x:c>
      <x:c r="E134" s="223">
        <x:f t="shared" si="12"/>
        <x:v>13000</x:v>
      </x:c>
      <x:c r="F134" s="223">
        <x:f t="shared" si="12"/>
        <x:v>0</x:v>
      </x:c>
      <x:c r="G134" s="223">
        <x:f t="shared" si="12"/>
        <x:v>3000</x:v>
      </x:c>
      <x:c r="H134" s="223">
        <x:f t="shared" si="12"/>
        <x:v>3000</x:v>
      </x:c>
      <x:c r="I134" s="223">
        <x:f t="shared" si="12"/>
        <x:v>36595.06</x:v>
      </x:c>
      <x:c r="J134" s="226">
        <x:f t="shared" si="12"/>
        <x:v>14201.550000000007</x:v>
      </x:c>
      <x:c r="K134" s="227" t="n">
        <x:f t="shared" ref="K134:K143" si="13">IF(B134=0,0,J134/B134)</x:f>
        <x:v>0.2795767276595821</x:v>
      </x:c>
    </x:row>
    <x:row r="135" ht="16.049999237060547" customHeight="1">
      <x:c r="A135" s="222" t="s">
        <x:v>206</x:v>
      </x:c>
      <x:c r="B135" s="223" t="n">
        <x:f t="shared" ref="B135:J135" si="14">SUM(B9:B20)</x:f>
        <x:v>0</x:v>
      </x:c>
      <x:c r="C135" s="223">
        <x:f t="shared" si="14"/>
        <x:v>0</x:v>
      </x:c>
      <x:c r="D135" s="223">
        <x:f t="shared" si="14"/>
        <x:v>0</x:v>
      </x:c>
      <x:c r="E135" s="223">
        <x:f t="shared" si="14"/>
        <x:v>24000</x:v>
      </x:c>
      <x:c r="F135" s="223">
        <x:f t="shared" si="14"/>
        <x:v>0</x:v>
      </x:c>
      <x:c r="G135" s="223">
        <x:f t="shared" si="14"/>
        <x:v>6000</x:v>
      </x:c>
      <x:c r="H135" s="223">
        <x:f t="shared" si="14"/>
        <x:v>6000</x:v>
      </x:c>
      <x:c r="I135" s="223">
        <x:f t="shared" si="14"/>
        <x:v>36000</x:v>
      </x:c>
      <x:c r="J135" s="226">
        <x:f t="shared" si="14"/>
        <x:v>-36000</x:v>
      </x:c>
      <x:c r="K135" s="227">
        <x:f t="shared" si="13"/>
        <x:v>0</x:v>
      </x:c>
    </x:row>
    <x:row r="136" ht="16.049999237060547" customHeight="1">
      <x:c r="A136" s="222" t="s">
        <x:v>207</x:v>
      </x:c>
      <x:c r="B136" s="223" t="n">
        <x:f t="shared" ref="B136:J136" si="15">SUM(B21:B32)</x:f>
        <x:v>0</x:v>
      </x:c>
      <x:c r="C136" s="223">
        <x:f t="shared" si="15"/>
        <x:v>0</x:v>
      </x:c>
      <x:c r="D136" s="223">
        <x:f t="shared" si="15"/>
        <x:v>0</x:v>
      </x:c>
      <x:c r="E136" s="223">
        <x:f t="shared" si="15"/>
        <x:v>24000</x:v>
      </x:c>
      <x:c r="F136" s="223">
        <x:f t="shared" si="15"/>
        <x:v>0</x:v>
      </x:c>
      <x:c r="G136" s="223">
        <x:f t="shared" si="15"/>
        <x:v>6000</x:v>
      </x:c>
      <x:c r="H136" s="223">
        <x:f t="shared" si="15"/>
        <x:v>6000</x:v>
      </x:c>
      <x:c r="I136" s="223">
        <x:f t="shared" si="15"/>
        <x:v>36000</x:v>
      </x:c>
      <x:c r="J136" s="226">
        <x:f t="shared" si="15"/>
        <x:v>-36000</x:v>
      </x:c>
      <x:c r="K136" s="227">
        <x:f t="shared" si="13"/>
        <x:v>0</x:v>
      </x:c>
    </x:row>
    <x:row r="137" ht="16.049999237060547" customHeight="1">
      <x:c r="A137" s="222" t="s">
        <x:v>208</x:v>
      </x:c>
      <x:c r="B137" s="223" t="n">
        <x:f t="shared" ref="B137:J137" si="16">SUM(B33:B44)</x:f>
        <x:v>0</x:v>
      </x:c>
      <x:c r="C137" s="223">
        <x:f t="shared" si="16"/>
        <x:v>0</x:v>
      </x:c>
      <x:c r="D137" s="223">
        <x:f t="shared" si="16"/>
        <x:v>0</x:v>
      </x:c>
      <x:c r="E137" s="223">
        <x:f t="shared" si="16"/>
        <x:v>24000</x:v>
      </x:c>
      <x:c r="F137" s="223">
        <x:f t="shared" si="16"/>
        <x:v>0</x:v>
      </x:c>
      <x:c r="G137" s="223">
        <x:f t="shared" si="16"/>
        <x:v>6000</x:v>
      </x:c>
      <x:c r="H137" s="223">
        <x:f t="shared" si="16"/>
        <x:v>6000</x:v>
      </x:c>
      <x:c r="I137" s="223">
        <x:f t="shared" si="16"/>
        <x:v>36000</x:v>
      </x:c>
      <x:c r="J137" s="226">
        <x:f t="shared" si="16"/>
        <x:v>-36000</x:v>
      </x:c>
      <x:c r="K137" s="227">
        <x:f t="shared" si="13"/>
        <x:v>0</x:v>
      </x:c>
    </x:row>
    <x:row r="138" ht="16.049999237060547" customHeight="1">
      <x:c r="A138" s="222" t="s">
        <x:v>209</x:v>
      </x:c>
      <x:c r="B138" s="223" t="n">
        <x:f t="shared" ref="B138:J138" si="17">SUM(B45:B56)</x:f>
        <x:v>0</x:v>
      </x:c>
      <x:c r="C138" s="223">
        <x:f t="shared" si="17"/>
        <x:v>0</x:v>
      </x:c>
      <x:c r="D138" s="223">
        <x:f t="shared" si="17"/>
        <x:v>0</x:v>
      </x:c>
      <x:c r="E138" s="223">
        <x:f t="shared" si="17"/>
        <x:v>24000</x:v>
      </x:c>
      <x:c r="F138" s="223">
        <x:f t="shared" si="17"/>
        <x:v>0</x:v>
      </x:c>
      <x:c r="G138" s="223">
        <x:f t="shared" si="17"/>
        <x:v>6000</x:v>
      </x:c>
      <x:c r="H138" s="223">
        <x:f t="shared" si="17"/>
        <x:v>6000</x:v>
      </x:c>
      <x:c r="I138" s="223">
        <x:f t="shared" si="17"/>
        <x:v>36000</x:v>
      </x:c>
      <x:c r="J138" s="226">
        <x:f t="shared" si="17"/>
        <x:v>-36000</x:v>
      </x:c>
      <x:c r="K138" s="227">
        <x:f t="shared" si="13"/>
        <x:v>0</x:v>
      </x:c>
    </x:row>
    <x:row r="139" ht="16.049999237060547" customHeight="1">
      <x:c r="A139" s="222" t="s">
        <x:v>210</x:v>
      </x:c>
      <x:c r="B139" s="223" t="n">
        <x:f t="shared" ref="B139:J139" si="18">SUM(B57:B68)</x:f>
        <x:v>0</x:v>
      </x:c>
      <x:c r="C139" s="223">
        <x:f t="shared" si="18"/>
        <x:v>0</x:v>
      </x:c>
      <x:c r="D139" s="223">
        <x:f t="shared" si="18"/>
        <x:v>0</x:v>
      </x:c>
      <x:c r="E139" s="223">
        <x:f t="shared" si="18"/>
        <x:v>24000</x:v>
      </x:c>
      <x:c r="F139" s="223">
        <x:f t="shared" si="18"/>
        <x:v>0</x:v>
      </x:c>
      <x:c r="G139" s="223">
        <x:f t="shared" si="18"/>
        <x:v>6000</x:v>
      </x:c>
      <x:c r="H139" s="223">
        <x:f t="shared" si="18"/>
        <x:v>6000</x:v>
      </x:c>
      <x:c r="I139" s="223">
        <x:f t="shared" si="18"/>
        <x:v>36000</x:v>
      </x:c>
      <x:c r="J139" s="226">
        <x:f t="shared" si="18"/>
        <x:v>-36000</x:v>
      </x:c>
      <x:c r="K139" s="227">
        <x:f t="shared" si="13"/>
        <x:v>0</x:v>
      </x:c>
    </x:row>
    <x:row r="140" ht="16.049999237060547" customHeight="1">
      <x:c r="A140" s="222" t="s">
        <x:v>211</x:v>
      </x:c>
      <x:c r="B140" s="223" t="n">
        <x:f t="shared" ref="B140:J140" si="19">SUM(B69:B80)</x:f>
        <x:v>0</x:v>
      </x:c>
      <x:c r="C140" s="223">
        <x:f t="shared" si="19"/>
        <x:v>0</x:v>
      </x:c>
      <x:c r="D140" s="223">
        <x:f t="shared" si="19"/>
        <x:v>0</x:v>
      </x:c>
      <x:c r="E140" s="223">
        <x:f t="shared" si="19"/>
        <x:v>24000</x:v>
      </x:c>
      <x:c r="F140" s="223">
        <x:f t="shared" si="19"/>
        <x:v>0</x:v>
      </x:c>
      <x:c r="G140" s="223">
        <x:f t="shared" si="19"/>
        <x:v>6000</x:v>
      </x:c>
      <x:c r="H140" s="223">
        <x:f t="shared" si="19"/>
        <x:v>6000</x:v>
      </x:c>
      <x:c r="I140" s="223">
        <x:f t="shared" si="19"/>
        <x:v>36000</x:v>
      </x:c>
      <x:c r="J140" s="226">
        <x:f t="shared" si="19"/>
        <x:v>-36000</x:v>
      </x:c>
      <x:c r="K140" s="227">
        <x:f t="shared" si="13"/>
        <x:v>0</x:v>
      </x:c>
    </x:row>
    <x:row r="141" ht="16.049999237060547" customHeight="1">
      <x:c r="A141" s="222" t="s">
        <x:v>212</x:v>
      </x:c>
      <x:c r="B141" s="223" t="n">
        <x:f t="shared" ref="B141:J141" si="20">SUM(B81:B92)</x:f>
        <x:v>0</x:v>
      </x:c>
      <x:c r="C141" s="223">
        <x:f t="shared" si="20"/>
        <x:v>0</x:v>
      </x:c>
      <x:c r="D141" s="223">
        <x:f t="shared" si="20"/>
        <x:v>0</x:v>
      </x:c>
      <x:c r="E141" s="223">
        <x:f t="shared" si="20"/>
        <x:v>24000</x:v>
      </x:c>
      <x:c r="F141" s="223">
        <x:f t="shared" si="20"/>
        <x:v>0</x:v>
      </x:c>
      <x:c r="G141" s="223">
        <x:f t="shared" si="20"/>
        <x:v>6000</x:v>
      </x:c>
      <x:c r="H141" s="223">
        <x:f t="shared" si="20"/>
        <x:v>6000</x:v>
      </x:c>
      <x:c r="I141" s="223">
        <x:f t="shared" si="20"/>
        <x:v>36000</x:v>
      </x:c>
      <x:c r="J141" s="226">
        <x:f t="shared" si="20"/>
        <x:v>-36000</x:v>
      </x:c>
      <x:c r="K141" s="227">
        <x:f t="shared" si="13"/>
        <x:v>0</x:v>
      </x:c>
    </x:row>
    <x:row r="142" ht="16.049999237060547" customHeight="1">
      <x:c r="A142" s="222" t="s">
        <x:v>213</x:v>
      </x:c>
      <x:c r="B142" s="223" t="n">
        <x:f t="shared" ref="B142:J142" si="21">SUM(B93:B104)</x:f>
        <x:v>0</x:v>
      </x:c>
      <x:c r="C142" s="223">
        <x:f t="shared" si="21"/>
        <x:v>0</x:v>
      </x:c>
      <x:c r="D142" s="223">
        <x:f t="shared" si="21"/>
        <x:v>0</x:v>
      </x:c>
      <x:c r="E142" s="223">
        <x:f t="shared" si="21"/>
        <x:v>24000</x:v>
      </x:c>
      <x:c r="F142" s="223">
        <x:f t="shared" si="21"/>
        <x:v>0</x:v>
      </x:c>
      <x:c r="G142" s="223">
        <x:f t="shared" si="21"/>
        <x:v>6000</x:v>
      </x:c>
      <x:c r="H142" s="223">
        <x:f t="shared" si="21"/>
        <x:v>6000</x:v>
      </x:c>
      <x:c r="I142" s="223">
        <x:f t="shared" si="21"/>
        <x:v>36000</x:v>
      </x:c>
      <x:c r="J142" s="226">
        <x:f t="shared" si="21"/>
        <x:v>-36000</x:v>
      </x:c>
      <x:c r="K142" s="227">
        <x:f t="shared" si="13"/>
        <x:v>0</x:v>
      </x:c>
    </x:row>
    <x:row r="143" ht="16.049999237060547" customHeight="1">
      <x:c r="A143" s="222" t="s">
        <x:v>214</x:v>
      </x:c>
      <x:c r="B143" s="223" t="n">
        <x:f t="shared" ref="B143:J143" si="22">SUM(B105:B116)</x:f>
        <x:v>0</x:v>
      </x:c>
      <x:c r="C143" s="223">
        <x:f t="shared" si="22"/>
        <x:v>0</x:v>
      </x:c>
      <x:c r="D143" s="223">
        <x:f t="shared" si="22"/>
        <x:v>0</x:v>
      </x:c>
      <x:c r="E143" s="223">
        <x:f t="shared" si="22"/>
        <x:v>24000</x:v>
      </x:c>
      <x:c r="F143" s="223">
        <x:f t="shared" si="22"/>
        <x:v>0</x:v>
      </x:c>
      <x:c r="G143" s="223">
        <x:f t="shared" si="22"/>
        <x:v>6000</x:v>
      </x:c>
      <x:c r="H143" s="223">
        <x:f t="shared" si="22"/>
        <x:v>6000</x:v>
      </x:c>
      <x:c r="I143" s="223">
        <x:f t="shared" si="22"/>
        <x:v>36000</x:v>
      </x:c>
      <x:c r="J143" s="226">
        <x:f t="shared" si="22"/>
        <x:v>-36000</x:v>
      </x:c>
      <x:c r="K143" s="227">
        <x:f t="shared" si="13"/>
        <x:v>0</x:v>
      </x:c>
    </x:row>
  </x:sheetData>
  <x:mergeCells>
    <x:mergeCell ref="A1:K1"/>
    <x:mergeCell ref="A119:K119"/>
    <x:mergeCell ref="A132:K132"/>
  </x:mergeCells>
  <x:conditionalFormatting sqref="J3:J116">
    <x:cfRule type="expression" dxfId="8" priority="3">
      <x:formula>J3&lt;0</x:formula>
    </x:cfRule>
    <x:cfRule type="expression" dxfId="7" priority="4">
      <x:formula>J3&gt;0</x:formula>
    </x:cfRule>
  </x:conditionalFormatting>
  <x:conditionalFormatting sqref="J3:J122">
    <x:cfRule type="expression" dxfId="6" priority="5">
      <x:formula>J3&lt;0</x:formula>
    </x:cfRule>
    <x:cfRule type="expression" dxfId="5" priority="6">
      <x:formula>J3&gt;=0</x:formula>
    </x:cfRule>
  </x:conditionalFormatting>
  <x:conditionalFormatting sqref="J4:J22">
    <x:cfRule type="cellIs" dxfId="4" priority="1" operator="lessThan">
      <x:formula>0</x:formula>
    </x:cfRule>
    <x:cfRule type="cellIs" dxfId="3" priority="2" operator="greaterThanOrEqual">
      <x:formula>0</x:formula>
    </x:cfRule>
  </x:conditionalFormatting>
  <x:pageMargins left="0.7" right="0.7" top="0.75" bottom="0.75" header="0.3" footer="0.3"/>
  <x:drawing xmlns:r="http://schemas.openxmlformats.org/officeDocument/2006/relationships" r:id="Rb2bbfa0bf036438c"/>
</x:worksheet>
</file>

<file path=xl/worksheets/sheet10.xml><?xml version="1.0" encoding="utf-8"?>
<x:worksheet xmlns:x="http://schemas.openxmlformats.org/spreadsheetml/2006/main">
  <x:sheetFormatPr baseColWidth="10" defaultColWidth="8.796875" defaultRowHeight="13.800000190734863"/>
  <x:cols>
    <x:col min="1" max="1" width="12" customWidth="1"/>
    <x:col min="2" max="2" width="22" customWidth="1"/>
    <x:col min="3" max="3" width="14" customWidth="1"/>
    <x:col min="4" max="4" width="16" customWidth="1"/>
    <x:col min="5" max="5" width="21" customWidth="1"/>
    <x:col min="6" max="6" width="13" customWidth="1"/>
    <x:col min="7" max="7" width="20" customWidth="1"/>
    <x:col min="8" max="8" width="15" customWidth="1"/>
    <x:col min="9" max="9" width="17" customWidth="1"/>
    <x:col min="10" max="10" width="21" customWidth="1"/>
    <x:col min="11" max="11" width="17" customWidth="1"/>
    <x:col min="12" max="12" width="22" customWidth="1"/>
  </x:cols>
  <x:sheetData>
    <x:row r="1" ht="22.350000381469727" customHeight="1">
      <x:c r="A1" s="283" t="s">
        <x:v>215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</x:row>
    <x:row r="2" ht="27.149999618530273" customHeight="1">
      <x:c r="A2" s="144" t="s">
        <x:v>55</x:v>
      </x:c>
      <x:c r="B2" s="145" t="s">
        <x:v>216</x:v>
      </x:c>
      <x:c r="C2" s="145" t="s">
        <x:v>168</x:v>
      </x:c>
      <x:c r="D2" s="145" t="s">
        <x:v>169</x:v>
      </x:c>
      <x:c r="E2" s="145" t="s">
        <x:v>217</x:v>
      </x:c>
      <x:c r="F2" s="145" t="s">
        <x:v>171</x:v>
      </x:c>
      <x:c r="G2" s="145" t="s">
        <x:v>218</x:v>
      </x:c>
      <x:c r="H2" s="145" t="s">
        <x:v>219</x:v>
      </x:c>
      <x:c r="I2" s="145" t="s">
        <x:v>173</x:v>
      </x:c>
      <x:c r="J2" s="145" t="s">
        <x:v>220</x:v>
      </x:c>
      <x:c r="K2" s="145" t="s">
        <x:v>172</x:v>
      </x:c>
      <x:c r="L2" s="145" t="s">
        <x:v>221</x:v>
      </x:c>
    </x:row>
    <x:row r="3" ht="14.399999618530273" customHeight="1">
      <x:c r="A3" s="185">
        <x:v>46204</x:v>
      </x:c>
      <x:c r="B3" s="148" t="e">
        <x:f>Liquiditätsplan!E2</x:f>
      </x:c>
      <x:c r="C3" s="148" t="e">
        <x:f>Liquiditätsplan!G2</x:f>
      </x:c>
      <x:c r="D3" s="148" t="e">
        <x:f>Liquiditätsplan!H2</x:f>
      </x:c>
      <x:c r="E3" s="148" t="e">
        <x:f>Liquiditätsplan!I2</x:f>
      </x:c>
      <x:c r="F3" s="148" t="e">
        <x:f>Liquiditätsplan!J2</x:f>
      </x:c>
      <x:c r="G3" s="148" t="n">
        <x:f>SUMIFS(Steuerkalender!$D$2:$D$100,Steuerkalender!$B$2:$B$100,"&gt;="&amp;A3,Steuerkalender!$B$2:$B$100,"&lt;"&amp;EDATE(A3,1))</x:f>
        <x:v>0</x:v>
      </x:c>
      <x:c r="H3" s="148" t="n">
        <x:f>SUMIFS('USt-Monatsübersicht'!$F$2:$F$115,'USt-Monatsübersicht'!$B$2:$B$115,"&gt;="&amp;A3,'USt-Monatsübersicht'!$B$2:$B$115,"&lt;"&amp;EDATE(A3,1))</x:f>
        <x:v>0</x:v>
      </x:c>
      <x:c r="I3" s="148" t="e">
        <x:f>Liquiditätsplan!L2</x:f>
      </x:c>
      <x:c r="J3" s="148" t="e">
        <x:f t="shared" ref="J3:J34" si="0">SUM(B3:F3)+I3</x:f>
      </x:c>
      <x:c r="K3" s="148" t="e">
        <x:f>Liquiditätsplan!K2</x:f>
      </x:c>
      <x:c r="L3" s="148" t="e">
        <x:f t="shared" ref="L3:L34" si="1">SUM(B3:I3)+K3</x:f>
      </x:c>
    </x:row>
    <x:row r="4" ht="14.399999618530273" customHeight="1">
      <x:c r="A4" s="186">
        <x:v>46235</x:v>
      </x:c>
      <x:c r="B4" s="146" t="e">
        <x:f>Liquiditätsplan!E3</x:f>
      </x:c>
      <x:c r="C4" s="146" t="e">
        <x:f>Liquiditätsplan!G3</x:f>
      </x:c>
      <x:c r="D4" s="146" t="e">
        <x:f>Liquiditätsplan!H3</x:f>
      </x:c>
      <x:c r="E4" s="146" t="e">
        <x:f>Liquiditätsplan!I3</x:f>
      </x:c>
      <x:c r="F4" s="146" t="e">
        <x:f>Liquiditätsplan!J3</x:f>
      </x:c>
      <x:c r="G4" s="146" t="n">
        <x:f>SUMIFS(Steuerkalender!$D$2:$D$100,Steuerkalender!$B$2:$B$100,"&gt;="&amp;A4,Steuerkalender!$B$2:$B$100,"&lt;"&amp;EDATE(A4,1))</x:f>
        <x:v>15138.48</x:v>
      </x:c>
      <x:c r="H4" s="146" t="n">
        <x:f>SUMIFS('USt-Monatsübersicht'!$F$2:$F$115,'USt-Monatsübersicht'!$B$2:$B$115,"&gt;="&amp;A4,'USt-Monatsübersicht'!$B$2:$B$115,"&lt;"&amp;EDATE(A4,1))</x:f>
        <x:v>0</x:v>
      </x:c>
      <x:c r="I4" s="146" t="e">
        <x:f>Liquiditätsplan!L3</x:f>
      </x:c>
      <x:c r="J4" s="146">
        <x:f t="shared" si="0"/>
        <x:v>17171.32</x:v>
      </x:c>
      <x:c r="K4" s="146" t="e">
        <x:f>Liquiditätsplan!K3</x:f>
      </x:c>
      <x:c r="L4" s="146">
        <x:f t="shared" si="1"/>
        <x:v>32309.8</x:v>
      </x:c>
    </x:row>
    <x:row r="5" ht="14.399999618530273" customHeight="1">
      <x:c r="A5" s="187">
        <x:v>46266</x:v>
      </x:c>
      <x:c r="B5" s="147" t="e">
        <x:f>Liquiditätsplan!E4</x:f>
      </x:c>
      <x:c r="C5" s="147" t="e">
        <x:f>Liquiditätsplan!G4</x:f>
      </x:c>
      <x:c r="D5" s="147" t="e">
        <x:f>Liquiditätsplan!H4</x:f>
      </x:c>
      <x:c r="E5" s="147" t="e">
        <x:f>Liquiditätsplan!I4</x:f>
      </x:c>
      <x:c r="F5" s="147" t="e">
        <x:f>Liquiditätsplan!J4</x:f>
      </x:c>
      <x:c r="G5" s="147" t="n">
        <x:f>SUMIFS(Steuerkalender!$D$2:$D$100,Steuerkalender!$B$2:$B$100,"&gt;="&amp;A5,Steuerkalender!$B$2:$B$100,"&lt;"&amp;EDATE(A5,1))</x:f>
        <x:v>9336.32</x:v>
      </x:c>
      <x:c r="H5" s="147" t="n">
        <x:f>SUMIFS('USt-Monatsübersicht'!$F$2:$F$115,'USt-Monatsübersicht'!$B$2:$B$115,"&gt;="&amp;A5,'USt-Monatsübersicht'!$B$2:$B$115,"&lt;"&amp;EDATE(A5,1))</x:f>
        <x:v>1680.32</x:v>
      </x:c>
      <x:c r="I5" s="147" t="e">
        <x:f>Liquiditätsplan!L4</x:f>
      </x:c>
      <x:c r="J5" s="147">
        <x:f t="shared" si="0"/>
        <x:v>3480</x:v>
      </x:c>
      <x:c r="K5" s="147" t="e">
        <x:f>Liquiditätsplan!K4</x:f>
      </x:c>
      <x:c r="L5" s="147">
        <x:f t="shared" si="1"/>
        <x:v>14496.64</x:v>
      </x:c>
    </x:row>
    <x:row r="6" ht="14.399999618530273" customHeight="1">
      <x:c r="A6" s="186">
        <x:v>46296</x:v>
      </x:c>
      <x:c r="B6" s="146" t="e">
        <x:f>Liquiditätsplan!E5</x:f>
      </x:c>
      <x:c r="C6" s="146" t="e">
        <x:f>Liquiditätsplan!G5</x:f>
      </x:c>
      <x:c r="D6" s="146" t="e">
        <x:f>Liquiditätsplan!H5</x:f>
      </x:c>
      <x:c r="E6" s="146" t="e">
        <x:f>Liquiditätsplan!I5</x:f>
      </x:c>
      <x:c r="F6" s="146" t="e">
        <x:f>Liquiditätsplan!J5</x:f>
      </x:c>
      <x:c r="G6" s="146" t="n">
        <x:f>SUMIFS(Steuerkalender!$D$2:$D$100,Steuerkalender!$B$2:$B$100,"&gt;="&amp;A6,Steuerkalender!$B$2:$B$100,"&lt;"&amp;EDATE(A6,1))</x:f>
        <x:v>1925</x:v>
      </x:c>
      <x:c r="H6" s="146" t="n">
        <x:f>SUMIFS('USt-Monatsübersicht'!$F$2:$F$115,'USt-Monatsübersicht'!$B$2:$B$115,"&gt;="&amp;A6,'USt-Monatsübersicht'!$B$2:$B$115,"&lt;"&amp;EDATE(A6,1))</x:f>
        <x:v>0</x:v>
      </x:c>
      <x:c r="I6" s="146" t="e">
        <x:f>Liquiditätsplan!L5</x:f>
      </x:c>
      <x:c r="J6" s="146">
        <x:f t="shared" si="0"/>
        <x:v>3480</x:v>
      </x:c>
      <x:c r="K6" s="146" t="e">
        <x:f>Liquiditätsplan!K5</x:f>
      </x:c>
      <x:c r="L6" s="146">
        <x:f t="shared" si="1"/>
        <x:v>5405</x:v>
      </x:c>
    </x:row>
    <x:row r="7" ht="14.399999618530273" customHeight="1">
      <x:c r="A7" s="187">
        <x:v>46327</x:v>
      </x:c>
      <x:c r="B7" s="147" t="e">
        <x:f>Liquiditätsplan!E6</x:f>
      </x:c>
      <x:c r="C7" s="147" t="e">
        <x:f>Liquiditätsplan!G6</x:f>
      </x:c>
      <x:c r="D7" s="147" t="e">
        <x:f>Liquiditätsplan!H6</x:f>
      </x:c>
      <x:c r="E7" s="147" t="e">
        <x:f>Liquiditätsplan!I6</x:f>
      </x:c>
      <x:c r="F7" s="147" t="e">
        <x:f>Liquiditätsplan!J6</x:f>
      </x:c>
      <x:c r="G7" s="147" t="n">
        <x:f>SUMIFS(Steuerkalender!$D$2:$D$100,Steuerkalender!$B$2:$B$100,"&gt;="&amp;A7,Steuerkalender!$B$2:$B$100,"&lt;"&amp;EDATE(A7,1))</x:f>
        <x:v>2360</x:v>
      </x:c>
      <x:c r="H7" s="147" t="n">
        <x:f>SUMIFS('USt-Monatsübersicht'!$F$2:$F$115,'USt-Monatsübersicht'!$B$2:$B$115,"&gt;="&amp;A7,'USt-Monatsübersicht'!$B$2:$B$115,"&lt;"&amp;EDATE(A7,1))</x:f>
        <x:v>0</x:v>
      </x:c>
      <x:c r="I7" s="147" t="e">
        <x:f>Liquiditätsplan!L6</x:f>
      </x:c>
      <x:c r="J7" s="147">
        <x:f t="shared" si="0"/>
        <x:v>3480</x:v>
      </x:c>
      <x:c r="K7" s="147" t="e">
        <x:f>Liquiditätsplan!K6</x:f>
      </x:c>
      <x:c r="L7" s="147">
        <x:f t="shared" si="1"/>
        <x:v>5840</x:v>
      </x:c>
    </x:row>
    <x:row r="8" ht="14.399999618530273" customHeight="1">
      <x:c r="A8" s="186">
        <x:v>46357</x:v>
      </x:c>
      <x:c r="B8" s="146" t="e">
        <x:f>Liquiditätsplan!E7</x:f>
      </x:c>
      <x:c r="C8" s="146" t="e">
        <x:f>Liquiditätsplan!G7</x:f>
      </x:c>
      <x:c r="D8" s="146" t="e">
        <x:f>Liquiditätsplan!H7</x:f>
      </x:c>
      <x:c r="E8" s="146" t="e">
        <x:f>Liquiditätsplan!I7</x:f>
      </x:c>
      <x:c r="F8" s="146" t="e">
        <x:f>Liquiditätsplan!J7</x:f>
      </x:c>
      <x:c r="G8" s="146" t="n">
        <x:f>SUMIFS(Steuerkalender!$D$2:$D$100,Steuerkalender!$B$2:$B$100,"&gt;="&amp;A8,Steuerkalender!$B$2:$B$100,"&lt;"&amp;EDATE(A8,1))</x:f>
        <x:v>7656</x:v>
      </x:c>
      <x:c r="H8" s="146" t="n">
        <x:f>SUMIFS('USt-Monatsübersicht'!$F$2:$F$115,'USt-Monatsübersicht'!$B$2:$B$115,"&gt;="&amp;A8,'USt-Monatsübersicht'!$B$2:$B$115,"&lt;"&amp;EDATE(A8,1))</x:f>
        <x:v>0</x:v>
      </x:c>
      <x:c r="I8" s="146" t="e">
        <x:f>Liquiditätsplan!L7</x:f>
      </x:c>
      <x:c r="J8" s="146">
        <x:f t="shared" si="0"/>
        <x:v>3480</x:v>
      </x:c>
      <x:c r="K8" s="146" t="e">
        <x:f>Liquiditätsplan!K7</x:f>
      </x:c>
      <x:c r="L8" s="146">
        <x:f t="shared" si="1"/>
        <x:v>11136</x:v>
      </x:c>
    </x:row>
    <x:row r="9" ht="14.399999618530273" customHeight="1">
      <x:c r="A9" s="187">
        <x:v>46388</x:v>
      </x:c>
      <x:c r="B9" s="147" t="e">
        <x:f>Liquiditätsplan!E8</x:f>
      </x:c>
      <x:c r="C9" s="147" t="e">
        <x:f>Liquiditätsplan!G8</x:f>
      </x:c>
      <x:c r="D9" s="147" t="e">
        <x:f>Liquiditätsplan!H8</x:f>
      </x:c>
      <x:c r="E9" s="147" t="e">
        <x:f>Liquiditätsplan!I8</x:f>
      </x:c>
      <x:c r="F9" s="147" t="e">
        <x:f>Liquiditätsplan!J8</x:f>
      </x:c>
      <x:c r="G9" s="147" t="n">
        <x:f>SUMIFS(Steuerkalender!$D$2:$D$100,Steuerkalender!$B$2:$B$100,"&gt;="&amp;A9,Steuerkalender!$B$2:$B$100,"&lt;"&amp;EDATE(A9,1))</x:f>
        <x:v>2058</x:v>
      </x:c>
      <x:c r="H9" s="147" t="n">
        <x:f>SUMIFS('USt-Monatsübersicht'!$F$2:$F$115,'USt-Monatsübersicht'!$B$2:$B$115,"&gt;="&amp;A9,'USt-Monatsübersicht'!$B$2:$B$115,"&lt;"&amp;EDATE(A9,1))</x:f>
        <x:v>0</x:v>
      </x:c>
      <x:c r="I9" s="147" t="e">
        <x:f>Liquiditätsplan!L8</x:f>
      </x:c>
      <x:c r="J9" s="147">
        <x:f t="shared" si="0"/>
        <x:v>3480</x:v>
      </x:c>
      <x:c r="K9" s="147" t="e">
        <x:f>Liquiditätsplan!K8</x:f>
      </x:c>
      <x:c r="L9" s="147">
        <x:f t="shared" si="1"/>
        <x:v>5538</x:v>
      </x:c>
    </x:row>
    <x:row r="10" ht="14.399999618530273" customHeight="1">
      <x:c r="A10" s="186">
        <x:v>46419</x:v>
      </x:c>
      <x:c r="B10" s="146" t="e">
        <x:f>Liquiditätsplan!E9</x:f>
      </x:c>
      <x:c r="C10" s="146" t="e">
        <x:f>Liquiditätsplan!G9</x:f>
      </x:c>
      <x:c r="D10" s="146" t="e">
        <x:f>Liquiditätsplan!H9</x:f>
      </x:c>
      <x:c r="E10" s="146" t="e">
        <x:f>Liquiditätsplan!I9</x:f>
      </x:c>
      <x:c r="F10" s="146" t="e">
        <x:f>Liquiditätsplan!J9</x:f>
      </x:c>
      <x:c r="G10" s="146" t="n">
        <x:f>SUMIFS(Steuerkalender!$D$2:$D$100,Steuerkalender!$B$2:$B$100,"&gt;="&amp;A10,Steuerkalender!$B$2:$B$100,"&lt;"&amp;EDATE(A10,1))</x:f>
        <x:v>0</x:v>
      </x:c>
      <x:c r="H10" s="146" t="n">
        <x:f>SUMIFS('USt-Monatsübersicht'!$F$2:$F$115,'USt-Monatsübersicht'!$B$2:$B$115,"&gt;="&amp;A10,'USt-Monatsübersicht'!$B$2:$B$115,"&lt;"&amp;EDATE(A10,1))</x:f>
        <x:v>0</x:v>
      </x:c>
      <x:c r="I10" s="146" t="e">
        <x:f>Liquiditätsplan!L9</x:f>
      </x:c>
      <x:c r="J10" s="146">
        <x:f t="shared" si="0"/>
        <x:v>3480</x:v>
      </x:c>
      <x:c r="K10" s="146" t="e">
        <x:f>Liquiditätsplan!K9</x:f>
      </x:c>
      <x:c r="L10" s="146">
        <x:f t="shared" si="1"/>
        <x:v>3480</x:v>
      </x:c>
    </x:row>
    <x:row r="11" ht="14.399999618530273" customHeight="1">
      <x:c r="A11" s="187">
        <x:v>46447</x:v>
      </x:c>
      <x:c r="B11" s="147" t="e">
        <x:f>Liquiditätsplan!E10</x:f>
      </x:c>
      <x:c r="C11" s="147" t="e">
        <x:f>Liquiditätsplan!G10</x:f>
      </x:c>
      <x:c r="D11" s="147" t="e">
        <x:f>Liquiditätsplan!H10</x:f>
      </x:c>
      <x:c r="E11" s="147" t="e">
        <x:f>Liquiditätsplan!I10</x:f>
      </x:c>
      <x:c r="F11" s="147" t="e">
        <x:f>Liquiditätsplan!J10</x:f>
      </x:c>
      <x:c r="G11" s="147" t="n">
        <x:f>SUMIFS(Steuerkalender!$D$2:$D$100,Steuerkalender!$B$2:$B$100,"&gt;="&amp;A11,Steuerkalender!$B$2:$B$100,"&lt;"&amp;EDATE(A11,1))</x:f>
        <x:v>2865</x:v>
      </x:c>
      <x:c r="H11" s="147" t="n">
        <x:f>SUMIFS('USt-Monatsübersicht'!$F$2:$F$115,'USt-Monatsübersicht'!$B$2:$B$115,"&gt;="&amp;A11,'USt-Monatsübersicht'!$B$2:$B$115,"&lt;"&amp;EDATE(A11,1))</x:f>
        <x:v>0</x:v>
      </x:c>
      <x:c r="I11" s="147" t="e">
        <x:f>Liquiditätsplan!L10</x:f>
      </x:c>
      <x:c r="J11" s="147">
        <x:f t="shared" si="0"/>
        <x:v>3480</x:v>
      </x:c>
      <x:c r="K11" s="147" t="e">
        <x:f>Liquiditätsplan!K10</x:f>
      </x:c>
      <x:c r="L11" s="147">
        <x:f t="shared" si="1"/>
        <x:v>6345</x:v>
      </x:c>
    </x:row>
    <x:row r="12" ht="14.399999618530273" customHeight="1">
      <x:c r="A12" s="186">
        <x:v>46478</x:v>
      </x:c>
      <x:c r="B12" s="146" t="e">
        <x:f>Liquiditätsplan!E11</x:f>
      </x:c>
      <x:c r="C12" s="146" t="e">
        <x:f>Liquiditätsplan!G11</x:f>
      </x:c>
      <x:c r="D12" s="146" t="e">
        <x:f>Liquiditätsplan!H11</x:f>
      </x:c>
      <x:c r="E12" s="146" t="e">
        <x:f>Liquiditätsplan!I11</x:f>
      </x:c>
      <x:c r="F12" s="146" t="e">
        <x:f>Liquiditätsplan!J11</x:f>
      </x:c>
      <x:c r="G12" s="146" t="n">
        <x:f>SUMIFS(Steuerkalender!$D$2:$D$100,Steuerkalender!$B$2:$B$100,"&gt;="&amp;A12,Steuerkalender!$B$2:$B$100,"&lt;"&amp;EDATE(A12,1))</x:f>
        <x:v>0</x:v>
      </x:c>
      <x:c r="H12" s="146" t="n">
        <x:f>SUMIFS('USt-Monatsübersicht'!$F$2:$F$115,'USt-Monatsübersicht'!$B$2:$B$115,"&gt;="&amp;A12,'USt-Monatsübersicht'!$B$2:$B$115,"&lt;"&amp;EDATE(A12,1))</x:f>
        <x:v>0</x:v>
      </x:c>
      <x:c r="I12" s="146" t="e">
        <x:f>Liquiditätsplan!L11</x:f>
      </x:c>
      <x:c r="J12" s="146">
        <x:f t="shared" si="0"/>
        <x:v>3480</x:v>
      </x:c>
      <x:c r="K12" s="146" t="e">
        <x:f>Liquiditätsplan!K11</x:f>
      </x:c>
      <x:c r="L12" s="146">
        <x:f t="shared" si="1"/>
        <x:v>3480</x:v>
      </x:c>
    </x:row>
    <x:row r="13" ht="14.399999618530273" customHeight="1">
      <x:c r="A13" s="187">
        <x:v>46508</x:v>
      </x:c>
      <x:c r="B13" s="147" t="e">
        <x:f>Liquiditätsplan!E12</x:f>
      </x:c>
      <x:c r="C13" s="147" t="e">
        <x:f>Liquiditätsplan!G12</x:f>
      </x:c>
      <x:c r="D13" s="147" t="e">
        <x:f>Liquiditätsplan!H12</x:f>
      </x:c>
      <x:c r="E13" s="147" t="e">
        <x:f>Liquiditätsplan!I12</x:f>
      </x:c>
      <x:c r="F13" s="147" t="e">
        <x:f>Liquiditätsplan!J12</x:f>
      </x:c>
      <x:c r="G13" s="147" t="n">
        <x:f>SUMIFS(Steuerkalender!$D$2:$D$100,Steuerkalender!$B$2:$B$100,"&gt;="&amp;A13,Steuerkalender!$B$2:$B$100,"&lt;"&amp;EDATE(A13,1))</x:f>
        <x:v>0</x:v>
      </x:c>
      <x:c r="H13" s="147" t="n">
        <x:f>SUMIFS('USt-Monatsübersicht'!$F$2:$F$115,'USt-Monatsübersicht'!$B$2:$B$115,"&gt;="&amp;A13,'USt-Monatsübersicht'!$B$2:$B$115,"&lt;"&amp;EDATE(A13,1))</x:f>
        <x:v>0</x:v>
      </x:c>
      <x:c r="I13" s="147" t="e">
        <x:f>Liquiditätsplan!L12</x:f>
      </x:c>
      <x:c r="J13" s="147">
        <x:f t="shared" si="0"/>
        <x:v>3480</x:v>
      </x:c>
      <x:c r="K13" s="147" t="e">
        <x:f>Liquiditätsplan!K12</x:f>
      </x:c>
      <x:c r="L13" s="147">
        <x:f t="shared" si="1"/>
        <x:v>3480</x:v>
      </x:c>
    </x:row>
    <x:row r="14" ht="14.399999618530273" customHeight="1">
      <x:c r="A14" s="186">
        <x:v>46539</x:v>
      </x:c>
      <x:c r="B14" s="146" t="e">
        <x:f>Liquiditätsplan!E13</x:f>
      </x:c>
      <x:c r="C14" s="146" t="e">
        <x:f>Liquiditätsplan!G13</x:f>
      </x:c>
      <x:c r="D14" s="146" t="e">
        <x:f>Liquiditätsplan!H13</x:f>
      </x:c>
      <x:c r="E14" s="146" t="e">
        <x:f>Liquiditätsplan!I13</x:f>
      </x:c>
      <x:c r="F14" s="146" t="e">
        <x:f>Liquiditätsplan!J13</x:f>
      </x:c>
      <x:c r="G14" s="146" t="n">
        <x:f>SUMIFS(Steuerkalender!$D$2:$D$100,Steuerkalender!$B$2:$B$100,"&gt;="&amp;A14,Steuerkalender!$B$2:$B$100,"&lt;"&amp;EDATE(A14,1))</x:f>
        <x:v>2865</x:v>
      </x:c>
      <x:c r="H14" s="146" t="n">
        <x:f>SUMIFS('USt-Monatsübersicht'!$F$2:$F$115,'USt-Monatsübersicht'!$B$2:$B$115,"&gt;="&amp;A14,'USt-Monatsübersicht'!$B$2:$B$115,"&lt;"&amp;EDATE(A14,1))</x:f>
        <x:v>0</x:v>
      </x:c>
      <x:c r="I14" s="146" t="e">
        <x:f>Liquiditätsplan!L13</x:f>
      </x:c>
      <x:c r="J14" s="146">
        <x:f t="shared" si="0"/>
        <x:v>3480</x:v>
      </x:c>
      <x:c r="K14" s="146" t="e">
        <x:f>Liquiditätsplan!K13</x:f>
      </x:c>
      <x:c r="L14" s="146">
        <x:f t="shared" si="1"/>
        <x:v>6345</x:v>
      </x:c>
    </x:row>
    <x:row r="15" ht="14.399999618530273" customHeight="1">
      <x:c r="A15" s="187">
        <x:v>46569</x:v>
      </x:c>
      <x:c r="B15" s="147" t="e">
        <x:f>Liquiditätsplan!E14</x:f>
      </x:c>
      <x:c r="C15" s="147" t="e">
        <x:f>Liquiditätsplan!G14</x:f>
      </x:c>
      <x:c r="D15" s="147" t="e">
        <x:f>Liquiditätsplan!H14</x:f>
      </x:c>
      <x:c r="E15" s="147" t="e">
        <x:f>Liquiditätsplan!I14</x:f>
      </x:c>
      <x:c r="F15" s="147" t="e">
        <x:f>Liquiditätsplan!J14</x:f>
      </x:c>
      <x:c r="G15" s="147" t="n">
        <x:f>SUMIFS(Steuerkalender!$D$2:$D$100,Steuerkalender!$B$2:$B$100,"&gt;="&amp;A15,Steuerkalender!$B$2:$B$100,"&lt;"&amp;EDATE(A15,1))</x:f>
        <x:v>0</x:v>
      </x:c>
      <x:c r="H15" s="147" t="n">
        <x:f>SUMIFS('USt-Monatsübersicht'!$F$2:$F$115,'USt-Monatsübersicht'!$B$2:$B$115,"&gt;="&amp;A15,'USt-Monatsübersicht'!$B$2:$B$115,"&lt;"&amp;EDATE(A15,1))</x:f>
        <x:v>0</x:v>
      </x:c>
      <x:c r="I15" s="147" t="e">
        <x:f>Liquiditätsplan!L14</x:f>
      </x:c>
      <x:c r="J15" s="147">
        <x:f t="shared" si="0"/>
        <x:v>3480</x:v>
      </x:c>
      <x:c r="K15" s="147" t="e">
        <x:f>Liquiditätsplan!K14</x:f>
      </x:c>
      <x:c r="L15" s="147">
        <x:f t="shared" si="1"/>
        <x:v>3480</x:v>
      </x:c>
    </x:row>
    <x:row r="16" ht="14.399999618530273" customHeight="1">
      <x:c r="A16" s="186">
        <x:v>46600</x:v>
      </x:c>
      <x:c r="B16" s="146" t="e">
        <x:f>Liquiditätsplan!E15</x:f>
      </x:c>
      <x:c r="C16" s="146" t="e">
        <x:f>Liquiditätsplan!G15</x:f>
      </x:c>
      <x:c r="D16" s="146" t="e">
        <x:f>Liquiditätsplan!H15</x:f>
      </x:c>
      <x:c r="E16" s="146" t="e">
        <x:f>Liquiditätsplan!I15</x:f>
      </x:c>
      <x:c r="F16" s="146" t="e">
        <x:f>Liquiditätsplan!J15</x:f>
      </x:c>
      <x:c r="G16" s="146" t="n">
        <x:f>SUMIFS(Steuerkalender!$D$2:$D$100,Steuerkalender!$B$2:$B$100,"&gt;="&amp;A16,Steuerkalender!$B$2:$B$100,"&lt;"&amp;EDATE(A16,1))</x:f>
        <x:v>0</x:v>
      </x:c>
      <x:c r="H16" s="146" t="n">
        <x:f>SUMIFS('USt-Monatsübersicht'!$F$2:$F$115,'USt-Monatsübersicht'!$B$2:$B$115,"&gt;="&amp;A16,'USt-Monatsübersicht'!$B$2:$B$115,"&lt;"&amp;EDATE(A16,1))</x:f>
        <x:v>0</x:v>
      </x:c>
      <x:c r="I16" s="146" t="e">
        <x:f>Liquiditätsplan!L15</x:f>
      </x:c>
      <x:c r="J16" s="146">
        <x:f t="shared" si="0"/>
        <x:v>3480</x:v>
      </x:c>
      <x:c r="K16" s="146" t="e">
        <x:f>Liquiditätsplan!K15</x:f>
      </x:c>
      <x:c r="L16" s="146">
        <x:f t="shared" si="1"/>
        <x:v>3480</x:v>
      </x:c>
    </x:row>
    <x:row r="17" ht="14.399999618530273" customHeight="1">
      <x:c r="A17" s="187">
        <x:v>46631</x:v>
      </x:c>
      <x:c r="B17" s="147" t="e">
        <x:f>Liquiditätsplan!E16</x:f>
      </x:c>
      <x:c r="C17" s="147" t="e">
        <x:f>Liquiditätsplan!G16</x:f>
      </x:c>
      <x:c r="D17" s="147" t="e">
        <x:f>Liquiditätsplan!H16</x:f>
      </x:c>
      <x:c r="E17" s="147" t="e">
        <x:f>Liquiditätsplan!I16</x:f>
      </x:c>
      <x:c r="F17" s="147" t="e">
        <x:f>Liquiditätsplan!J16</x:f>
      </x:c>
      <x:c r="G17" s="147" t="n">
        <x:f>SUMIFS(Steuerkalender!$D$2:$D$100,Steuerkalender!$B$2:$B$100,"&gt;="&amp;A17,Steuerkalender!$B$2:$B$100,"&lt;"&amp;EDATE(A17,1))</x:f>
        <x:v>2865</x:v>
      </x:c>
      <x:c r="H17" s="147" t="n">
        <x:f>SUMIFS('USt-Monatsübersicht'!$F$2:$F$115,'USt-Monatsübersicht'!$B$2:$B$115,"&gt;="&amp;A17,'USt-Monatsübersicht'!$B$2:$B$115,"&lt;"&amp;EDATE(A17,1))</x:f>
        <x:v>0</x:v>
      </x:c>
      <x:c r="I17" s="147" t="e">
        <x:f>Liquiditätsplan!L16</x:f>
      </x:c>
      <x:c r="J17" s="147">
        <x:f t="shared" si="0"/>
        <x:v>3480</x:v>
      </x:c>
      <x:c r="K17" s="147" t="e">
        <x:f>Liquiditätsplan!K16</x:f>
      </x:c>
      <x:c r="L17" s="147">
        <x:f t="shared" si="1"/>
        <x:v>6345</x:v>
      </x:c>
    </x:row>
    <x:row r="18" ht="14.399999618530273" customHeight="1">
      <x:c r="A18" s="186">
        <x:v>46661</x:v>
      </x:c>
      <x:c r="B18" s="146" t="e">
        <x:f>Liquiditätsplan!E17</x:f>
      </x:c>
      <x:c r="C18" s="146" t="e">
        <x:f>Liquiditätsplan!G17</x:f>
      </x:c>
      <x:c r="D18" s="146" t="e">
        <x:f>Liquiditätsplan!H17</x:f>
      </x:c>
      <x:c r="E18" s="146" t="e">
        <x:f>Liquiditätsplan!I17</x:f>
      </x:c>
      <x:c r="F18" s="146" t="e">
        <x:f>Liquiditätsplan!J17</x:f>
      </x:c>
      <x:c r="G18" s="146" t="n">
        <x:f>SUMIFS(Steuerkalender!$D$2:$D$100,Steuerkalender!$B$2:$B$100,"&gt;="&amp;A18,Steuerkalender!$B$2:$B$100,"&lt;"&amp;EDATE(A18,1))</x:f>
        <x:v>0</x:v>
      </x:c>
      <x:c r="H18" s="146" t="n">
        <x:f>SUMIFS('USt-Monatsübersicht'!$F$2:$F$115,'USt-Monatsübersicht'!$B$2:$B$115,"&gt;="&amp;A18,'USt-Monatsübersicht'!$B$2:$B$115,"&lt;"&amp;EDATE(A18,1))</x:f>
        <x:v>0</x:v>
      </x:c>
      <x:c r="I18" s="146" t="e">
        <x:f>Liquiditätsplan!L17</x:f>
      </x:c>
      <x:c r="J18" s="146">
        <x:f t="shared" si="0"/>
        <x:v>3480</x:v>
      </x:c>
      <x:c r="K18" s="146" t="e">
        <x:f>Liquiditätsplan!K17</x:f>
      </x:c>
      <x:c r="L18" s="146">
        <x:f t="shared" si="1"/>
        <x:v>3480</x:v>
      </x:c>
    </x:row>
    <x:row r="19" ht="14.399999618530273" customHeight="1">
      <x:c r="A19" s="187">
        <x:v>46692</x:v>
      </x:c>
      <x:c r="B19" s="147" t="e">
        <x:f>Liquiditätsplan!E18</x:f>
      </x:c>
      <x:c r="C19" s="147" t="e">
        <x:f>Liquiditätsplan!G18</x:f>
      </x:c>
      <x:c r="D19" s="147" t="e">
        <x:f>Liquiditätsplan!H18</x:f>
      </x:c>
      <x:c r="E19" s="147" t="e">
        <x:f>Liquiditätsplan!I18</x:f>
      </x:c>
      <x:c r="F19" s="147" t="e">
        <x:f>Liquiditätsplan!J18</x:f>
      </x:c>
      <x:c r="G19" s="147" t="n">
        <x:f>SUMIFS(Steuerkalender!$D$2:$D$100,Steuerkalender!$B$2:$B$100,"&gt;="&amp;A19,Steuerkalender!$B$2:$B$100,"&lt;"&amp;EDATE(A19,1))</x:f>
        <x:v>0</x:v>
      </x:c>
      <x:c r="H19" s="147" t="n">
        <x:f>SUMIFS('USt-Monatsübersicht'!$F$2:$F$115,'USt-Monatsübersicht'!$B$2:$B$115,"&gt;="&amp;A19,'USt-Monatsübersicht'!$B$2:$B$115,"&lt;"&amp;EDATE(A19,1))</x:f>
        <x:v>0</x:v>
      </x:c>
      <x:c r="I19" s="147" t="e">
        <x:f>Liquiditätsplan!L18</x:f>
      </x:c>
      <x:c r="J19" s="147">
        <x:f t="shared" si="0"/>
        <x:v>3480</x:v>
      </x:c>
      <x:c r="K19" s="147" t="e">
        <x:f>Liquiditätsplan!K18</x:f>
      </x:c>
      <x:c r="L19" s="147">
        <x:f t="shared" si="1"/>
        <x:v>3480</x:v>
      </x:c>
    </x:row>
    <x:row r="20" ht="14.399999618530273" customHeight="1">
      <x:c r="A20" s="186">
        <x:v>46722</x:v>
      </x:c>
      <x:c r="B20" s="146" t="e">
        <x:f>Liquiditätsplan!E19</x:f>
      </x:c>
      <x:c r="C20" s="146" t="e">
        <x:f>Liquiditätsplan!G19</x:f>
      </x:c>
      <x:c r="D20" s="146" t="e">
        <x:f>Liquiditätsplan!H19</x:f>
      </x:c>
      <x:c r="E20" s="146" t="e">
        <x:f>Liquiditätsplan!I19</x:f>
      </x:c>
      <x:c r="F20" s="146" t="e">
        <x:f>Liquiditätsplan!J19</x:f>
      </x:c>
      <x:c r="G20" s="146" t="n">
        <x:f>SUMIFS(Steuerkalender!$D$2:$D$100,Steuerkalender!$B$2:$B$100,"&gt;="&amp;A20,Steuerkalender!$B$2:$B$100,"&lt;"&amp;EDATE(A20,1))</x:f>
        <x:v>2865</x:v>
      </x:c>
      <x:c r="H20" s="146" t="n">
        <x:f>SUMIFS('USt-Monatsübersicht'!$F$2:$F$115,'USt-Monatsübersicht'!$B$2:$B$115,"&gt;="&amp;A20,'USt-Monatsübersicht'!$B$2:$B$115,"&lt;"&amp;EDATE(A20,1))</x:f>
        <x:v>0</x:v>
      </x:c>
      <x:c r="I20" s="146" t="e">
        <x:f>Liquiditätsplan!L19</x:f>
      </x:c>
      <x:c r="J20" s="146">
        <x:f t="shared" si="0"/>
        <x:v>3480</x:v>
      </x:c>
      <x:c r="K20" s="146" t="e">
        <x:f>Liquiditätsplan!K19</x:f>
      </x:c>
      <x:c r="L20" s="146">
        <x:f t="shared" si="1"/>
        <x:v>6345</x:v>
      </x:c>
    </x:row>
    <x:row r="21" ht="14.399999618530273" customHeight="1">
      <x:c r="A21" s="187">
        <x:v>46753</x:v>
      </x:c>
      <x:c r="B21" s="147" t="e">
        <x:f>Liquiditätsplan!E20</x:f>
      </x:c>
      <x:c r="C21" s="147" t="e">
        <x:f>Liquiditätsplan!G20</x:f>
      </x:c>
      <x:c r="D21" s="147" t="e">
        <x:f>Liquiditätsplan!H20</x:f>
      </x:c>
      <x:c r="E21" s="147" t="e">
        <x:f>Liquiditätsplan!I20</x:f>
      </x:c>
      <x:c r="F21" s="147" t="e">
        <x:f>Liquiditätsplan!J20</x:f>
      </x:c>
      <x:c r="G21" s="147" t="n">
        <x:f>SUMIFS(Steuerkalender!$D$2:$D$100,Steuerkalender!$B$2:$B$100,"&gt;="&amp;A21,Steuerkalender!$B$2:$B$100,"&lt;"&amp;EDATE(A21,1))</x:f>
        <x:v>0</x:v>
      </x:c>
      <x:c r="H21" s="147" t="n">
        <x:f>SUMIFS('USt-Monatsübersicht'!$F$2:$F$115,'USt-Monatsübersicht'!$B$2:$B$115,"&gt;="&amp;A21,'USt-Monatsübersicht'!$B$2:$B$115,"&lt;"&amp;EDATE(A21,1))</x:f>
        <x:v>0</x:v>
      </x:c>
      <x:c r="I21" s="147" t="e">
        <x:f>Liquiditätsplan!L20</x:f>
      </x:c>
      <x:c r="J21" s="147">
        <x:f t="shared" si="0"/>
        <x:v>3480</x:v>
      </x:c>
      <x:c r="K21" s="147" t="e">
        <x:f>Liquiditätsplan!K20</x:f>
      </x:c>
      <x:c r="L21" s="147">
        <x:f t="shared" si="1"/>
        <x:v>3480</x:v>
      </x:c>
    </x:row>
    <x:row r="22" ht="14.399999618530273" customHeight="1">
      <x:c r="A22" s="186">
        <x:v>46784</x:v>
      </x:c>
      <x:c r="B22" s="146" t="e">
        <x:f>Liquiditätsplan!E21</x:f>
      </x:c>
      <x:c r="C22" s="146" t="e">
        <x:f>Liquiditätsplan!G21</x:f>
      </x:c>
      <x:c r="D22" s="146" t="e">
        <x:f>Liquiditätsplan!H21</x:f>
      </x:c>
      <x:c r="E22" s="146" t="e">
        <x:f>Liquiditätsplan!I21</x:f>
      </x:c>
      <x:c r="F22" s="146" t="e">
        <x:f>Liquiditätsplan!J21</x:f>
      </x:c>
      <x:c r="G22" s="146" t="n">
        <x:f>SUMIFS(Steuerkalender!$D$2:$D$100,Steuerkalender!$B$2:$B$100,"&gt;="&amp;A22,Steuerkalender!$B$2:$B$100,"&lt;"&amp;EDATE(A22,1))</x:f>
        <x:v>0</x:v>
      </x:c>
      <x:c r="H22" s="146" t="n">
        <x:f>SUMIFS('USt-Monatsübersicht'!$F$2:$F$115,'USt-Monatsübersicht'!$B$2:$B$115,"&gt;="&amp;A22,'USt-Monatsübersicht'!$B$2:$B$115,"&lt;"&amp;EDATE(A22,1))</x:f>
        <x:v>0</x:v>
      </x:c>
      <x:c r="I22" s="146" t="e">
        <x:f>Liquiditätsplan!L21</x:f>
      </x:c>
      <x:c r="J22" s="146">
        <x:f t="shared" si="0"/>
        <x:v>3480</x:v>
      </x:c>
      <x:c r="K22" s="146" t="e">
        <x:f>Liquiditätsplan!K21</x:f>
      </x:c>
      <x:c r="L22" s="146">
        <x:f t="shared" si="1"/>
        <x:v>3480</x:v>
      </x:c>
    </x:row>
    <x:row r="23" ht="14.399999618530273" customHeight="1">
      <x:c r="A23" s="187">
        <x:v>46813</x:v>
      </x:c>
      <x:c r="B23" s="147" t="e">
        <x:f>Liquiditätsplan!E22</x:f>
      </x:c>
      <x:c r="C23" s="147" t="e">
        <x:f>Liquiditätsplan!G22</x:f>
      </x:c>
      <x:c r="D23" s="147" t="e">
        <x:f>Liquiditätsplan!H22</x:f>
      </x:c>
      <x:c r="E23" s="147" t="e">
        <x:f>Liquiditätsplan!I22</x:f>
      </x:c>
      <x:c r="F23" s="147" t="e">
        <x:f>Liquiditätsplan!J22</x:f>
      </x:c>
      <x:c r="G23" s="147" t="n">
        <x:f>SUMIFS(Steuerkalender!$D$2:$D$100,Steuerkalender!$B$2:$B$100,"&gt;="&amp;A23,Steuerkalender!$B$2:$B$100,"&lt;"&amp;EDATE(A23,1))</x:f>
        <x:v>0</x:v>
      </x:c>
      <x:c r="H23" s="147" t="n">
        <x:f>SUMIFS('USt-Monatsübersicht'!$F$2:$F$115,'USt-Monatsübersicht'!$B$2:$B$115,"&gt;="&amp;A23,'USt-Monatsübersicht'!$B$2:$B$115,"&lt;"&amp;EDATE(A23,1))</x:f>
        <x:v>0</x:v>
      </x:c>
      <x:c r="I23" s="147" t="e">
        <x:f>Liquiditätsplan!L22</x:f>
      </x:c>
      <x:c r="J23" s="147">
        <x:f t="shared" si="0"/>
        <x:v>3480</x:v>
      </x:c>
      <x:c r="K23" s="147" t="e">
        <x:f>Liquiditätsplan!K22</x:f>
      </x:c>
      <x:c r="L23" s="147">
        <x:f t="shared" si="1"/>
        <x:v>3480</x:v>
      </x:c>
    </x:row>
    <x:row r="24" ht="14.399999618530273" customHeight="1">
      <x:c r="A24" s="114">
        <x:v>46844</x:v>
      </x:c>
      <x:c r="B24" s="149" t="e">
        <x:f>Liquiditätsplan!E23</x:f>
      </x:c>
      <x:c r="C24" s="149" t="e">
        <x:f>Liquiditätsplan!G23</x:f>
      </x:c>
      <x:c r="D24" s="149" t="e">
        <x:f>Liquiditätsplan!H23</x:f>
      </x:c>
      <x:c r="E24" s="149" t="e">
        <x:f>Liquiditätsplan!I23</x:f>
      </x:c>
      <x:c r="F24" s="149" t="e">
        <x:f>Liquiditätsplan!J23</x:f>
      </x:c>
      <x:c r="G24" s="149" t="n">
        <x:f>SUMIFS(Steuerkalender!$D$2:$D$100,Steuerkalender!$B$2:$B$100,"&gt;="&amp;A24,Steuerkalender!$B$2:$B$100,"&lt;"&amp;EDATE(A24,1))</x:f>
        <x:v>0</x:v>
      </x:c>
      <x:c r="H24" s="149" t="n">
        <x:f>SUMIFS('USt-Monatsübersicht'!$F$2:$F$115,'USt-Monatsübersicht'!$B$2:$B$115,"&gt;="&amp;A24,'USt-Monatsübersicht'!$B$2:$B$115,"&lt;"&amp;EDATE(A24,1))</x:f>
        <x:v>0</x:v>
      </x:c>
      <x:c r="I24" s="149" t="e">
        <x:f>Liquiditätsplan!L23</x:f>
      </x:c>
      <x:c r="J24" s="149">
        <x:f t="shared" si="0"/>
        <x:v>3480</x:v>
      </x:c>
      <x:c r="K24" s="149" t="e">
        <x:f>Liquiditätsplan!K23</x:f>
      </x:c>
      <x:c r="L24" s="149">
        <x:f t="shared" si="1"/>
        <x:v>3480</x:v>
      </x:c>
    </x:row>
    <x:row r="25" ht="14.399999618530273" customHeight="1">
      <x:c r="A25" s="185">
        <x:v>46874</x:v>
      </x:c>
      <x:c r="B25" s="148" t="e">
        <x:f>Liquiditätsplan!E24</x:f>
      </x:c>
      <x:c r="C25" s="148" t="e">
        <x:f>Liquiditätsplan!G24</x:f>
      </x:c>
      <x:c r="D25" s="148" t="e">
        <x:f>Liquiditätsplan!H24</x:f>
      </x:c>
      <x:c r="E25" s="148" t="e">
        <x:f>Liquiditätsplan!I24</x:f>
      </x:c>
      <x:c r="F25" s="148" t="e">
        <x:f>Liquiditätsplan!J24</x:f>
      </x:c>
      <x:c r="G25" s="148" t="n">
        <x:f>SUMIFS(Steuerkalender!$D$2:$D$100,Steuerkalender!$B$2:$B$100,"&gt;="&amp;A25,Steuerkalender!$B$2:$B$100,"&lt;"&amp;EDATE(A25,1))</x:f>
        <x:v>0</x:v>
      </x:c>
      <x:c r="H25" s="148" t="n">
        <x:f>SUMIFS('USt-Monatsübersicht'!$F$2:$F$115,'USt-Monatsübersicht'!$B$2:$B$115,"&gt;="&amp;A25,'USt-Monatsübersicht'!$B$2:$B$115,"&lt;"&amp;EDATE(A25,1))</x:f>
        <x:v>0</x:v>
      </x:c>
      <x:c r="I25" s="148" t="e">
        <x:f>Liquiditätsplan!L24</x:f>
      </x:c>
      <x:c r="J25" s="148">
        <x:f t="shared" si="0"/>
        <x:v>3480</x:v>
      </x:c>
      <x:c r="K25" s="148" t="e">
        <x:f>Liquiditätsplan!K24</x:f>
      </x:c>
      <x:c r="L25" s="148">
        <x:f t="shared" si="1"/>
        <x:v>3480</x:v>
      </x:c>
    </x:row>
    <x:row r="26" ht="14.399999618530273" customHeight="1">
      <x:c r="A26" s="186">
        <x:v>46905</x:v>
      </x:c>
      <x:c r="B26" s="146" t="e">
        <x:f>Liquiditätsplan!E25</x:f>
      </x:c>
      <x:c r="C26" s="146" t="e">
        <x:f>Liquiditätsplan!G25</x:f>
      </x:c>
      <x:c r="D26" s="146" t="e">
        <x:f>Liquiditätsplan!H25</x:f>
      </x:c>
      <x:c r="E26" s="146" t="e">
        <x:f>Liquiditätsplan!I25</x:f>
      </x:c>
      <x:c r="F26" s="146" t="e">
        <x:f>Liquiditätsplan!J25</x:f>
      </x:c>
      <x:c r="G26" s="146" t="n">
        <x:f>SUMIFS(Steuerkalender!$D$2:$D$100,Steuerkalender!$B$2:$B$100,"&gt;="&amp;A26,Steuerkalender!$B$2:$B$100,"&lt;"&amp;EDATE(A26,1))</x:f>
        <x:v>0</x:v>
      </x:c>
      <x:c r="H26" s="146" t="n">
        <x:f>SUMIFS('USt-Monatsübersicht'!$F$2:$F$115,'USt-Monatsübersicht'!$B$2:$B$115,"&gt;="&amp;A26,'USt-Monatsübersicht'!$B$2:$B$115,"&lt;"&amp;EDATE(A26,1))</x:f>
        <x:v>0</x:v>
      </x:c>
      <x:c r="I26" s="146" t="e">
        <x:f>Liquiditätsplan!L25</x:f>
      </x:c>
      <x:c r="J26" s="146">
        <x:f t="shared" si="0"/>
        <x:v>3480</x:v>
      </x:c>
      <x:c r="K26" s="146" t="e">
        <x:f>Liquiditätsplan!K25</x:f>
      </x:c>
      <x:c r="L26" s="146">
        <x:f t="shared" si="1"/>
        <x:v>3480</x:v>
      </x:c>
    </x:row>
    <x:row r="27" ht="14.399999618530273" customHeight="1">
      <x:c r="A27" s="187">
        <x:v>46935</x:v>
      </x:c>
      <x:c r="B27" s="147" t="e">
        <x:f>Liquiditätsplan!E26</x:f>
      </x:c>
      <x:c r="C27" s="147" t="e">
        <x:f>Liquiditätsplan!G26</x:f>
      </x:c>
      <x:c r="D27" s="147" t="e">
        <x:f>Liquiditätsplan!H26</x:f>
      </x:c>
      <x:c r="E27" s="147" t="e">
        <x:f>Liquiditätsplan!I26</x:f>
      </x:c>
      <x:c r="F27" s="147" t="e">
        <x:f>Liquiditätsplan!J26</x:f>
      </x:c>
      <x:c r="G27" s="147" t="n">
        <x:f>SUMIFS(Steuerkalender!$D$2:$D$100,Steuerkalender!$B$2:$B$100,"&gt;="&amp;A27,Steuerkalender!$B$2:$B$100,"&lt;"&amp;EDATE(A27,1))</x:f>
        <x:v>0</x:v>
      </x:c>
      <x:c r="H27" s="147" t="n">
        <x:f>SUMIFS('USt-Monatsübersicht'!$F$2:$F$115,'USt-Monatsübersicht'!$B$2:$B$115,"&gt;="&amp;A27,'USt-Monatsübersicht'!$B$2:$B$115,"&lt;"&amp;EDATE(A27,1))</x:f>
        <x:v>0</x:v>
      </x:c>
      <x:c r="I27" s="147" t="e">
        <x:f>Liquiditätsplan!L26</x:f>
      </x:c>
      <x:c r="J27" s="147">
        <x:f t="shared" si="0"/>
        <x:v>3480</x:v>
      </x:c>
      <x:c r="K27" s="147" t="e">
        <x:f>Liquiditätsplan!K26</x:f>
      </x:c>
      <x:c r="L27" s="147">
        <x:f t="shared" si="1"/>
        <x:v>3480</x:v>
      </x:c>
    </x:row>
    <x:row r="28" ht="14.399999618530273" customHeight="1">
      <x:c r="A28" s="186">
        <x:v>46966</x:v>
      </x:c>
      <x:c r="B28" s="146" t="e">
        <x:f>Liquiditätsplan!E27</x:f>
      </x:c>
      <x:c r="C28" s="146" t="e">
        <x:f>Liquiditätsplan!G27</x:f>
      </x:c>
      <x:c r="D28" s="146" t="e">
        <x:f>Liquiditätsplan!H27</x:f>
      </x:c>
      <x:c r="E28" s="146" t="e">
        <x:f>Liquiditätsplan!I27</x:f>
      </x:c>
      <x:c r="F28" s="146" t="e">
        <x:f>Liquiditätsplan!J27</x:f>
      </x:c>
      <x:c r="G28" s="146" t="n">
        <x:f>SUMIFS(Steuerkalender!$D$2:$D$100,Steuerkalender!$B$2:$B$100,"&gt;="&amp;A28,Steuerkalender!$B$2:$B$100,"&lt;"&amp;EDATE(A28,1))</x:f>
        <x:v>0</x:v>
      </x:c>
      <x:c r="H28" s="146" t="n">
        <x:f>SUMIFS('USt-Monatsübersicht'!$F$2:$F$115,'USt-Monatsübersicht'!$B$2:$B$115,"&gt;="&amp;A28,'USt-Monatsübersicht'!$B$2:$B$115,"&lt;"&amp;EDATE(A28,1))</x:f>
        <x:v>0</x:v>
      </x:c>
      <x:c r="I28" s="146" t="e">
        <x:f>Liquiditätsplan!L27</x:f>
      </x:c>
      <x:c r="J28" s="146">
        <x:f t="shared" si="0"/>
        <x:v>3480</x:v>
      </x:c>
      <x:c r="K28" s="146" t="e">
        <x:f>Liquiditätsplan!K27</x:f>
      </x:c>
      <x:c r="L28" s="146">
        <x:f t="shared" si="1"/>
        <x:v>3480</x:v>
      </x:c>
    </x:row>
    <x:row r="29" ht="14.399999618530273" customHeight="1">
      <x:c r="A29" s="187">
        <x:v>46997</x:v>
      </x:c>
      <x:c r="B29" s="147" t="e">
        <x:f>Liquiditätsplan!E28</x:f>
      </x:c>
      <x:c r="C29" s="147" t="e">
        <x:f>Liquiditätsplan!G28</x:f>
      </x:c>
      <x:c r="D29" s="147" t="e">
        <x:f>Liquiditätsplan!H28</x:f>
      </x:c>
      <x:c r="E29" s="147" t="e">
        <x:f>Liquiditätsplan!I28</x:f>
      </x:c>
      <x:c r="F29" s="147" t="e">
        <x:f>Liquiditätsplan!J28</x:f>
      </x:c>
      <x:c r="G29" s="147" t="n">
        <x:f>SUMIFS(Steuerkalender!$D$2:$D$100,Steuerkalender!$B$2:$B$100,"&gt;="&amp;A29,Steuerkalender!$B$2:$B$100,"&lt;"&amp;EDATE(A29,1))</x:f>
        <x:v>0</x:v>
      </x:c>
      <x:c r="H29" s="147" t="n">
        <x:f>SUMIFS('USt-Monatsübersicht'!$F$2:$F$115,'USt-Monatsübersicht'!$B$2:$B$115,"&gt;="&amp;A29,'USt-Monatsübersicht'!$B$2:$B$115,"&lt;"&amp;EDATE(A29,1))</x:f>
        <x:v>0</x:v>
      </x:c>
      <x:c r="I29" s="147" t="e">
        <x:f>Liquiditätsplan!L28</x:f>
      </x:c>
      <x:c r="J29" s="147">
        <x:f t="shared" si="0"/>
        <x:v>3480</x:v>
      </x:c>
      <x:c r="K29" s="147" t="e">
        <x:f>Liquiditätsplan!K28</x:f>
      </x:c>
      <x:c r="L29" s="147">
        <x:f t="shared" si="1"/>
        <x:v>3480</x:v>
      </x:c>
    </x:row>
    <x:row r="30" ht="14.399999618530273" customHeight="1">
      <x:c r="A30" s="186">
        <x:v>47027</x:v>
      </x:c>
      <x:c r="B30" s="146" t="e">
        <x:f>Liquiditätsplan!E29</x:f>
      </x:c>
      <x:c r="C30" s="146" t="e">
        <x:f>Liquiditätsplan!G29</x:f>
      </x:c>
      <x:c r="D30" s="146" t="e">
        <x:f>Liquiditätsplan!H29</x:f>
      </x:c>
      <x:c r="E30" s="146" t="e">
        <x:f>Liquiditätsplan!I29</x:f>
      </x:c>
      <x:c r="F30" s="146" t="e">
        <x:f>Liquiditätsplan!J29</x:f>
      </x:c>
      <x:c r="G30" s="146" t="n">
        <x:f>SUMIFS(Steuerkalender!$D$2:$D$100,Steuerkalender!$B$2:$B$100,"&gt;="&amp;A30,Steuerkalender!$B$2:$B$100,"&lt;"&amp;EDATE(A30,1))</x:f>
        <x:v>0</x:v>
      </x:c>
      <x:c r="H30" s="146" t="n">
        <x:f>SUMIFS('USt-Monatsübersicht'!$F$2:$F$115,'USt-Monatsübersicht'!$B$2:$B$115,"&gt;="&amp;A30,'USt-Monatsübersicht'!$B$2:$B$115,"&lt;"&amp;EDATE(A30,1))</x:f>
        <x:v>0</x:v>
      </x:c>
      <x:c r="I30" s="146" t="e">
        <x:f>Liquiditätsplan!L29</x:f>
      </x:c>
      <x:c r="J30" s="146">
        <x:f t="shared" si="0"/>
        <x:v>3480</x:v>
      </x:c>
      <x:c r="K30" s="146" t="e">
        <x:f>Liquiditätsplan!K29</x:f>
      </x:c>
      <x:c r="L30" s="146">
        <x:f t="shared" si="1"/>
        <x:v>3480</x:v>
      </x:c>
    </x:row>
    <x:row r="31" ht="14.399999618530273" customHeight="1">
      <x:c r="A31" s="187">
        <x:v>47058</x:v>
      </x:c>
      <x:c r="B31" s="147" t="e">
        <x:f>Liquiditätsplan!E30</x:f>
      </x:c>
      <x:c r="C31" s="147" t="e">
        <x:f>Liquiditätsplan!G30</x:f>
      </x:c>
      <x:c r="D31" s="147" t="e">
        <x:f>Liquiditätsplan!H30</x:f>
      </x:c>
      <x:c r="E31" s="147" t="e">
        <x:f>Liquiditätsplan!I30</x:f>
      </x:c>
      <x:c r="F31" s="147" t="e">
        <x:f>Liquiditätsplan!J30</x:f>
      </x:c>
      <x:c r="G31" s="147" t="n">
        <x:f>SUMIFS(Steuerkalender!$D$2:$D$100,Steuerkalender!$B$2:$B$100,"&gt;="&amp;A31,Steuerkalender!$B$2:$B$100,"&lt;"&amp;EDATE(A31,1))</x:f>
        <x:v>0</x:v>
      </x:c>
      <x:c r="H31" s="147" t="n">
        <x:f>SUMIFS('USt-Monatsübersicht'!$F$2:$F$115,'USt-Monatsübersicht'!$B$2:$B$115,"&gt;="&amp;A31,'USt-Monatsübersicht'!$B$2:$B$115,"&lt;"&amp;EDATE(A31,1))</x:f>
        <x:v>0</x:v>
      </x:c>
      <x:c r="I31" s="147" t="e">
        <x:f>Liquiditätsplan!L30</x:f>
      </x:c>
      <x:c r="J31" s="147">
        <x:f t="shared" si="0"/>
        <x:v>3480</x:v>
      </x:c>
      <x:c r="K31" s="147" t="e">
        <x:f>Liquiditätsplan!K30</x:f>
      </x:c>
      <x:c r="L31" s="147">
        <x:f t="shared" si="1"/>
        <x:v>3480</x:v>
      </x:c>
    </x:row>
    <x:row r="32" ht="14.399999618530273" customHeight="1">
      <x:c r="A32" s="186">
        <x:v>47088</x:v>
      </x:c>
      <x:c r="B32" s="146" t="e">
        <x:f>Liquiditätsplan!E31</x:f>
      </x:c>
      <x:c r="C32" s="146" t="e">
        <x:f>Liquiditätsplan!G31</x:f>
      </x:c>
      <x:c r="D32" s="146" t="e">
        <x:f>Liquiditätsplan!H31</x:f>
      </x:c>
      <x:c r="E32" s="146" t="e">
        <x:f>Liquiditätsplan!I31</x:f>
      </x:c>
      <x:c r="F32" s="146" t="e">
        <x:f>Liquiditätsplan!J31</x:f>
      </x:c>
      <x:c r="G32" s="146" t="n">
        <x:f>SUMIFS(Steuerkalender!$D$2:$D$100,Steuerkalender!$B$2:$B$100,"&gt;="&amp;A32,Steuerkalender!$B$2:$B$100,"&lt;"&amp;EDATE(A32,1))</x:f>
        <x:v>0</x:v>
      </x:c>
      <x:c r="H32" s="146" t="n">
        <x:f>SUMIFS('USt-Monatsübersicht'!$F$2:$F$115,'USt-Monatsübersicht'!$B$2:$B$115,"&gt;="&amp;A32,'USt-Monatsübersicht'!$B$2:$B$115,"&lt;"&amp;EDATE(A32,1))</x:f>
        <x:v>0</x:v>
      </x:c>
      <x:c r="I32" s="146" t="e">
        <x:f>Liquiditätsplan!L31</x:f>
      </x:c>
      <x:c r="J32" s="146">
        <x:f t="shared" si="0"/>
        <x:v>3480</x:v>
      </x:c>
      <x:c r="K32" s="146" t="e">
        <x:f>Liquiditätsplan!K31</x:f>
      </x:c>
      <x:c r="L32" s="146">
        <x:f t="shared" si="1"/>
        <x:v>3480</x:v>
      </x:c>
    </x:row>
    <x:row r="33" ht="14.399999618530273" customHeight="1">
      <x:c r="A33" s="187">
        <x:v>47119</x:v>
      </x:c>
      <x:c r="B33" s="147" t="e">
        <x:f>Liquiditätsplan!E32</x:f>
      </x:c>
      <x:c r="C33" s="147" t="e">
        <x:f>Liquiditätsplan!G32</x:f>
      </x:c>
      <x:c r="D33" s="147" t="e">
        <x:f>Liquiditätsplan!H32</x:f>
      </x:c>
      <x:c r="E33" s="147" t="e">
        <x:f>Liquiditätsplan!I32</x:f>
      </x:c>
      <x:c r="F33" s="147" t="e">
        <x:f>Liquiditätsplan!J32</x:f>
      </x:c>
      <x:c r="G33" s="147" t="n">
        <x:f>SUMIFS(Steuerkalender!$D$2:$D$100,Steuerkalender!$B$2:$B$100,"&gt;="&amp;A33,Steuerkalender!$B$2:$B$100,"&lt;"&amp;EDATE(A33,1))</x:f>
        <x:v>0</x:v>
      </x:c>
      <x:c r="H33" s="147" t="n">
        <x:f>SUMIFS('USt-Monatsübersicht'!$F$2:$F$115,'USt-Monatsübersicht'!$B$2:$B$115,"&gt;="&amp;A33,'USt-Monatsübersicht'!$B$2:$B$115,"&lt;"&amp;EDATE(A33,1))</x:f>
        <x:v>0</x:v>
      </x:c>
      <x:c r="I33" s="147" t="e">
        <x:f>Liquiditätsplan!L32</x:f>
      </x:c>
      <x:c r="J33" s="147">
        <x:f t="shared" si="0"/>
        <x:v>3480</x:v>
      </x:c>
      <x:c r="K33" s="147" t="e">
        <x:f>Liquiditätsplan!K32</x:f>
      </x:c>
      <x:c r="L33" s="147">
        <x:f t="shared" si="1"/>
        <x:v>3480</x:v>
      </x:c>
    </x:row>
    <x:row r="34" ht="14.399999618530273" customHeight="1">
      <x:c r="A34" s="186">
        <x:v>47150</x:v>
      </x:c>
      <x:c r="B34" s="146" t="e">
        <x:f>Liquiditätsplan!E33</x:f>
      </x:c>
      <x:c r="C34" s="146" t="e">
        <x:f>Liquiditätsplan!G33</x:f>
      </x:c>
      <x:c r="D34" s="146" t="e">
        <x:f>Liquiditätsplan!H33</x:f>
      </x:c>
      <x:c r="E34" s="146" t="e">
        <x:f>Liquiditätsplan!I33</x:f>
      </x:c>
      <x:c r="F34" s="146" t="e">
        <x:f>Liquiditätsplan!J33</x:f>
      </x:c>
      <x:c r="G34" s="146" t="n">
        <x:f>SUMIFS(Steuerkalender!$D$2:$D$100,Steuerkalender!$B$2:$B$100,"&gt;="&amp;A34,Steuerkalender!$B$2:$B$100,"&lt;"&amp;EDATE(A34,1))</x:f>
        <x:v>0</x:v>
      </x:c>
      <x:c r="H34" s="146" t="n">
        <x:f>SUMIFS('USt-Monatsübersicht'!$F$2:$F$115,'USt-Monatsübersicht'!$B$2:$B$115,"&gt;="&amp;A34,'USt-Monatsübersicht'!$B$2:$B$115,"&lt;"&amp;EDATE(A34,1))</x:f>
        <x:v>0</x:v>
      </x:c>
      <x:c r="I34" s="146" t="e">
        <x:f>Liquiditätsplan!L33</x:f>
      </x:c>
      <x:c r="J34" s="146">
        <x:f t="shared" si="0"/>
        <x:v>3480</x:v>
      </x:c>
      <x:c r="K34" s="146" t="e">
        <x:f>Liquiditätsplan!K33</x:f>
      </x:c>
      <x:c r="L34" s="146">
        <x:f t="shared" si="1"/>
        <x:v>3480</x:v>
      </x:c>
    </x:row>
    <x:row r="35" ht="14.399999618530273" customHeight="1">
      <x:c r="A35" s="187">
        <x:v>47178</x:v>
      </x:c>
      <x:c r="B35" s="147" t="e">
        <x:f>Liquiditätsplan!E34</x:f>
      </x:c>
      <x:c r="C35" s="147" t="e">
        <x:f>Liquiditätsplan!G34</x:f>
      </x:c>
      <x:c r="D35" s="147" t="e">
        <x:f>Liquiditätsplan!H34</x:f>
      </x:c>
      <x:c r="E35" s="147" t="e">
        <x:f>Liquiditätsplan!I34</x:f>
      </x:c>
      <x:c r="F35" s="147" t="e">
        <x:f>Liquiditätsplan!J34</x:f>
      </x:c>
      <x:c r="G35" s="147" t="n">
        <x:f>SUMIFS(Steuerkalender!$D$2:$D$100,Steuerkalender!$B$2:$B$100,"&gt;="&amp;A35,Steuerkalender!$B$2:$B$100,"&lt;"&amp;EDATE(A35,1))</x:f>
        <x:v>0</x:v>
      </x:c>
      <x:c r="H35" s="147" t="n">
        <x:f>SUMIFS('USt-Monatsübersicht'!$F$2:$F$115,'USt-Monatsübersicht'!$B$2:$B$115,"&gt;="&amp;A35,'USt-Monatsübersicht'!$B$2:$B$115,"&lt;"&amp;EDATE(A35,1))</x:f>
        <x:v>0</x:v>
      </x:c>
      <x:c r="I35" s="147" t="e">
        <x:f>Liquiditätsplan!L34</x:f>
      </x:c>
      <x:c r="J35" s="147" t="e">
        <x:f t="shared" ref="J35:J66" si="2">SUM(B35:F35)+I35</x:f>
      </x:c>
      <x:c r="K35" s="147" t="e">
        <x:f>Liquiditätsplan!K34</x:f>
      </x:c>
      <x:c r="L35" s="147" t="e">
        <x:f t="shared" ref="L35:L66" si="3">SUM(B35:I35)+K35</x:f>
      </x:c>
    </x:row>
    <x:row r="36" ht="14.399999618530273" customHeight="1">
      <x:c r="A36" s="186">
        <x:v>47209</x:v>
      </x:c>
      <x:c r="B36" s="146" t="e">
        <x:f>Liquiditätsplan!E35</x:f>
      </x:c>
      <x:c r="C36" s="146" t="e">
        <x:f>Liquiditätsplan!G35</x:f>
      </x:c>
      <x:c r="D36" s="146" t="e">
        <x:f>Liquiditätsplan!H35</x:f>
      </x:c>
      <x:c r="E36" s="146" t="e">
        <x:f>Liquiditätsplan!I35</x:f>
      </x:c>
      <x:c r="F36" s="146" t="e">
        <x:f>Liquiditätsplan!J35</x:f>
      </x:c>
      <x:c r="G36" s="146" t="n">
        <x:f>SUMIFS(Steuerkalender!$D$2:$D$100,Steuerkalender!$B$2:$B$100,"&gt;="&amp;A36,Steuerkalender!$B$2:$B$100,"&lt;"&amp;EDATE(A36,1))</x:f>
        <x:v>0</x:v>
      </x:c>
      <x:c r="H36" s="146" t="n">
        <x:f>SUMIFS('USt-Monatsübersicht'!$F$2:$F$115,'USt-Monatsübersicht'!$B$2:$B$115,"&gt;="&amp;A36,'USt-Monatsübersicht'!$B$2:$B$115,"&lt;"&amp;EDATE(A36,1))</x:f>
        <x:v>0</x:v>
      </x:c>
      <x:c r="I36" s="146" t="e">
        <x:f>Liquiditätsplan!L35</x:f>
      </x:c>
      <x:c r="J36" s="146">
        <x:f t="shared" si="2"/>
        <x:v>3480</x:v>
      </x:c>
      <x:c r="K36" s="146" t="e">
        <x:f>Liquiditätsplan!K35</x:f>
      </x:c>
      <x:c r="L36" s="146">
        <x:f t="shared" si="3"/>
        <x:v>3480</x:v>
      </x:c>
    </x:row>
    <x:row r="37" ht="14.399999618530273" customHeight="1">
      <x:c r="A37" s="187">
        <x:v>47239</x:v>
      </x:c>
      <x:c r="B37" s="147" t="e">
        <x:f>Liquiditätsplan!E36</x:f>
      </x:c>
      <x:c r="C37" s="147" t="e">
        <x:f>Liquiditätsplan!G36</x:f>
      </x:c>
      <x:c r="D37" s="147" t="e">
        <x:f>Liquiditätsplan!H36</x:f>
      </x:c>
      <x:c r="E37" s="147" t="e">
        <x:f>Liquiditätsplan!I36</x:f>
      </x:c>
      <x:c r="F37" s="147" t="e">
        <x:f>Liquiditätsplan!J36</x:f>
      </x:c>
      <x:c r="G37" s="147" t="n">
        <x:f>SUMIFS(Steuerkalender!$D$2:$D$100,Steuerkalender!$B$2:$B$100,"&gt;="&amp;A37,Steuerkalender!$B$2:$B$100,"&lt;"&amp;EDATE(A37,1))</x:f>
        <x:v>0</x:v>
      </x:c>
      <x:c r="H37" s="147" t="n">
        <x:f>SUMIFS('USt-Monatsübersicht'!$F$2:$F$115,'USt-Monatsübersicht'!$B$2:$B$115,"&gt;="&amp;A37,'USt-Monatsübersicht'!$B$2:$B$115,"&lt;"&amp;EDATE(A37,1))</x:f>
        <x:v>0</x:v>
      </x:c>
      <x:c r="I37" s="147" t="e">
        <x:f>Liquiditätsplan!L36</x:f>
      </x:c>
      <x:c r="J37" s="147">
        <x:f t="shared" si="2"/>
        <x:v>3480</x:v>
      </x:c>
      <x:c r="K37" s="147" t="e">
        <x:f>Liquiditätsplan!K36</x:f>
      </x:c>
      <x:c r="L37" s="147">
        <x:f t="shared" si="3"/>
        <x:v>3480</x:v>
      </x:c>
    </x:row>
    <x:row r="38" ht="14.399999618530273" customHeight="1">
      <x:c r="A38" s="186">
        <x:v>47270</x:v>
      </x:c>
      <x:c r="B38" s="146" t="e">
        <x:f>Liquiditätsplan!E37</x:f>
      </x:c>
      <x:c r="C38" s="146" t="e">
        <x:f>Liquiditätsplan!G37</x:f>
      </x:c>
      <x:c r="D38" s="146" t="e">
        <x:f>Liquiditätsplan!H37</x:f>
      </x:c>
      <x:c r="E38" s="146" t="e">
        <x:f>Liquiditätsplan!I37</x:f>
      </x:c>
      <x:c r="F38" s="146" t="e">
        <x:f>Liquiditätsplan!J37</x:f>
      </x:c>
      <x:c r="G38" s="146" t="n">
        <x:f>SUMIFS(Steuerkalender!$D$2:$D$100,Steuerkalender!$B$2:$B$100,"&gt;="&amp;A38,Steuerkalender!$B$2:$B$100,"&lt;"&amp;EDATE(A38,1))</x:f>
        <x:v>0</x:v>
      </x:c>
      <x:c r="H38" s="146" t="n">
        <x:f>SUMIFS('USt-Monatsübersicht'!$F$2:$F$115,'USt-Monatsübersicht'!$B$2:$B$115,"&gt;="&amp;A38,'USt-Monatsübersicht'!$B$2:$B$115,"&lt;"&amp;EDATE(A38,1))</x:f>
        <x:v>0</x:v>
      </x:c>
      <x:c r="I38" s="146" t="e">
        <x:f>Liquiditätsplan!L37</x:f>
      </x:c>
      <x:c r="J38" s="146">
        <x:f t="shared" si="2"/>
        <x:v>3480</x:v>
      </x:c>
      <x:c r="K38" s="146" t="e">
        <x:f>Liquiditätsplan!K37</x:f>
      </x:c>
      <x:c r="L38" s="146">
        <x:f t="shared" si="3"/>
        <x:v>3480</x:v>
      </x:c>
    </x:row>
    <x:row r="39" ht="14.399999618530273" customHeight="1">
      <x:c r="A39" s="187">
        <x:v>47300</x:v>
      </x:c>
      <x:c r="B39" s="147" t="e">
        <x:f>Liquiditätsplan!E38</x:f>
      </x:c>
      <x:c r="C39" s="147" t="e">
        <x:f>Liquiditätsplan!G38</x:f>
      </x:c>
      <x:c r="D39" s="147" t="e">
        <x:f>Liquiditätsplan!H38</x:f>
      </x:c>
      <x:c r="E39" s="147" t="e">
        <x:f>Liquiditätsplan!I38</x:f>
      </x:c>
      <x:c r="F39" s="147" t="e">
        <x:f>Liquiditätsplan!J38</x:f>
      </x:c>
      <x:c r="G39" s="147" t="n">
        <x:f>SUMIFS(Steuerkalender!$D$2:$D$100,Steuerkalender!$B$2:$B$100,"&gt;="&amp;A39,Steuerkalender!$B$2:$B$100,"&lt;"&amp;EDATE(A39,1))</x:f>
        <x:v>0</x:v>
      </x:c>
      <x:c r="H39" s="147" t="n">
        <x:f>SUMIFS('USt-Monatsübersicht'!$F$2:$F$115,'USt-Monatsübersicht'!$B$2:$B$115,"&gt;="&amp;A39,'USt-Monatsübersicht'!$B$2:$B$115,"&lt;"&amp;EDATE(A39,1))</x:f>
        <x:v>0</x:v>
      </x:c>
      <x:c r="I39" s="147" t="e">
        <x:f>Liquiditätsplan!L38</x:f>
      </x:c>
      <x:c r="J39" s="147">
        <x:f t="shared" si="2"/>
        <x:v>3480</x:v>
      </x:c>
      <x:c r="K39" s="147" t="e">
        <x:f>Liquiditätsplan!K38</x:f>
      </x:c>
      <x:c r="L39" s="147">
        <x:f t="shared" si="3"/>
        <x:v>3480</x:v>
      </x:c>
    </x:row>
    <x:row r="40" ht="14.399999618530273" customHeight="1">
      <x:c r="A40" s="186">
        <x:v>47331</x:v>
      </x:c>
      <x:c r="B40" s="146" t="e">
        <x:f>Liquiditätsplan!E39</x:f>
      </x:c>
      <x:c r="C40" s="146" t="e">
        <x:f>Liquiditätsplan!G39</x:f>
      </x:c>
      <x:c r="D40" s="146" t="e">
        <x:f>Liquiditätsplan!H39</x:f>
      </x:c>
      <x:c r="E40" s="146" t="e">
        <x:f>Liquiditätsplan!I39</x:f>
      </x:c>
      <x:c r="F40" s="146" t="e">
        <x:f>Liquiditätsplan!J39</x:f>
      </x:c>
      <x:c r="G40" s="146" t="n">
        <x:f>SUMIFS(Steuerkalender!$D$2:$D$100,Steuerkalender!$B$2:$B$100,"&gt;="&amp;A40,Steuerkalender!$B$2:$B$100,"&lt;"&amp;EDATE(A40,1))</x:f>
        <x:v>0</x:v>
      </x:c>
      <x:c r="H40" s="146" t="n">
        <x:f>SUMIFS('USt-Monatsübersicht'!$F$2:$F$115,'USt-Monatsübersicht'!$B$2:$B$115,"&gt;="&amp;A40,'USt-Monatsübersicht'!$B$2:$B$115,"&lt;"&amp;EDATE(A40,1))</x:f>
        <x:v>0</x:v>
      </x:c>
      <x:c r="I40" s="146" t="e">
        <x:f>Liquiditätsplan!L39</x:f>
      </x:c>
      <x:c r="J40" s="146">
        <x:f t="shared" si="2"/>
        <x:v>3480</x:v>
      </x:c>
      <x:c r="K40" s="146" t="e">
        <x:f>Liquiditätsplan!K39</x:f>
      </x:c>
      <x:c r="L40" s="146">
        <x:f t="shared" si="3"/>
        <x:v>3480</x:v>
      </x:c>
    </x:row>
    <x:row r="41" ht="14.399999618530273" customHeight="1">
      <x:c r="A41" s="187">
        <x:v>47362</x:v>
      </x:c>
      <x:c r="B41" s="147" t="e">
        <x:f>Liquiditätsplan!E40</x:f>
      </x:c>
      <x:c r="C41" s="147" t="e">
        <x:f>Liquiditätsplan!G40</x:f>
      </x:c>
      <x:c r="D41" s="147" t="e">
        <x:f>Liquiditätsplan!H40</x:f>
      </x:c>
      <x:c r="E41" s="147" t="e">
        <x:f>Liquiditätsplan!I40</x:f>
      </x:c>
      <x:c r="F41" s="147" t="e">
        <x:f>Liquiditätsplan!J40</x:f>
      </x:c>
      <x:c r="G41" s="147" t="n">
        <x:f>SUMIFS(Steuerkalender!$D$2:$D$100,Steuerkalender!$B$2:$B$100,"&gt;="&amp;A41,Steuerkalender!$B$2:$B$100,"&lt;"&amp;EDATE(A41,1))</x:f>
        <x:v>0</x:v>
      </x:c>
      <x:c r="H41" s="147" t="n">
        <x:f>SUMIFS('USt-Monatsübersicht'!$F$2:$F$115,'USt-Monatsübersicht'!$B$2:$B$115,"&gt;="&amp;A41,'USt-Monatsübersicht'!$B$2:$B$115,"&lt;"&amp;EDATE(A41,1))</x:f>
        <x:v>0</x:v>
      </x:c>
      <x:c r="I41" s="147" t="e">
        <x:f>Liquiditätsplan!L40</x:f>
      </x:c>
      <x:c r="J41" s="147">
        <x:f t="shared" si="2"/>
        <x:v>3480</x:v>
      </x:c>
      <x:c r="K41" s="147" t="e">
        <x:f>Liquiditätsplan!K40</x:f>
      </x:c>
      <x:c r="L41" s="147">
        <x:f t="shared" si="3"/>
        <x:v>3480</x:v>
      </x:c>
    </x:row>
    <x:row r="42" ht="14.399999618530273" customHeight="1">
      <x:c r="A42" s="186">
        <x:v>47392</x:v>
      </x:c>
      <x:c r="B42" s="146" t="e">
        <x:f>Liquiditätsplan!E41</x:f>
      </x:c>
      <x:c r="C42" s="146" t="e">
        <x:f>Liquiditätsplan!G41</x:f>
      </x:c>
      <x:c r="D42" s="146" t="e">
        <x:f>Liquiditätsplan!H41</x:f>
      </x:c>
      <x:c r="E42" s="146" t="e">
        <x:f>Liquiditätsplan!I41</x:f>
      </x:c>
      <x:c r="F42" s="146" t="e">
        <x:f>Liquiditätsplan!J41</x:f>
      </x:c>
      <x:c r="G42" s="146" t="n">
        <x:f>SUMIFS(Steuerkalender!$D$2:$D$100,Steuerkalender!$B$2:$B$100,"&gt;="&amp;A42,Steuerkalender!$B$2:$B$100,"&lt;"&amp;EDATE(A42,1))</x:f>
        <x:v>0</x:v>
      </x:c>
      <x:c r="H42" s="146" t="n">
        <x:f>SUMIFS('USt-Monatsübersicht'!$F$2:$F$115,'USt-Monatsübersicht'!$B$2:$B$115,"&gt;="&amp;A42,'USt-Monatsübersicht'!$B$2:$B$115,"&lt;"&amp;EDATE(A42,1))</x:f>
        <x:v>0</x:v>
      </x:c>
      <x:c r="I42" s="146" t="e">
        <x:f>Liquiditätsplan!L41</x:f>
      </x:c>
      <x:c r="J42" s="146">
        <x:f t="shared" si="2"/>
        <x:v>3480</x:v>
      </x:c>
      <x:c r="K42" s="146" t="e">
        <x:f>Liquiditätsplan!K41</x:f>
      </x:c>
      <x:c r="L42" s="146">
        <x:f t="shared" si="3"/>
        <x:v>3480</x:v>
      </x:c>
    </x:row>
    <x:row r="43" ht="14.399999618530273" customHeight="1">
      <x:c r="A43" s="187">
        <x:v>47423</x:v>
      </x:c>
      <x:c r="B43" s="147" t="e">
        <x:f>Liquiditätsplan!E42</x:f>
      </x:c>
      <x:c r="C43" s="147" t="e">
        <x:f>Liquiditätsplan!G42</x:f>
      </x:c>
      <x:c r="D43" s="147" t="e">
        <x:f>Liquiditätsplan!H42</x:f>
      </x:c>
      <x:c r="E43" s="147" t="e">
        <x:f>Liquiditätsplan!I42</x:f>
      </x:c>
      <x:c r="F43" s="147" t="e">
        <x:f>Liquiditätsplan!J42</x:f>
      </x:c>
      <x:c r="G43" s="147" t="n">
        <x:f>SUMIFS(Steuerkalender!$D$2:$D$100,Steuerkalender!$B$2:$B$100,"&gt;="&amp;A43,Steuerkalender!$B$2:$B$100,"&lt;"&amp;EDATE(A43,1))</x:f>
        <x:v>0</x:v>
      </x:c>
      <x:c r="H43" s="147" t="n">
        <x:f>SUMIFS('USt-Monatsübersicht'!$F$2:$F$115,'USt-Monatsübersicht'!$B$2:$B$115,"&gt;="&amp;A43,'USt-Monatsübersicht'!$B$2:$B$115,"&lt;"&amp;EDATE(A43,1))</x:f>
        <x:v>0</x:v>
      </x:c>
      <x:c r="I43" s="147" t="e">
        <x:f>Liquiditätsplan!L42</x:f>
      </x:c>
      <x:c r="J43" s="147">
        <x:f t="shared" si="2"/>
        <x:v>3480</x:v>
      </x:c>
      <x:c r="K43" s="147" t="e">
        <x:f>Liquiditätsplan!K42</x:f>
      </x:c>
      <x:c r="L43" s="147">
        <x:f t="shared" si="3"/>
        <x:v>3480</x:v>
      </x:c>
    </x:row>
    <x:row r="44" ht="14.399999618530273" customHeight="1">
      <x:c r="A44" s="186">
        <x:v>47453</x:v>
      </x:c>
      <x:c r="B44" s="146" t="e">
        <x:f>Liquiditätsplan!E43</x:f>
      </x:c>
      <x:c r="C44" s="146" t="e">
        <x:f>Liquiditätsplan!G43</x:f>
      </x:c>
      <x:c r="D44" s="146" t="e">
        <x:f>Liquiditätsplan!H43</x:f>
      </x:c>
      <x:c r="E44" s="146" t="e">
        <x:f>Liquiditätsplan!I43</x:f>
      </x:c>
      <x:c r="F44" s="146" t="e">
        <x:f>Liquiditätsplan!J43</x:f>
      </x:c>
      <x:c r="G44" s="146" t="n">
        <x:f>SUMIFS(Steuerkalender!$D$2:$D$100,Steuerkalender!$B$2:$B$100,"&gt;="&amp;A44,Steuerkalender!$B$2:$B$100,"&lt;"&amp;EDATE(A44,1))</x:f>
        <x:v>0</x:v>
      </x:c>
      <x:c r="H44" s="146" t="n">
        <x:f>SUMIFS('USt-Monatsübersicht'!$F$2:$F$115,'USt-Monatsübersicht'!$B$2:$B$115,"&gt;="&amp;A44,'USt-Monatsübersicht'!$B$2:$B$115,"&lt;"&amp;EDATE(A44,1))</x:f>
        <x:v>0</x:v>
      </x:c>
      <x:c r="I44" s="146" t="e">
        <x:f>Liquiditätsplan!L43</x:f>
      </x:c>
      <x:c r="J44" s="146">
        <x:f t="shared" si="2"/>
        <x:v>3480</x:v>
      </x:c>
      <x:c r="K44" s="146" t="e">
        <x:f>Liquiditätsplan!K43</x:f>
      </x:c>
      <x:c r="L44" s="146">
        <x:f t="shared" si="3"/>
        <x:v>3480</x:v>
      </x:c>
    </x:row>
    <x:row r="45" ht="14.399999618530273" customHeight="1">
      <x:c r="A45" s="187">
        <x:v>47484</x:v>
      </x:c>
      <x:c r="B45" s="147" t="e">
        <x:f>Liquiditätsplan!E44</x:f>
      </x:c>
      <x:c r="C45" s="147" t="e">
        <x:f>Liquiditätsplan!G44</x:f>
      </x:c>
      <x:c r="D45" s="147" t="e">
        <x:f>Liquiditätsplan!H44</x:f>
      </x:c>
      <x:c r="E45" s="147" t="e">
        <x:f>Liquiditätsplan!I44</x:f>
      </x:c>
      <x:c r="F45" s="147" t="e">
        <x:f>Liquiditätsplan!J44</x:f>
      </x:c>
      <x:c r="G45" s="147" t="n">
        <x:f>SUMIFS(Steuerkalender!$D$2:$D$100,Steuerkalender!$B$2:$B$100,"&gt;="&amp;A45,Steuerkalender!$B$2:$B$100,"&lt;"&amp;EDATE(A45,1))</x:f>
        <x:v>0</x:v>
      </x:c>
      <x:c r="H45" s="147" t="n">
        <x:f>SUMIFS('USt-Monatsübersicht'!$F$2:$F$115,'USt-Monatsübersicht'!$B$2:$B$115,"&gt;="&amp;A45,'USt-Monatsübersicht'!$B$2:$B$115,"&lt;"&amp;EDATE(A45,1))</x:f>
        <x:v>0</x:v>
      </x:c>
      <x:c r="I45" s="147" t="e">
        <x:f>Liquiditätsplan!L44</x:f>
      </x:c>
      <x:c r="J45" s="147">
        <x:f t="shared" si="2"/>
        <x:v>3480</x:v>
      </x:c>
      <x:c r="K45" s="147" t="e">
        <x:f>Liquiditätsplan!K44</x:f>
      </x:c>
      <x:c r="L45" s="147">
        <x:f t="shared" si="3"/>
        <x:v>3480</x:v>
      </x:c>
    </x:row>
    <x:row r="46" ht="14.399999618530273" customHeight="1">
      <x:c r="A46" s="186">
        <x:v>47515</x:v>
      </x:c>
      <x:c r="B46" s="146" t="e">
        <x:f>Liquiditätsplan!E45</x:f>
      </x:c>
      <x:c r="C46" s="146" t="e">
        <x:f>Liquiditätsplan!G45</x:f>
      </x:c>
      <x:c r="D46" s="146" t="e">
        <x:f>Liquiditätsplan!H45</x:f>
      </x:c>
      <x:c r="E46" s="146" t="e">
        <x:f>Liquiditätsplan!I45</x:f>
      </x:c>
      <x:c r="F46" s="146" t="e">
        <x:f>Liquiditätsplan!J45</x:f>
      </x:c>
      <x:c r="G46" s="146" t="n">
        <x:f>SUMIFS(Steuerkalender!$D$2:$D$100,Steuerkalender!$B$2:$B$100,"&gt;="&amp;A46,Steuerkalender!$B$2:$B$100,"&lt;"&amp;EDATE(A46,1))</x:f>
        <x:v>0</x:v>
      </x:c>
      <x:c r="H46" s="146" t="n">
        <x:f>SUMIFS('USt-Monatsübersicht'!$F$2:$F$115,'USt-Monatsübersicht'!$B$2:$B$115,"&gt;="&amp;A46,'USt-Monatsübersicht'!$B$2:$B$115,"&lt;"&amp;EDATE(A46,1))</x:f>
        <x:v>0</x:v>
      </x:c>
      <x:c r="I46" s="146" t="e">
        <x:f>Liquiditätsplan!L45</x:f>
      </x:c>
      <x:c r="J46" s="146">
        <x:f t="shared" si="2"/>
        <x:v>3480</x:v>
      </x:c>
      <x:c r="K46" s="146" t="e">
        <x:f>Liquiditätsplan!K45</x:f>
      </x:c>
      <x:c r="L46" s="146">
        <x:f t="shared" si="3"/>
        <x:v>3480</x:v>
      </x:c>
    </x:row>
    <x:row r="47" ht="14.399999618530273" customHeight="1">
      <x:c r="A47" s="187">
        <x:v>47543</x:v>
      </x:c>
      <x:c r="B47" s="147" t="e">
        <x:f>Liquiditätsplan!E46</x:f>
      </x:c>
      <x:c r="C47" s="147" t="e">
        <x:f>Liquiditätsplan!G46</x:f>
      </x:c>
      <x:c r="D47" s="147" t="e">
        <x:f>Liquiditätsplan!H46</x:f>
      </x:c>
      <x:c r="E47" s="147" t="e">
        <x:f>Liquiditätsplan!I46</x:f>
      </x:c>
      <x:c r="F47" s="147" t="e">
        <x:f>Liquiditätsplan!J46</x:f>
      </x:c>
      <x:c r="G47" s="147" t="n">
        <x:f>SUMIFS(Steuerkalender!$D$2:$D$100,Steuerkalender!$B$2:$B$100,"&gt;="&amp;A47,Steuerkalender!$B$2:$B$100,"&lt;"&amp;EDATE(A47,1))</x:f>
        <x:v>0</x:v>
      </x:c>
      <x:c r="H47" s="147" t="n">
        <x:f>SUMIFS('USt-Monatsübersicht'!$F$2:$F$115,'USt-Monatsübersicht'!$B$2:$B$115,"&gt;="&amp;A47,'USt-Monatsübersicht'!$B$2:$B$115,"&lt;"&amp;EDATE(A47,1))</x:f>
        <x:v>0</x:v>
      </x:c>
      <x:c r="I47" s="147" t="e">
        <x:f>Liquiditätsplan!L46</x:f>
      </x:c>
      <x:c r="J47" s="147">
        <x:f t="shared" si="2"/>
        <x:v>3480</x:v>
      </x:c>
      <x:c r="K47" s="147" t="e">
        <x:f>Liquiditätsplan!K46</x:f>
      </x:c>
      <x:c r="L47" s="147">
        <x:f t="shared" si="3"/>
        <x:v>3480</x:v>
      </x:c>
    </x:row>
    <x:row r="48" ht="14.399999618530273" customHeight="1">
      <x:c r="A48" s="186">
        <x:v>47574</x:v>
      </x:c>
      <x:c r="B48" s="146" t="e">
        <x:f>Liquiditätsplan!E47</x:f>
      </x:c>
      <x:c r="C48" s="146" t="e">
        <x:f>Liquiditätsplan!G47</x:f>
      </x:c>
      <x:c r="D48" s="146" t="e">
        <x:f>Liquiditätsplan!H47</x:f>
      </x:c>
      <x:c r="E48" s="146" t="e">
        <x:f>Liquiditätsplan!I47</x:f>
      </x:c>
      <x:c r="F48" s="146" t="e">
        <x:f>Liquiditätsplan!J47</x:f>
      </x:c>
      <x:c r="G48" s="146" t="n">
        <x:f>SUMIFS(Steuerkalender!$D$2:$D$100,Steuerkalender!$B$2:$B$100,"&gt;="&amp;A48,Steuerkalender!$B$2:$B$100,"&lt;"&amp;EDATE(A48,1))</x:f>
        <x:v>0</x:v>
      </x:c>
      <x:c r="H48" s="146" t="n">
        <x:f>SUMIFS('USt-Monatsübersicht'!$F$2:$F$115,'USt-Monatsübersicht'!$B$2:$B$115,"&gt;="&amp;A48,'USt-Monatsübersicht'!$B$2:$B$115,"&lt;"&amp;EDATE(A48,1))</x:f>
        <x:v>0</x:v>
      </x:c>
      <x:c r="I48" s="146" t="e">
        <x:f>Liquiditätsplan!L47</x:f>
      </x:c>
      <x:c r="J48" s="146">
        <x:f t="shared" si="2"/>
        <x:v>3480</x:v>
      </x:c>
      <x:c r="K48" s="146" t="e">
        <x:f>Liquiditätsplan!K47</x:f>
      </x:c>
      <x:c r="L48" s="146">
        <x:f t="shared" si="3"/>
        <x:v>3480</x:v>
      </x:c>
    </x:row>
    <x:row r="49" ht="14.399999618530273" customHeight="1">
      <x:c r="A49" s="187">
        <x:v>47604</x:v>
      </x:c>
      <x:c r="B49" s="147" t="e">
        <x:f>Liquiditätsplan!E48</x:f>
      </x:c>
      <x:c r="C49" s="147" t="e">
        <x:f>Liquiditätsplan!G48</x:f>
      </x:c>
      <x:c r="D49" s="147" t="e">
        <x:f>Liquiditätsplan!H48</x:f>
      </x:c>
      <x:c r="E49" s="147" t="e">
        <x:f>Liquiditätsplan!I48</x:f>
      </x:c>
      <x:c r="F49" s="147" t="e">
        <x:f>Liquiditätsplan!J48</x:f>
      </x:c>
      <x:c r="G49" s="147" t="n">
        <x:f>SUMIFS(Steuerkalender!$D$2:$D$100,Steuerkalender!$B$2:$B$100,"&gt;="&amp;A49,Steuerkalender!$B$2:$B$100,"&lt;"&amp;EDATE(A49,1))</x:f>
        <x:v>0</x:v>
      </x:c>
      <x:c r="H49" s="147" t="n">
        <x:f>SUMIFS('USt-Monatsübersicht'!$F$2:$F$115,'USt-Monatsübersicht'!$B$2:$B$115,"&gt;="&amp;A49,'USt-Monatsübersicht'!$B$2:$B$115,"&lt;"&amp;EDATE(A49,1))</x:f>
        <x:v>0</x:v>
      </x:c>
      <x:c r="I49" s="147" t="e">
        <x:f>Liquiditätsplan!L48</x:f>
      </x:c>
      <x:c r="J49" s="147">
        <x:f t="shared" si="2"/>
        <x:v>3480</x:v>
      </x:c>
      <x:c r="K49" s="147" t="e">
        <x:f>Liquiditätsplan!K48</x:f>
      </x:c>
      <x:c r="L49" s="147">
        <x:f t="shared" si="3"/>
        <x:v>3480</x:v>
      </x:c>
    </x:row>
    <x:row r="50" ht="14.399999618530273" customHeight="1">
      <x:c r="A50" s="186">
        <x:v>47635</x:v>
      </x:c>
      <x:c r="B50" s="146" t="e">
        <x:f>Liquiditätsplan!E49</x:f>
      </x:c>
      <x:c r="C50" s="146" t="e">
        <x:f>Liquiditätsplan!G49</x:f>
      </x:c>
      <x:c r="D50" s="146" t="e">
        <x:f>Liquiditätsplan!H49</x:f>
      </x:c>
      <x:c r="E50" s="146" t="e">
        <x:f>Liquiditätsplan!I49</x:f>
      </x:c>
      <x:c r="F50" s="146" t="e">
        <x:f>Liquiditätsplan!J49</x:f>
      </x:c>
      <x:c r="G50" s="146" t="n">
        <x:f>SUMIFS(Steuerkalender!$D$2:$D$100,Steuerkalender!$B$2:$B$100,"&gt;="&amp;A50,Steuerkalender!$B$2:$B$100,"&lt;"&amp;EDATE(A50,1))</x:f>
        <x:v>0</x:v>
      </x:c>
      <x:c r="H50" s="146" t="n">
        <x:f>SUMIFS('USt-Monatsübersicht'!$F$2:$F$115,'USt-Monatsübersicht'!$B$2:$B$115,"&gt;="&amp;A50,'USt-Monatsübersicht'!$B$2:$B$115,"&lt;"&amp;EDATE(A50,1))</x:f>
        <x:v>0</x:v>
      </x:c>
      <x:c r="I50" s="146" t="e">
        <x:f>Liquiditätsplan!L49</x:f>
      </x:c>
      <x:c r="J50" s="146">
        <x:f t="shared" si="2"/>
        <x:v>3480</x:v>
      </x:c>
      <x:c r="K50" s="146" t="e">
        <x:f>Liquiditätsplan!K49</x:f>
      </x:c>
      <x:c r="L50" s="146">
        <x:f t="shared" si="3"/>
        <x:v>3480</x:v>
      </x:c>
    </x:row>
    <x:row r="51" ht="14.399999618530273" customHeight="1">
      <x:c r="A51" s="187">
        <x:v>47665</x:v>
      </x:c>
      <x:c r="B51" s="147" t="e">
        <x:f>Liquiditätsplan!E50</x:f>
      </x:c>
      <x:c r="C51" s="147" t="e">
        <x:f>Liquiditätsplan!G50</x:f>
      </x:c>
      <x:c r="D51" s="147" t="e">
        <x:f>Liquiditätsplan!H50</x:f>
      </x:c>
      <x:c r="E51" s="147" t="e">
        <x:f>Liquiditätsplan!I50</x:f>
      </x:c>
      <x:c r="F51" s="147" t="e">
        <x:f>Liquiditätsplan!J50</x:f>
      </x:c>
      <x:c r="G51" s="147" t="n">
        <x:f>SUMIFS(Steuerkalender!$D$2:$D$100,Steuerkalender!$B$2:$B$100,"&gt;="&amp;A51,Steuerkalender!$B$2:$B$100,"&lt;"&amp;EDATE(A51,1))</x:f>
        <x:v>0</x:v>
      </x:c>
      <x:c r="H51" s="147" t="n">
        <x:f>SUMIFS('USt-Monatsübersicht'!$F$2:$F$115,'USt-Monatsübersicht'!$B$2:$B$115,"&gt;="&amp;A51,'USt-Monatsübersicht'!$B$2:$B$115,"&lt;"&amp;EDATE(A51,1))</x:f>
        <x:v>0</x:v>
      </x:c>
      <x:c r="I51" s="147" t="e">
        <x:f>Liquiditätsplan!L50</x:f>
      </x:c>
      <x:c r="J51" s="147">
        <x:f t="shared" si="2"/>
        <x:v>3480</x:v>
      </x:c>
      <x:c r="K51" s="147" t="e">
        <x:f>Liquiditätsplan!K50</x:f>
      </x:c>
      <x:c r="L51" s="147">
        <x:f t="shared" si="3"/>
        <x:v>3480</x:v>
      </x:c>
    </x:row>
    <x:row r="52" ht="14.399999618530273" customHeight="1">
      <x:c r="A52" s="186">
        <x:v>47696</x:v>
      </x:c>
      <x:c r="B52" s="146" t="e">
        <x:f>Liquiditätsplan!E51</x:f>
      </x:c>
      <x:c r="C52" s="146" t="e">
        <x:f>Liquiditätsplan!G51</x:f>
      </x:c>
      <x:c r="D52" s="146" t="e">
        <x:f>Liquiditätsplan!H51</x:f>
      </x:c>
      <x:c r="E52" s="146" t="e">
        <x:f>Liquiditätsplan!I51</x:f>
      </x:c>
      <x:c r="F52" s="146" t="e">
        <x:f>Liquiditätsplan!J51</x:f>
      </x:c>
      <x:c r="G52" s="146" t="n">
        <x:f>SUMIFS(Steuerkalender!$D$2:$D$100,Steuerkalender!$B$2:$B$100,"&gt;="&amp;A52,Steuerkalender!$B$2:$B$100,"&lt;"&amp;EDATE(A52,1))</x:f>
        <x:v>0</x:v>
      </x:c>
      <x:c r="H52" s="146" t="n">
        <x:f>SUMIFS('USt-Monatsübersicht'!$F$2:$F$115,'USt-Monatsübersicht'!$B$2:$B$115,"&gt;="&amp;A52,'USt-Monatsübersicht'!$B$2:$B$115,"&lt;"&amp;EDATE(A52,1))</x:f>
        <x:v>0</x:v>
      </x:c>
      <x:c r="I52" s="146" t="e">
        <x:f>Liquiditätsplan!L51</x:f>
      </x:c>
      <x:c r="J52" s="146">
        <x:f t="shared" si="2"/>
        <x:v>3480</x:v>
      </x:c>
      <x:c r="K52" s="146" t="e">
        <x:f>Liquiditätsplan!K51</x:f>
      </x:c>
      <x:c r="L52" s="146">
        <x:f t="shared" si="3"/>
        <x:v>3480</x:v>
      </x:c>
    </x:row>
    <x:row r="53" ht="14.399999618530273" customHeight="1">
      <x:c r="A53" s="187">
        <x:v>47727</x:v>
      </x:c>
      <x:c r="B53" s="147" t="e">
        <x:f>Liquiditätsplan!E52</x:f>
      </x:c>
      <x:c r="C53" s="147" t="e">
        <x:f>Liquiditätsplan!G52</x:f>
      </x:c>
      <x:c r="D53" s="147" t="e">
        <x:f>Liquiditätsplan!H52</x:f>
      </x:c>
      <x:c r="E53" s="147" t="e">
        <x:f>Liquiditätsplan!I52</x:f>
      </x:c>
      <x:c r="F53" s="147" t="e">
        <x:f>Liquiditätsplan!J52</x:f>
      </x:c>
      <x:c r="G53" s="147" t="n">
        <x:f>SUMIFS(Steuerkalender!$D$2:$D$100,Steuerkalender!$B$2:$B$100,"&gt;="&amp;A53,Steuerkalender!$B$2:$B$100,"&lt;"&amp;EDATE(A53,1))</x:f>
        <x:v>0</x:v>
      </x:c>
      <x:c r="H53" s="147" t="n">
        <x:f>SUMIFS('USt-Monatsübersicht'!$F$2:$F$115,'USt-Monatsübersicht'!$B$2:$B$115,"&gt;="&amp;A53,'USt-Monatsübersicht'!$B$2:$B$115,"&lt;"&amp;EDATE(A53,1))</x:f>
        <x:v>0</x:v>
      </x:c>
      <x:c r="I53" s="147" t="e">
        <x:f>Liquiditätsplan!L52</x:f>
      </x:c>
      <x:c r="J53" s="147">
        <x:f t="shared" si="2"/>
        <x:v>3480</x:v>
      </x:c>
      <x:c r="K53" s="147" t="e">
        <x:f>Liquiditätsplan!K52</x:f>
      </x:c>
      <x:c r="L53" s="147">
        <x:f t="shared" si="3"/>
        <x:v>3480</x:v>
      </x:c>
    </x:row>
    <x:row r="54" ht="14.399999618530273" customHeight="1">
      <x:c r="A54" s="186">
        <x:v>47757</x:v>
      </x:c>
      <x:c r="B54" s="146" t="e">
        <x:f>Liquiditätsplan!E53</x:f>
      </x:c>
      <x:c r="C54" s="146" t="e">
        <x:f>Liquiditätsplan!G53</x:f>
      </x:c>
      <x:c r="D54" s="146" t="e">
        <x:f>Liquiditätsplan!H53</x:f>
      </x:c>
      <x:c r="E54" s="146" t="e">
        <x:f>Liquiditätsplan!I53</x:f>
      </x:c>
      <x:c r="F54" s="146" t="e">
        <x:f>Liquiditätsplan!J53</x:f>
      </x:c>
      <x:c r="G54" s="146" t="n">
        <x:f>SUMIFS(Steuerkalender!$D$2:$D$100,Steuerkalender!$B$2:$B$100,"&gt;="&amp;A54,Steuerkalender!$B$2:$B$100,"&lt;"&amp;EDATE(A54,1))</x:f>
        <x:v>0</x:v>
      </x:c>
      <x:c r="H54" s="146" t="n">
        <x:f>SUMIFS('USt-Monatsübersicht'!$F$2:$F$115,'USt-Monatsübersicht'!$B$2:$B$115,"&gt;="&amp;A54,'USt-Monatsübersicht'!$B$2:$B$115,"&lt;"&amp;EDATE(A54,1))</x:f>
        <x:v>0</x:v>
      </x:c>
      <x:c r="I54" s="146" t="e">
        <x:f>Liquiditätsplan!L53</x:f>
      </x:c>
      <x:c r="J54" s="146">
        <x:f t="shared" si="2"/>
        <x:v>3480</x:v>
      </x:c>
      <x:c r="K54" s="146" t="e">
        <x:f>Liquiditätsplan!K53</x:f>
      </x:c>
      <x:c r="L54" s="146">
        <x:f t="shared" si="3"/>
        <x:v>3480</x:v>
      </x:c>
    </x:row>
    <x:row r="55" ht="14.399999618530273" customHeight="1">
      <x:c r="A55" s="187">
        <x:v>47788</x:v>
      </x:c>
      <x:c r="B55" s="147" t="e">
        <x:f>Liquiditätsplan!E54</x:f>
      </x:c>
      <x:c r="C55" s="147" t="e">
        <x:f>Liquiditätsplan!G54</x:f>
      </x:c>
      <x:c r="D55" s="147" t="e">
        <x:f>Liquiditätsplan!H54</x:f>
      </x:c>
      <x:c r="E55" s="147" t="e">
        <x:f>Liquiditätsplan!I54</x:f>
      </x:c>
      <x:c r="F55" s="147" t="e">
        <x:f>Liquiditätsplan!J54</x:f>
      </x:c>
      <x:c r="G55" s="147" t="n">
        <x:f>SUMIFS(Steuerkalender!$D$2:$D$100,Steuerkalender!$B$2:$B$100,"&gt;="&amp;A55,Steuerkalender!$B$2:$B$100,"&lt;"&amp;EDATE(A55,1))</x:f>
        <x:v>0</x:v>
      </x:c>
      <x:c r="H55" s="147" t="n">
        <x:f>SUMIFS('USt-Monatsübersicht'!$F$2:$F$115,'USt-Monatsübersicht'!$B$2:$B$115,"&gt;="&amp;A55,'USt-Monatsübersicht'!$B$2:$B$115,"&lt;"&amp;EDATE(A55,1))</x:f>
        <x:v>0</x:v>
      </x:c>
      <x:c r="I55" s="147" t="e">
        <x:f>Liquiditätsplan!L54</x:f>
      </x:c>
      <x:c r="J55" s="147">
        <x:f t="shared" si="2"/>
        <x:v>3480</x:v>
      </x:c>
      <x:c r="K55" s="147" t="e">
        <x:f>Liquiditätsplan!K54</x:f>
      </x:c>
      <x:c r="L55" s="147">
        <x:f t="shared" si="3"/>
        <x:v>3480</x:v>
      </x:c>
    </x:row>
    <x:row r="56" ht="14.399999618530273" customHeight="1">
      <x:c r="A56" s="186">
        <x:v>47818</x:v>
      </x:c>
      <x:c r="B56" s="146" t="e">
        <x:f>Liquiditätsplan!E55</x:f>
      </x:c>
      <x:c r="C56" s="146" t="e">
        <x:f>Liquiditätsplan!G55</x:f>
      </x:c>
      <x:c r="D56" s="146" t="e">
        <x:f>Liquiditätsplan!H55</x:f>
      </x:c>
      <x:c r="E56" s="146" t="e">
        <x:f>Liquiditätsplan!I55</x:f>
      </x:c>
      <x:c r="F56" s="146" t="e">
        <x:f>Liquiditätsplan!J55</x:f>
      </x:c>
      <x:c r="G56" s="146" t="n">
        <x:f>SUMIFS(Steuerkalender!$D$2:$D$100,Steuerkalender!$B$2:$B$100,"&gt;="&amp;A56,Steuerkalender!$B$2:$B$100,"&lt;"&amp;EDATE(A56,1))</x:f>
        <x:v>0</x:v>
      </x:c>
      <x:c r="H56" s="146" t="n">
        <x:f>SUMIFS('USt-Monatsübersicht'!$F$2:$F$115,'USt-Monatsübersicht'!$B$2:$B$115,"&gt;="&amp;A56,'USt-Monatsübersicht'!$B$2:$B$115,"&lt;"&amp;EDATE(A56,1))</x:f>
        <x:v>0</x:v>
      </x:c>
      <x:c r="I56" s="146" t="e">
        <x:f>Liquiditätsplan!L55</x:f>
      </x:c>
      <x:c r="J56" s="146">
        <x:f t="shared" si="2"/>
        <x:v>3480</x:v>
      </x:c>
      <x:c r="K56" s="146" t="e">
        <x:f>Liquiditätsplan!K55</x:f>
      </x:c>
      <x:c r="L56" s="146">
        <x:f t="shared" si="3"/>
        <x:v>3480</x:v>
      </x:c>
    </x:row>
    <x:row r="57" ht="14.399999618530273" customHeight="1">
      <x:c r="A57" s="187">
        <x:v>47849</x:v>
      </x:c>
      <x:c r="B57" s="147" t="e">
        <x:f>Liquiditätsplan!E56</x:f>
      </x:c>
      <x:c r="C57" s="147" t="e">
        <x:f>Liquiditätsplan!G56</x:f>
      </x:c>
      <x:c r="D57" s="147" t="e">
        <x:f>Liquiditätsplan!H56</x:f>
      </x:c>
      <x:c r="E57" s="147" t="e">
        <x:f>Liquiditätsplan!I56</x:f>
      </x:c>
      <x:c r="F57" s="147" t="e">
        <x:f>Liquiditätsplan!J56</x:f>
      </x:c>
      <x:c r="G57" s="147" t="n">
        <x:f>SUMIFS(Steuerkalender!$D$2:$D$100,Steuerkalender!$B$2:$B$100,"&gt;="&amp;A57,Steuerkalender!$B$2:$B$100,"&lt;"&amp;EDATE(A57,1))</x:f>
        <x:v>0</x:v>
      </x:c>
      <x:c r="H57" s="147" t="n">
        <x:f>SUMIFS('USt-Monatsübersicht'!$F$2:$F$115,'USt-Monatsübersicht'!$B$2:$B$115,"&gt;="&amp;A57,'USt-Monatsübersicht'!$B$2:$B$115,"&lt;"&amp;EDATE(A57,1))</x:f>
        <x:v>0</x:v>
      </x:c>
      <x:c r="I57" s="147" t="e">
        <x:f>Liquiditätsplan!L56</x:f>
      </x:c>
      <x:c r="J57" s="147">
        <x:f t="shared" si="2"/>
        <x:v>3480</x:v>
      </x:c>
      <x:c r="K57" s="147" t="e">
        <x:f>Liquiditätsplan!K56</x:f>
      </x:c>
      <x:c r="L57" s="147">
        <x:f t="shared" si="3"/>
        <x:v>3480</x:v>
      </x:c>
    </x:row>
    <x:row r="58" ht="14.399999618530273" customHeight="1">
      <x:c r="A58" s="186">
        <x:v>47880</x:v>
      </x:c>
      <x:c r="B58" s="146" t="e">
        <x:f>Liquiditätsplan!E57</x:f>
      </x:c>
      <x:c r="C58" s="146" t="e">
        <x:f>Liquiditätsplan!G57</x:f>
      </x:c>
      <x:c r="D58" s="146" t="e">
        <x:f>Liquiditätsplan!H57</x:f>
      </x:c>
      <x:c r="E58" s="146" t="e">
        <x:f>Liquiditätsplan!I57</x:f>
      </x:c>
      <x:c r="F58" s="146" t="e">
        <x:f>Liquiditätsplan!J57</x:f>
      </x:c>
      <x:c r="G58" s="146" t="n">
        <x:f>SUMIFS(Steuerkalender!$D$2:$D$100,Steuerkalender!$B$2:$B$100,"&gt;="&amp;A58,Steuerkalender!$B$2:$B$100,"&lt;"&amp;EDATE(A58,1))</x:f>
        <x:v>0</x:v>
      </x:c>
      <x:c r="H58" s="146" t="n">
        <x:f>SUMIFS('USt-Monatsübersicht'!$F$2:$F$115,'USt-Monatsübersicht'!$B$2:$B$115,"&gt;="&amp;A58,'USt-Monatsübersicht'!$B$2:$B$115,"&lt;"&amp;EDATE(A58,1))</x:f>
        <x:v>0</x:v>
      </x:c>
      <x:c r="I58" s="146" t="e">
        <x:f>Liquiditätsplan!L57</x:f>
      </x:c>
      <x:c r="J58" s="146">
        <x:f t="shared" si="2"/>
        <x:v>3480</x:v>
      </x:c>
      <x:c r="K58" s="146" t="e">
        <x:f>Liquiditätsplan!K57</x:f>
      </x:c>
      <x:c r="L58" s="146">
        <x:f t="shared" si="3"/>
        <x:v>3480</x:v>
      </x:c>
    </x:row>
    <x:row r="59" ht="14.399999618530273" customHeight="1">
      <x:c r="A59" s="187">
        <x:v>47908</x:v>
      </x:c>
      <x:c r="B59" s="147" t="e">
        <x:f>Liquiditätsplan!E58</x:f>
      </x:c>
      <x:c r="C59" s="147" t="e">
        <x:f>Liquiditätsplan!G58</x:f>
      </x:c>
      <x:c r="D59" s="147" t="e">
        <x:f>Liquiditätsplan!H58</x:f>
      </x:c>
      <x:c r="E59" s="147" t="e">
        <x:f>Liquiditätsplan!I58</x:f>
      </x:c>
      <x:c r="F59" s="147" t="e">
        <x:f>Liquiditätsplan!J58</x:f>
      </x:c>
      <x:c r="G59" s="147" t="n">
        <x:f>SUMIFS(Steuerkalender!$D$2:$D$100,Steuerkalender!$B$2:$B$100,"&gt;="&amp;A59,Steuerkalender!$B$2:$B$100,"&lt;"&amp;EDATE(A59,1))</x:f>
        <x:v>0</x:v>
      </x:c>
      <x:c r="H59" s="147" t="n">
        <x:f>SUMIFS('USt-Monatsübersicht'!$F$2:$F$115,'USt-Monatsübersicht'!$B$2:$B$115,"&gt;="&amp;A59,'USt-Monatsübersicht'!$B$2:$B$115,"&lt;"&amp;EDATE(A59,1))</x:f>
        <x:v>0</x:v>
      </x:c>
      <x:c r="I59" s="147" t="e">
        <x:f>Liquiditätsplan!L58</x:f>
      </x:c>
      <x:c r="J59" s="147">
        <x:f t="shared" si="2"/>
        <x:v>3480</x:v>
      </x:c>
      <x:c r="K59" s="147" t="e">
        <x:f>Liquiditätsplan!K58</x:f>
      </x:c>
      <x:c r="L59" s="147">
        <x:f t="shared" si="3"/>
        <x:v>3480</x:v>
      </x:c>
    </x:row>
    <x:row r="60" ht="14.399999618530273" customHeight="1">
      <x:c r="A60" s="186">
        <x:v>47939</x:v>
      </x:c>
      <x:c r="B60" s="146" t="e">
        <x:f>Liquiditätsplan!E59</x:f>
      </x:c>
      <x:c r="C60" s="146" t="e">
        <x:f>Liquiditätsplan!G59</x:f>
      </x:c>
      <x:c r="D60" s="146" t="e">
        <x:f>Liquiditätsplan!H59</x:f>
      </x:c>
      <x:c r="E60" s="146" t="e">
        <x:f>Liquiditätsplan!I59</x:f>
      </x:c>
      <x:c r="F60" s="146" t="e">
        <x:f>Liquiditätsplan!J59</x:f>
      </x:c>
      <x:c r="G60" s="146" t="n">
        <x:f>SUMIFS(Steuerkalender!$D$2:$D$100,Steuerkalender!$B$2:$B$100,"&gt;="&amp;A60,Steuerkalender!$B$2:$B$100,"&lt;"&amp;EDATE(A60,1))</x:f>
        <x:v>0</x:v>
      </x:c>
      <x:c r="H60" s="146" t="n">
        <x:f>SUMIFS('USt-Monatsübersicht'!$F$2:$F$115,'USt-Monatsübersicht'!$B$2:$B$115,"&gt;="&amp;A60,'USt-Monatsübersicht'!$B$2:$B$115,"&lt;"&amp;EDATE(A60,1))</x:f>
        <x:v>0</x:v>
      </x:c>
      <x:c r="I60" s="146" t="e">
        <x:f>Liquiditätsplan!L59</x:f>
      </x:c>
      <x:c r="J60" s="146">
        <x:f t="shared" si="2"/>
        <x:v>3480</x:v>
      </x:c>
      <x:c r="K60" s="146" t="e">
        <x:f>Liquiditätsplan!K59</x:f>
      </x:c>
      <x:c r="L60" s="146">
        <x:f t="shared" si="3"/>
        <x:v>3480</x:v>
      </x:c>
    </x:row>
    <x:row r="61" ht="14.399999618530273" customHeight="1">
      <x:c r="A61" s="187">
        <x:v>47969</x:v>
      </x:c>
      <x:c r="B61" s="147" t="e">
        <x:f>Liquiditätsplan!E60</x:f>
      </x:c>
      <x:c r="C61" s="147" t="e">
        <x:f>Liquiditätsplan!G60</x:f>
      </x:c>
      <x:c r="D61" s="147" t="e">
        <x:f>Liquiditätsplan!H60</x:f>
      </x:c>
      <x:c r="E61" s="147" t="e">
        <x:f>Liquiditätsplan!I60</x:f>
      </x:c>
      <x:c r="F61" s="147" t="e">
        <x:f>Liquiditätsplan!J60</x:f>
      </x:c>
      <x:c r="G61" s="147" t="n">
        <x:f>SUMIFS(Steuerkalender!$D$2:$D$100,Steuerkalender!$B$2:$B$100,"&gt;="&amp;A61,Steuerkalender!$B$2:$B$100,"&lt;"&amp;EDATE(A61,1))</x:f>
        <x:v>0</x:v>
      </x:c>
      <x:c r="H61" s="147" t="n">
        <x:f>SUMIFS('USt-Monatsübersicht'!$F$2:$F$115,'USt-Monatsübersicht'!$B$2:$B$115,"&gt;="&amp;A61,'USt-Monatsübersicht'!$B$2:$B$115,"&lt;"&amp;EDATE(A61,1))</x:f>
        <x:v>0</x:v>
      </x:c>
      <x:c r="I61" s="147" t="e">
        <x:f>Liquiditätsplan!L60</x:f>
      </x:c>
      <x:c r="J61" s="147">
        <x:f t="shared" si="2"/>
        <x:v>3480</x:v>
      </x:c>
      <x:c r="K61" s="147" t="e">
        <x:f>Liquiditätsplan!K60</x:f>
      </x:c>
      <x:c r="L61" s="147">
        <x:f t="shared" si="3"/>
        <x:v>3480</x:v>
      </x:c>
    </x:row>
    <x:row r="62" ht="14.399999618530273" customHeight="1">
      <x:c r="A62" s="186">
        <x:v>48000</x:v>
      </x:c>
      <x:c r="B62" s="146" t="e">
        <x:f>Liquiditätsplan!E61</x:f>
      </x:c>
      <x:c r="C62" s="146" t="e">
        <x:f>Liquiditätsplan!G61</x:f>
      </x:c>
      <x:c r="D62" s="146" t="e">
        <x:f>Liquiditätsplan!H61</x:f>
      </x:c>
      <x:c r="E62" s="146" t="e">
        <x:f>Liquiditätsplan!I61</x:f>
      </x:c>
      <x:c r="F62" s="146" t="e">
        <x:f>Liquiditätsplan!J61</x:f>
      </x:c>
      <x:c r="G62" s="146" t="n">
        <x:f>SUMIFS(Steuerkalender!$D$2:$D$100,Steuerkalender!$B$2:$B$100,"&gt;="&amp;A62,Steuerkalender!$B$2:$B$100,"&lt;"&amp;EDATE(A62,1))</x:f>
        <x:v>0</x:v>
      </x:c>
      <x:c r="H62" s="146" t="n">
        <x:f>SUMIFS('USt-Monatsübersicht'!$F$2:$F$115,'USt-Monatsübersicht'!$B$2:$B$115,"&gt;="&amp;A62,'USt-Monatsübersicht'!$B$2:$B$115,"&lt;"&amp;EDATE(A62,1))</x:f>
        <x:v>0</x:v>
      </x:c>
      <x:c r="I62" s="146" t="e">
        <x:f>Liquiditätsplan!L61</x:f>
      </x:c>
      <x:c r="J62" s="146">
        <x:f t="shared" si="2"/>
        <x:v>3480</x:v>
      </x:c>
      <x:c r="K62" s="146" t="e">
        <x:f>Liquiditätsplan!K61</x:f>
      </x:c>
      <x:c r="L62" s="146">
        <x:f t="shared" si="3"/>
        <x:v>3480</x:v>
      </x:c>
    </x:row>
    <x:row r="63" ht="14.399999618530273" customHeight="1">
      <x:c r="A63" s="187">
        <x:v>48030</x:v>
      </x:c>
      <x:c r="B63" s="147" t="e">
        <x:f>Liquiditätsplan!E62</x:f>
      </x:c>
      <x:c r="C63" s="147" t="e">
        <x:f>Liquiditätsplan!G62</x:f>
      </x:c>
      <x:c r="D63" s="147" t="e">
        <x:f>Liquiditätsplan!H62</x:f>
      </x:c>
      <x:c r="E63" s="147" t="e">
        <x:f>Liquiditätsplan!I62</x:f>
      </x:c>
      <x:c r="F63" s="147" t="e">
        <x:f>Liquiditätsplan!J62</x:f>
      </x:c>
      <x:c r="G63" s="147" t="n">
        <x:f>SUMIFS(Steuerkalender!$D$2:$D$100,Steuerkalender!$B$2:$B$100,"&gt;="&amp;A63,Steuerkalender!$B$2:$B$100,"&lt;"&amp;EDATE(A63,1))</x:f>
        <x:v>0</x:v>
      </x:c>
      <x:c r="H63" s="147" t="n">
        <x:f>SUMIFS('USt-Monatsübersicht'!$F$2:$F$115,'USt-Monatsübersicht'!$B$2:$B$115,"&gt;="&amp;A63,'USt-Monatsübersicht'!$B$2:$B$115,"&lt;"&amp;EDATE(A63,1))</x:f>
        <x:v>0</x:v>
      </x:c>
      <x:c r="I63" s="147" t="e">
        <x:f>Liquiditätsplan!L62</x:f>
      </x:c>
      <x:c r="J63" s="147">
        <x:f t="shared" si="2"/>
        <x:v>3480</x:v>
      </x:c>
      <x:c r="K63" s="147" t="e">
        <x:f>Liquiditätsplan!K62</x:f>
      </x:c>
      <x:c r="L63" s="147">
        <x:f t="shared" si="3"/>
        <x:v>3480</x:v>
      </x:c>
    </x:row>
    <x:row r="64" ht="14.399999618530273" customHeight="1">
      <x:c r="A64" s="186">
        <x:v>48061</x:v>
      </x:c>
      <x:c r="B64" s="146" t="e">
        <x:f>Liquiditätsplan!E63</x:f>
      </x:c>
      <x:c r="C64" s="146" t="e">
        <x:f>Liquiditätsplan!G63</x:f>
      </x:c>
      <x:c r="D64" s="146" t="e">
        <x:f>Liquiditätsplan!H63</x:f>
      </x:c>
      <x:c r="E64" s="146" t="e">
        <x:f>Liquiditätsplan!I63</x:f>
      </x:c>
      <x:c r="F64" s="146" t="e">
        <x:f>Liquiditätsplan!J63</x:f>
      </x:c>
      <x:c r="G64" s="146" t="n">
        <x:f>SUMIFS(Steuerkalender!$D$2:$D$100,Steuerkalender!$B$2:$B$100,"&gt;="&amp;A64,Steuerkalender!$B$2:$B$100,"&lt;"&amp;EDATE(A64,1))</x:f>
        <x:v>0</x:v>
      </x:c>
      <x:c r="H64" s="146" t="n">
        <x:f>SUMIFS('USt-Monatsübersicht'!$F$2:$F$115,'USt-Monatsübersicht'!$B$2:$B$115,"&gt;="&amp;A64,'USt-Monatsübersicht'!$B$2:$B$115,"&lt;"&amp;EDATE(A64,1))</x:f>
        <x:v>0</x:v>
      </x:c>
      <x:c r="I64" s="146" t="e">
        <x:f>Liquiditätsplan!L63</x:f>
      </x:c>
      <x:c r="J64" s="146">
        <x:f t="shared" si="2"/>
        <x:v>3480</x:v>
      </x:c>
      <x:c r="K64" s="146" t="e">
        <x:f>Liquiditätsplan!K63</x:f>
      </x:c>
      <x:c r="L64" s="146">
        <x:f t="shared" si="3"/>
        <x:v>3480</x:v>
      </x:c>
    </x:row>
    <x:row r="65" ht="14.399999618530273" customHeight="1">
      <x:c r="A65" s="187">
        <x:v>48092</x:v>
      </x:c>
      <x:c r="B65" s="147" t="e">
        <x:f>Liquiditätsplan!E64</x:f>
      </x:c>
      <x:c r="C65" s="147" t="e">
        <x:f>Liquiditätsplan!G64</x:f>
      </x:c>
      <x:c r="D65" s="147" t="e">
        <x:f>Liquiditätsplan!H64</x:f>
      </x:c>
      <x:c r="E65" s="147" t="e">
        <x:f>Liquiditätsplan!I64</x:f>
      </x:c>
      <x:c r="F65" s="147" t="e">
        <x:f>Liquiditätsplan!J64</x:f>
      </x:c>
      <x:c r="G65" s="147" t="n">
        <x:f>SUMIFS(Steuerkalender!$D$2:$D$100,Steuerkalender!$B$2:$B$100,"&gt;="&amp;A65,Steuerkalender!$B$2:$B$100,"&lt;"&amp;EDATE(A65,1))</x:f>
        <x:v>0</x:v>
      </x:c>
      <x:c r="H65" s="147" t="n">
        <x:f>SUMIFS('USt-Monatsübersicht'!$F$2:$F$115,'USt-Monatsübersicht'!$B$2:$B$115,"&gt;="&amp;A65,'USt-Monatsübersicht'!$B$2:$B$115,"&lt;"&amp;EDATE(A65,1))</x:f>
        <x:v>0</x:v>
      </x:c>
      <x:c r="I65" s="147" t="e">
        <x:f>Liquiditätsplan!L64</x:f>
      </x:c>
      <x:c r="J65" s="147">
        <x:f t="shared" si="2"/>
        <x:v>3480</x:v>
      </x:c>
      <x:c r="K65" s="147" t="e">
        <x:f>Liquiditätsplan!K64</x:f>
      </x:c>
      <x:c r="L65" s="147">
        <x:f t="shared" si="3"/>
        <x:v>3480</x:v>
      </x:c>
    </x:row>
    <x:row r="66" ht="14.399999618530273" customHeight="1">
      <x:c r="A66" s="186">
        <x:v>48122</x:v>
      </x:c>
      <x:c r="B66" s="146" t="e">
        <x:f>Liquiditätsplan!E65</x:f>
      </x:c>
      <x:c r="C66" s="146" t="e">
        <x:f>Liquiditätsplan!G65</x:f>
      </x:c>
      <x:c r="D66" s="146" t="e">
        <x:f>Liquiditätsplan!H65</x:f>
      </x:c>
      <x:c r="E66" s="146" t="e">
        <x:f>Liquiditätsplan!I65</x:f>
      </x:c>
      <x:c r="F66" s="146" t="e">
        <x:f>Liquiditätsplan!J65</x:f>
      </x:c>
      <x:c r="G66" s="146" t="n">
        <x:f>SUMIFS(Steuerkalender!$D$2:$D$100,Steuerkalender!$B$2:$B$100,"&gt;="&amp;A66,Steuerkalender!$B$2:$B$100,"&lt;"&amp;EDATE(A66,1))</x:f>
        <x:v>0</x:v>
      </x:c>
      <x:c r="H66" s="146" t="n">
        <x:f>SUMIFS('USt-Monatsübersicht'!$F$2:$F$115,'USt-Monatsübersicht'!$B$2:$B$115,"&gt;="&amp;A66,'USt-Monatsübersicht'!$B$2:$B$115,"&lt;"&amp;EDATE(A66,1))</x:f>
        <x:v>0</x:v>
      </x:c>
      <x:c r="I66" s="146" t="e">
        <x:f>Liquiditätsplan!L65</x:f>
      </x:c>
      <x:c r="J66" s="146">
        <x:f t="shared" si="2"/>
        <x:v>3480</x:v>
      </x:c>
      <x:c r="K66" s="146" t="e">
        <x:f>Liquiditätsplan!K65</x:f>
      </x:c>
      <x:c r="L66" s="146">
        <x:f t="shared" si="3"/>
        <x:v>3480</x:v>
      </x:c>
    </x:row>
    <x:row r="67" ht="14.399999618530273" customHeight="1">
      <x:c r="A67" s="187">
        <x:v>48153</x:v>
      </x:c>
      <x:c r="B67" s="147" t="e">
        <x:f>Liquiditätsplan!E66</x:f>
      </x:c>
      <x:c r="C67" s="147" t="e">
        <x:f>Liquiditätsplan!G66</x:f>
      </x:c>
      <x:c r="D67" s="147" t="e">
        <x:f>Liquiditätsplan!H66</x:f>
      </x:c>
      <x:c r="E67" s="147" t="e">
        <x:f>Liquiditätsplan!I66</x:f>
      </x:c>
      <x:c r="F67" s="147" t="e">
        <x:f>Liquiditätsplan!J66</x:f>
      </x:c>
      <x:c r="G67" s="147" t="n">
        <x:f>SUMIFS(Steuerkalender!$D$2:$D$100,Steuerkalender!$B$2:$B$100,"&gt;="&amp;A67,Steuerkalender!$B$2:$B$100,"&lt;"&amp;EDATE(A67,1))</x:f>
        <x:v>0</x:v>
      </x:c>
      <x:c r="H67" s="147" t="n">
        <x:f>SUMIFS('USt-Monatsübersicht'!$F$2:$F$115,'USt-Monatsübersicht'!$B$2:$B$115,"&gt;="&amp;A67,'USt-Monatsübersicht'!$B$2:$B$115,"&lt;"&amp;EDATE(A67,1))</x:f>
        <x:v>0</x:v>
      </x:c>
      <x:c r="I67" s="147" t="e">
        <x:f>Liquiditätsplan!L66</x:f>
      </x:c>
      <x:c r="J67" s="147" t="e">
        <x:f t="shared" ref="J67:J98" si="4">SUM(B67:F67)+I67</x:f>
      </x:c>
      <x:c r="K67" s="147" t="e">
        <x:f>Liquiditätsplan!K66</x:f>
      </x:c>
      <x:c r="L67" s="147" t="e">
        <x:f t="shared" ref="L67:L98" si="5">SUM(B67:I67)+K67</x:f>
      </x:c>
    </x:row>
    <x:row r="68" ht="14.399999618530273" customHeight="1">
      <x:c r="A68" s="186">
        <x:v>48183</x:v>
      </x:c>
      <x:c r="B68" s="146" t="e">
        <x:f>Liquiditätsplan!E67</x:f>
      </x:c>
      <x:c r="C68" s="146" t="e">
        <x:f>Liquiditätsplan!G67</x:f>
      </x:c>
      <x:c r="D68" s="146" t="e">
        <x:f>Liquiditätsplan!H67</x:f>
      </x:c>
      <x:c r="E68" s="146" t="e">
        <x:f>Liquiditätsplan!I67</x:f>
      </x:c>
      <x:c r="F68" s="146" t="e">
        <x:f>Liquiditätsplan!J67</x:f>
      </x:c>
      <x:c r="G68" s="146" t="n">
        <x:f>SUMIFS(Steuerkalender!$D$2:$D$100,Steuerkalender!$B$2:$B$100,"&gt;="&amp;A68,Steuerkalender!$B$2:$B$100,"&lt;"&amp;EDATE(A68,1))</x:f>
        <x:v>0</x:v>
      </x:c>
      <x:c r="H68" s="146" t="n">
        <x:f>SUMIFS('USt-Monatsübersicht'!$F$2:$F$115,'USt-Monatsübersicht'!$B$2:$B$115,"&gt;="&amp;A68,'USt-Monatsübersicht'!$B$2:$B$115,"&lt;"&amp;EDATE(A68,1))</x:f>
        <x:v>0</x:v>
      </x:c>
      <x:c r="I68" s="146" t="e">
        <x:f>Liquiditätsplan!L67</x:f>
      </x:c>
      <x:c r="J68" s="146">
        <x:f t="shared" si="4"/>
        <x:v>3480</x:v>
      </x:c>
      <x:c r="K68" s="146" t="e">
        <x:f>Liquiditätsplan!K67</x:f>
      </x:c>
      <x:c r="L68" s="146">
        <x:f t="shared" si="5"/>
        <x:v>3480</x:v>
      </x:c>
    </x:row>
    <x:row r="69" ht="14.399999618530273" customHeight="1">
      <x:c r="A69" s="187">
        <x:v>48214</x:v>
      </x:c>
      <x:c r="B69" s="147" t="e">
        <x:f>Liquiditätsplan!E68</x:f>
      </x:c>
      <x:c r="C69" s="147" t="e">
        <x:f>Liquiditätsplan!G68</x:f>
      </x:c>
      <x:c r="D69" s="147" t="e">
        <x:f>Liquiditätsplan!H68</x:f>
      </x:c>
      <x:c r="E69" s="147" t="e">
        <x:f>Liquiditätsplan!I68</x:f>
      </x:c>
      <x:c r="F69" s="147" t="e">
        <x:f>Liquiditätsplan!J68</x:f>
      </x:c>
      <x:c r="G69" s="147" t="n">
        <x:f>SUMIFS(Steuerkalender!$D$2:$D$100,Steuerkalender!$B$2:$B$100,"&gt;="&amp;A69,Steuerkalender!$B$2:$B$100,"&lt;"&amp;EDATE(A69,1))</x:f>
        <x:v>0</x:v>
      </x:c>
      <x:c r="H69" s="147" t="n">
        <x:f>SUMIFS('USt-Monatsübersicht'!$F$2:$F$115,'USt-Monatsübersicht'!$B$2:$B$115,"&gt;="&amp;A69,'USt-Monatsübersicht'!$B$2:$B$115,"&lt;"&amp;EDATE(A69,1))</x:f>
        <x:v>0</x:v>
      </x:c>
      <x:c r="I69" s="147" t="e">
        <x:f>Liquiditätsplan!L68</x:f>
      </x:c>
      <x:c r="J69" s="147">
        <x:f t="shared" si="4"/>
        <x:v>3480</x:v>
      </x:c>
      <x:c r="K69" s="147" t="e">
        <x:f>Liquiditätsplan!K68</x:f>
      </x:c>
      <x:c r="L69" s="147">
        <x:f t="shared" si="5"/>
        <x:v>3480</x:v>
      </x:c>
    </x:row>
    <x:row r="70" ht="14.399999618530273" customHeight="1">
      <x:c r="A70" s="186">
        <x:v>48245</x:v>
      </x:c>
      <x:c r="B70" s="146" t="e">
        <x:f>Liquiditätsplan!E69</x:f>
      </x:c>
      <x:c r="C70" s="146" t="e">
        <x:f>Liquiditätsplan!G69</x:f>
      </x:c>
      <x:c r="D70" s="146" t="e">
        <x:f>Liquiditätsplan!H69</x:f>
      </x:c>
      <x:c r="E70" s="146" t="e">
        <x:f>Liquiditätsplan!I69</x:f>
      </x:c>
      <x:c r="F70" s="146" t="e">
        <x:f>Liquiditätsplan!J69</x:f>
      </x:c>
      <x:c r="G70" s="146" t="n">
        <x:f>SUMIFS(Steuerkalender!$D$2:$D$100,Steuerkalender!$B$2:$B$100,"&gt;="&amp;A70,Steuerkalender!$B$2:$B$100,"&lt;"&amp;EDATE(A70,1))</x:f>
        <x:v>0</x:v>
      </x:c>
      <x:c r="H70" s="146" t="n">
        <x:f>SUMIFS('USt-Monatsübersicht'!$F$2:$F$115,'USt-Monatsübersicht'!$B$2:$B$115,"&gt;="&amp;A70,'USt-Monatsübersicht'!$B$2:$B$115,"&lt;"&amp;EDATE(A70,1))</x:f>
        <x:v>0</x:v>
      </x:c>
      <x:c r="I70" s="146" t="e">
        <x:f>Liquiditätsplan!L69</x:f>
      </x:c>
      <x:c r="J70" s="146">
        <x:f t="shared" si="4"/>
        <x:v>3480</x:v>
      </x:c>
      <x:c r="K70" s="146" t="e">
        <x:f>Liquiditätsplan!K69</x:f>
      </x:c>
      <x:c r="L70" s="146">
        <x:f t="shared" si="5"/>
        <x:v>3480</x:v>
      </x:c>
    </x:row>
    <x:row r="71" ht="14.399999618530273" customHeight="1">
      <x:c r="A71" s="187">
        <x:v>48274</x:v>
      </x:c>
      <x:c r="B71" s="147" t="e">
        <x:f>Liquiditätsplan!E70</x:f>
      </x:c>
      <x:c r="C71" s="147" t="e">
        <x:f>Liquiditätsplan!G70</x:f>
      </x:c>
      <x:c r="D71" s="147" t="e">
        <x:f>Liquiditätsplan!H70</x:f>
      </x:c>
      <x:c r="E71" s="147" t="e">
        <x:f>Liquiditätsplan!I70</x:f>
      </x:c>
      <x:c r="F71" s="147" t="e">
        <x:f>Liquiditätsplan!J70</x:f>
      </x:c>
      <x:c r="G71" s="147" t="n">
        <x:f>SUMIFS(Steuerkalender!$D$2:$D$100,Steuerkalender!$B$2:$B$100,"&gt;="&amp;A71,Steuerkalender!$B$2:$B$100,"&lt;"&amp;EDATE(A71,1))</x:f>
        <x:v>0</x:v>
      </x:c>
      <x:c r="H71" s="147" t="n">
        <x:f>SUMIFS('USt-Monatsübersicht'!$F$2:$F$115,'USt-Monatsübersicht'!$B$2:$B$115,"&gt;="&amp;A71,'USt-Monatsübersicht'!$B$2:$B$115,"&lt;"&amp;EDATE(A71,1))</x:f>
        <x:v>0</x:v>
      </x:c>
      <x:c r="I71" s="147" t="e">
        <x:f>Liquiditätsplan!L70</x:f>
      </x:c>
      <x:c r="J71" s="147">
        <x:f t="shared" si="4"/>
        <x:v>3480</x:v>
      </x:c>
      <x:c r="K71" s="147" t="e">
        <x:f>Liquiditätsplan!K70</x:f>
      </x:c>
      <x:c r="L71" s="147">
        <x:f t="shared" si="5"/>
        <x:v>3480</x:v>
      </x:c>
    </x:row>
    <x:row r="72" ht="14.399999618530273" customHeight="1">
      <x:c r="A72" s="186">
        <x:v>48305</x:v>
      </x:c>
      <x:c r="B72" s="146" t="e">
        <x:f>Liquiditätsplan!E71</x:f>
      </x:c>
      <x:c r="C72" s="146" t="e">
        <x:f>Liquiditätsplan!G71</x:f>
      </x:c>
      <x:c r="D72" s="146" t="e">
        <x:f>Liquiditätsplan!H71</x:f>
      </x:c>
      <x:c r="E72" s="146" t="e">
        <x:f>Liquiditätsplan!I71</x:f>
      </x:c>
      <x:c r="F72" s="146" t="e">
        <x:f>Liquiditätsplan!J71</x:f>
      </x:c>
      <x:c r="G72" s="146" t="n">
        <x:f>SUMIFS(Steuerkalender!$D$2:$D$100,Steuerkalender!$B$2:$B$100,"&gt;="&amp;A72,Steuerkalender!$B$2:$B$100,"&lt;"&amp;EDATE(A72,1))</x:f>
        <x:v>0</x:v>
      </x:c>
      <x:c r="H72" s="146" t="n">
        <x:f>SUMIFS('USt-Monatsübersicht'!$F$2:$F$115,'USt-Monatsübersicht'!$B$2:$B$115,"&gt;="&amp;A72,'USt-Monatsübersicht'!$B$2:$B$115,"&lt;"&amp;EDATE(A72,1))</x:f>
        <x:v>0</x:v>
      </x:c>
      <x:c r="I72" s="146" t="e">
        <x:f>Liquiditätsplan!L71</x:f>
      </x:c>
      <x:c r="J72" s="146">
        <x:f t="shared" si="4"/>
        <x:v>3480</x:v>
      </x:c>
      <x:c r="K72" s="146" t="e">
        <x:f>Liquiditätsplan!K71</x:f>
      </x:c>
      <x:c r="L72" s="146">
        <x:f t="shared" si="5"/>
        <x:v>3480</x:v>
      </x:c>
    </x:row>
    <x:row r="73" ht="14.399999618530273" customHeight="1">
      <x:c r="A73" s="187">
        <x:v>48335</x:v>
      </x:c>
      <x:c r="B73" s="147" t="e">
        <x:f>Liquiditätsplan!E72</x:f>
      </x:c>
      <x:c r="C73" s="147" t="e">
        <x:f>Liquiditätsplan!G72</x:f>
      </x:c>
      <x:c r="D73" s="147" t="e">
        <x:f>Liquiditätsplan!H72</x:f>
      </x:c>
      <x:c r="E73" s="147" t="e">
        <x:f>Liquiditätsplan!I72</x:f>
      </x:c>
      <x:c r="F73" s="147" t="e">
        <x:f>Liquiditätsplan!J72</x:f>
      </x:c>
      <x:c r="G73" s="147" t="n">
        <x:f>SUMIFS(Steuerkalender!$D$2:$D$100,Steuerkalender!$B$2:$B$100,"&gt;="&amp;A73,Steuerkalender!$B$2:$B$100,"&lt;"&amp;EDATE(A73,1))</x:f>
        <x:v>0</x:v>
      </x:c>
      <x:c r="H73" s="147" t="n">
        <x:f>SUMIFS('USt-Monatsübersicht'!$F$2:$F$115,'USt-Monatsübersicht'!$B$2:$B$115,"&gt;="&amp;A73,'USt-Monatsübersicht'!$B$2:$B$115,"&lt;"&amp;EDATE(A73,1))</x:f>
        <x:v>0</x:v>
      </x:c>
      <x:c r="I73" s="147" t="e">
        <x:f>Liquiditätsplan!L72</x:f>
      </x:c>
      <x:c r="J73" s="147">
        <x:f t="shared" si="4"/>
        <x:v>3480</x:v>
      </x:c>
      <x:c r="K73" s="147" t="e">
        <x:f>Liquiditätsplan!K72</x:f>
      </x:c>
      <x:c r="L73" s="147">
        <x:f t="shared" si="5"/>
        <x:v>3480</x:v>
      </x:c>
    </x:row>
    <x:row r="74" ht="14.399999618530273" customHeight="1">
      <x:c r="A74" s="186">
        <x:v>48366</x:v>
      </x:c>
      <x:c r="B74" s="146" t="e">
        <x:f>Liquiditätsplan!E73</x:f>
      </x:c>
      <x:c r="C74" s="146" t="e">
        <x:f>Liquiditätsplan!G73</x:f>
      </x:c>
      <x:c r="D74" s="146" t="e">
        <x:f>Liquiditätsplan!H73</x:f>
      </x:c>
      <x:c r="E74" s="146" t="e">
        <x:f>Liquiditätsplan!I73</x:f>
      </x:c>
      <x:c r="F74" s="146" t="e">
        <x:f>Liquiditätsplan!J73</x:f>
      </x:c>
      <x:c r="G74" s="146" t="n">
        <x:f>SUMIFS(Steuerkalender!$D$2:$D$100,Steuerkalender!$B$2:$B$100,"&gt;="&amp;A74,Steuerkalender!$B$2:$B$100,"&lt;"&amp;EDATE(A74,1))</x:f>
        <x:v>0</x:v>
      </x:c>
      <x:c r="H74" s="146" t="n">
        <x:f>SUMIFS('USt-Monatsübersicht'!$F$2:$F$115,'USt-Monatsübersicht'!$B$2:$B$115,"&gt;="&amp;A74,'USt-Monatsübersicht'!$B$2:$B$115,"&lt;"&amp;EDATE(A74,1))</x:f>
        <x:v>0</x:v>
      </x:c>
      <x:c r="I74" s="146" t="e">
        <x:f>Liquiditätsplan!L73</x:f>
      </x:c>
      <x:c r="J74" s="146">
        <x:f t="shared" si="4"/>
        <x:v>3480</x:v>
      </x:c>
      <x:c r="K74" s="146" t="e">
        <x:f>Liquiditätsplan!K73</x:f>
      </x:c>
      <x:c r="L74" s="146">
        <x:f t="shared" si="5"/>
        <x:v>3480</x:v>
      </x:c>
    </x:row>
    <x:row r="75" ht="14.399999618530273" customHeight="1">
      <x:c r="A75" s="187">
        <x:v>48396</x:v>
      </x:c>
      <x:c r="B75" s="147" t="e">
        <x:f>Liquiditätsplan!E74</x:f>
      </x:c>
      <x:c r="C75" s="147" t="e">
        <x:f>Liquiditätsplan!G74</x:f>
      </x:c>
      <x:c r="D75" s="147" t="e">
        <x:f>Liquiditätsplan!H74</x:f>
      </x:c>
      <x:c r="E75" s="147" t="e">
        <x:f>Liquiditätsplan!I74</x:f>
      </x:c>
      <x:c r="F75" s="147" t="e">
        <x:f>Liquiditätsplan!J74</x:f>
      </x:c>
      <x:c r="G75" s="147" t="n">
        <x:f>SUMIFS(Steuerkalender!$D$2:$D$100,Steuerkalender!$B$2:$B$100,"&gt;="&amp;A75,Steuerkalender!$B$2:$B$100,"&lt;"&amp;EDATE(A75,1))</x:f>
        <x:v>0</x:v>
      </x:c>
      <x:c r="H75" s="147" t="n">
        <x:f>SUMIFS('USt-Monatsübersicht'!$F$2:$F$115,'USt-Monatsübersicht'!$B$2:$B$115,"&gt;="&amp;A75,'USt-Monatsübersicht'!$B$2:$B$115,"&lt;"&amp;EDATE(A75,1))</x:f>
        <x:v>0</x:v>
      </x:c>
      <x:c r="I75" s="147" t="e">
        <x:f>Liquiditätsplan!L74</x:f>
      </x:c>
      <x:c r="J75" s="147">
        <x:f t="shared" si="4"/>
        <x:v>3480</x:v>
      </x:c>
      <x:c r="K75" s="147" t="e">
        <x:f>Liquiditätsplan!K74</x:f>
      </x:c>
      <x:c r="L75" s="147">
        <x:f t="shared" si="5"/>
        <x:v>3480</x:v>
      </x:c>
    </x:row>
    <x:row r="76" ht="14.399999618530273" customHeight="1">
      <x:c r="A76" s="186">
        <x:v>48427</x:v>
      </x:c>
      <x:c r="B76" s="146" t="e">
        <x:f>Liquiditätsplan!E75</x:f>
      </x:c>
      <x:c r="C76" s="146" t="e">
        <x:f>Liquiditätsplan!G75</x:f>
      </x:c>
      <x:c r="D76" s="146" t="e">
        <x:f>Liquiditätsplan!H75</x:f>
      </x:c>
      <x:c r="E76" s="146" t="e">
        <x:f>Liquiditätsplan!I75</x:f>
      </x:c>
      <x:c r="F76" s="146" t="e">
        <x:f>Liquiditätsplan!J75</x:f>
      </x:c>
      <x:c r="G76" s="146" t="n">
        <x:f>SUMIFS(Steuerkalender!$D$2:$D$100,Steuerkalender!$B$2:$B$100,"&gt;="&amp;A76,Steuerkalender!$B$2:$B$100,"&lt;"&amp;EDATE(A76,1))</x:f>
        <x:v>0</x:v>
      </x:c>
      <x:c r="H76" s="146" t="n">
        <x:f>SUMIFS('USt-Monatsübersicht'!$F$2:$F$115,'USt-Monatsübersicht'!$B$2:$B$115,"&gt;="&amp;A76,'USt-Monatsübersicht'!$B$2:$B$115,"&lt;"&amp;EDATE(A76,1))</x:f>
        <x:v>0</x:v>
      </x:c>
      <x:c r="I76" s="146" t="e">
        <x:f>Liquiditätsplan!L75</x:f>
      </x:c>
      <x:c r="J76" s="146">
        <x:f t="shared" si="4"/>
        <x:v>3480</x:v>
      </x:c>
      <x:c r="K76" s="146" t="e">
        <x:f>Liquiditätsplan!K75</x:f>
      </x:c>
      <x:c r="L76" s="146">
        <x:f t="shared" si="5"/>
        <x:v>3480</x:v>
      </x:c>
    </x:row>
    <x:row r="77" ht="14.399999618530273" customHeight="1">
      <x:c r="A77" s="187">
        <x:v>48458</x:v>
      </x:c>
      <x:c r="B77" s="147" t="e">
        <x:f>Liquiditätsplan!E76</x:f>
      </x:c>
      <x:c r="C77" s="147" t="e">
        <x:f>Liquiditätsplan!G76</x:f>
      </x:c>
      <x:c r="D77" s="147" t="e">
        <x:f>Liquiditätsplan!H76</x:f>
      </x:c>
      <x:c r="E77" s="147" t="e">
        <x:f>Liquiditätsplan!I76</x:f>
      </x:c>
      <x:c r="F77" s="147" t="e">
        <x:f>Liquiditätsplan!J76</x:f>
      </x:c>
      <x:c r="G77" s="147" t="n">
        <x:f>SUMIFS(Steuerkalender!$D$2:$D$100,Steuerkalender!$B$2:$B$100,"&gt;="&amp;A77,Steuerkalender!$B$2:$B$100,"&lt;"&amp;EDATE(A77,1))</x:f>
        <x:v>0</x:v>
      </x:c>
      <x:c r="H77" s="147" t="n">
        <x:f>SUMIFS('USt-Monatsübersicht'!$F$2:$F$115,'USt-Monatsübersicht'!$B$2:$B$115,"&gt;="&amp;A77,'USt-Monatsübersicht'!$B$2:$B$115,"&lt;"&amp;EDATE(A77,1))</x:f>
        <x:v>0</x:v>
      </x:c>
      <x:c r="I77" s="147" t="e">
        <x:f>Liquiditätsplan!L76</x:f>
      </x:c>
      <x:c r="J77" s="147">
        <x:f t="shared" si="4"/>
        <x:v>3480</x:v>
      </x:c>
      <x:c r="K77" s="147" t="e">
        <x:f>Liquiditätsplan!K76</x:f>
      </x:c>
      <x:c r="L77" s="147">
        <x:f t="shared" si="5"/>
        <x:v>3480</x:v>
      </x:c>
    </x:row>
    <x:row r="78" ht="14.399999618530273" customHeight="1">
      <x:c r="A78" s="186">
        <x:v>48488</x:v>
      </x:c>
      <x:c r="B78" s="146" t="e">
        <x:f>Liquiditätsplan!E77</x:f>
      </x:c>
      <x:c r="C78" s="146" t="e">
        <x:f>Liquiditätsplan!G77</x:f>
      </x:c>
      <x:c r="D78" s="146" t="e">
        <x:f>Liquiditätsplan!H77</x:f>
      </x:c>
      <x:c r="E78" s="146" t="e">
        <x:f>Liquiditätsplan!I77</x:f>
      </x:c>
      <x:c r="F78" s="146" t="e">
        <x:f>Liquiditätsplan!J77</x:f>
      </x:c>
      <x:c r="G78" s="146" t="n">
        <x:f>SUMIFS(Steuerkalender!$D$2:$D$100,Steuerkalender!$B$2:$B$100,"&gt;="&amp;A78,Steuerkalender!$B$2:$B$100,"&lt;"&amp;EDATE(A78,1))</x:f>
        <x:v>0</x:v>
      </x:c>
      <x:c r="H78" s="146" t="n">
        <x:f>SUMIFS('USt-Monatsübersicht'!$F$2:$F$115,'USt-Monatsübersicht'!$B$2:$B$115,"&gt;="&amp;A78,'USt-Monatsübersicht'!$B$2:$B$115,"&lt;"&amp;EDATE(A78,1))</x:f>
        <x:v>0</x:v>
      </x:c>
      <x:c r="I78" s="146" t="e">
        <x:f>Liquiditätsplan!L77</x:f>
      </x:c>
      <x:c r="J78" s="146">
        <x:f t="shared" si="4"/>
        <x:v>3480</x:v>
      </x:c>
      <x:c r="K78" s="146" t="e">
        <x:f>Liquiditätsplan!K77</x:f>
      </x:c>
      <x:c r="L78" s="146">
        <x:f t="shared" si="5"/>
        <x:v>3480</x:v>
      </x:c>
    </x:row>
    <x:row r="79" ht="14.399999618530273" customHeight="1">
      <x:c r="A79" s="187">
        <x:v>48519</x:v>
      </x:c>
      <x:c r="B79" s="147" t="e">
        <x:f>Liquiditätsplan!E78</x:f>
      </x:c>
      <x:c r="C79" s="147" t="e">
        <x:f>Liquiditätsplan!G78</x:f>
      </x:c>
      <x:c r="D79" s="147" t="e">
        <x:f>Liquiditätsplan!H78</x:f>
      </x:c>
      <x:c r="E79" s="147" t="e">
        <x:f>Liquiditätsplan!I78</x:f>
      </x:c>
      <x:c r="F79" s="147" t="e">
        <x:f>Liquiditätsplan!J78</x:f>
      </x:c>
      <x:c r="G79" s="147" t="n">
        <x:f>SUMIFS(Steuerkalender!$D$2:$D$100,Steuerkalender!$B$2:$B$100,"&gt;="&amp;A79,Steuerkalender!$B$2:$B$100,"&lt;"&amp;EDATE(A79,1))</x:f>
        <x:v>0</x:v>
      </x:c>
      <x:c r="H79" s="147" t="n">
        <x:f>SUMIFS('USt-Monatsübersicht'!$F$2:$F$115,'USt-Monatsübersicht'!$B$2:$B$115,"&gt;="&amp;A79,'USt-Monatsübersicht'!$B$2:$B$115,"&lt;"&amp;EDATE(A79,1))</x:f>
        <x:v>0</x:v>
      </x:c>
      <x:c r="I79" s="147" t="e">
        <x:f>Liquiditätsplan!L78</x:f>
      </x:c>
      <x:c r="J79" s="147">
        <x:f t="shared" si="4"/>
        <x:v>3480</x:v>
      </x:c>
      <x:c r="K79" s="147" t="e">
        <x:f>Liquiditätsplan!K78</x:f>
      </x:c>
      <x:c r="L79" s="147">
        <x:f t="shared" si="5"/>
        <x:v>3480</x:v>
      </x:c>
    </x:row>
    <x:row r="80" ht="14.399999618530273" customHeight="1">
      <x:c r="A80" s="186">
        <x:v>48549</x:v>
      </x:c>
      <x:c r="B80" s="146" t="e">
        <x:f>Liquiditätsplan!E79</x:f>
      </x:c>
      <x:c r="C80" s="146" t="e">
        <x:f>Liquiditätsplan!G79</x:f>
      </x:c>
      <x:c r="D80" s="146" t="e">
        <x:f>Liquiditätsplan!H79</x:f>
      </x:c>
      <x:c r="E80" s="146" t="e">
        <x:f>Liquiditätsplan!I79</x:f>
      </x:c>
      <x:c r="F80" s="146" t="e">
        <x:f>Liquiditätsplan!J79</x:f>
      </x:c>
      <x:c r="G80" s="146" t="n">
        <x:f>SUMIFS(Steuerkalender!$D$2:$D$100,Steuerkalender!$B$2:$B$100,"&gt;="&amp;A80,Steuerkalender!$B$2:$B$100,"&lt;"&amp;EDATE(A80,1))</x:f>
        <x:v>0</x:v>
      </x:c>
      <x:c r="H80" s="146" t="n">
        <x:f>SUMIFS('USt-Monatsübersicht'!$F$2:$F$115,'USt-Monatsübersicht'!$B$2:$B$115,"&gt;="&amp;A80,'USt-Monatsübersicht'!$B$2:$B$115,"&lt;"&amp;EDATE(A80,1))</x:f>
        <x:v>0</x:v>
      </x:c>
      <x:c r="I80" s="146" t="e">
        <x:f>Liquiditätsplan!L79</x:f>
      </x:c>
      <x:c r="J80" s="146">
        <x:f t="shared" si="4"/>
        <x:v>3480</x:v>
      </x:c>
      <x:c r="K80" s="146" t="e">
        <x:f>Liquiditätsplan!K79</x:f>
      </x:c>
      <x:c r="L80" s="146">
        <x:f t="shared" si="5"/>
        <x:v>3480</x:v>
      </x:c>
    </x:row>
    <x:row r="81" ht="14.399999618530273" customHeight="1">
      <x:c r="A81" s="187">
        <x:v>48580</x:v>
      </x:c>
      <x:c r="B81" s="147" t="e">
        <x:f>Liquiditätsplan!E80</x:f>
      </x:c>
      <x:c r="C81" s="147" t="e">
        <x:f>Liquiditätsplan!G80</x:f>
      </x:c>
      <x:c r="D81" s="147" t="e">
        <x:f>Liquiditätsplan!H80</x:f>
      </x:c>
      <x:c r="E81" s="147" t="e">
        <x:f>Liquiditätsplan!I80</x:f>
      </x:c>
      <x:c r="F81" s="147" t="e">
        <x:f>Liquiditätsplan!J80</x:f>
      </x:c>
      <x:c r="G81" s="147" t="n">
        <x:f>SUMIFS(Steuerkalender!$D$2:$D$100,Steuerkalender!$B$2:$B$100,"&gt;="&amp;A81,Steuerkalender!$B$2:$B$100,"&lt;"&amp;EDATE(A81,1))</x:f>
        <x:v>0</x:v>
      </x:c>
      <x:c r="H81" s="147" t="n">
        <x:f>SUMIFS('USt-Monatsübersicht'!$F$2:$F$115,'USt-Monatsübersicht'!$B$2:$B$115,"&gt;="&amp;A81,'USt-Monatsübersicht'!$B$2:$B$115,"&lt;"&amp;EDATE(A81,1))</x:f>
        <x:v>0</x:v>
      </x:c>
      <x:c r="I81" s="147" t="e">
        <x:f>Liquiditätsplan!L80</x:f>
      </x:c>
      <x:c r="J81" s="147">
        <x:f t="shared" si="4"/>
        <x:v>3480</x:v>
      </x:c>
      <x:c r="K81" s="147" t="e">
        <x:f>Liquiditätsplan!K80</x:f>
      </x:c>
      <x:c r="L81" s="147">
        <x:f t="shared" si="5"/>
        <x:v>3480</x:v>
      </x:c>
    </x:row>
    <x:row r="82" ht="14.399999618530273" customHeight="1">
      <x:c r="A82" s="186">
        <x:v>48611</x:v>
      </x:c>
      <x:c r="B82" s="146" t="e">
        <x:f>Liquiditätsplan!E81</x:f>
      </x:c>
      <x:c r="C82" s="146" t="e">
        <x:f>Liquiditätsplan!G81</x:f>
      </x:c>
      <x:c r="D82" s="146" t="e">
        <x:f>Liquiditätsplan!H81</x:f>
      </x:c>
      <x:c r="E82" s="146" t="e">
        <x:f>Liquiditätsplan!I81</x:f>
      </x:c>
      <x:c r="F82" s="146" t="e">
        <x:f>Liquiditätsplan!J81</x:f>
      </x:c>
      <x:c r="G82" s="146" t="n">
        <x:f>SUMIFS(Steuerkalender!$D$2:$D$100,Steuerkalender!$B$2:$B$100,"&gt;="&amp;A82,Steuerkalender!$B$2:$B$100,"&lt;"&amp;EDATE(A82,1))</x:f>
        <x:v>0</x:v>
      </x:c>
      <x:c r="H82" s="146" t="n">
        <x:f>SUMIFS('USt-Monatsübersicht'!$F$2:$F$115,'USt-Monatsübersicht'!$B$2:$B$115,"&gt;="&amp;A82,'USt-Monatsübersicht'!$B$2:$B$115,"&lt;"&amp;EDATE(A82,1))</x:f>
        <x:v>0</x:v>
      </x:c>
      <x:c r="I82" s="146" t="e">
        <x:f>Liquiditätsplan!L81</x:f>
      </x:c>
      <x:c r="J82" s="146">
        <x:f t="shared" si="4"/>
        <x:v>3480</x:v>
      </x:c>
      <x:c r="K82" s="146" t="e">
        <x:f>Liquiditätsplan!K81</x:f>
      </x:c>
      <x:c r="L82" s="146">
        <x:f t="shared" si="5"/>
        <x:v>3480</x:v>
      </x:c>
    </x:row>
    <x:row r="83" ht="14.399999618530273" customHeight="1">
      <x:c r="A83" s="187">
        <x:v>48639</x:v>
      </x:c>
      <x:c r="B83" s="147" t="e">
        <x:f>Liquiditätsplan!E82</x:f>
      </x:c>
      <x:c r="C83" s="147" t="e">
        <x:f>Liquiditätsplan!G82</x:f>
      </x:c>
      <x:c r="D83" s="147" t="e">
        <x:f>Liquiditätsplan!H82</x:f>
      </x:c>
      <x:c r="E83" s="147" t="e">
        <x:f>Liquiditätsplan!I82</x:f>
      </x:c>
      <x:c r="F83" s="147" t="e">
        <x:f>Liquiditätsplan!J82</x:f>
      </x:c>
      <x:c r="G83" s="147" t="n">
        <x:f>SUMIFS(Steuerkalender!$D$2:$D$100,Steuerkalender!$B$2:$B$100,"&gt;="&amp;A83,Steuerkalender!$B$2:$B$100,"&lt;"&amp;EDATE(A83,1))</x:f>
        <x:v>0</x:v>
      </x:c>
      <x:c r="H83" s="147" t="n">
        <x:f>SUMIFS('USt-Monatsübersicht'!$F$2:$F$115,'USt-Monatsübersicht'!$B$2:$B$115,"&gt;="&amp;A83,'USt-Monatsübersicht'!$B$2:$B$115,"&lt;"&amp;EDATE(A83,1))</x:f>
        <x:v>0</x:v>
      </x:c>
      <x:c r="I83" s="147" t="e">
        <x:f>Liquiditätsplan!L82</x:f>
      </x:c>
      <x:c r="J83" s="147">
        <x:f t="shared" si="4"/>
        <x:v>3480</x:v>
      </x:c>
      <x:c r="K83" s="147" t="e">
        <x:f>Liquiditätsplan!K82</x:f>
      </x:c>
      <x:c r="L83" s="147">
        <x:f t="shared" si="5"/>
        <x:v>3480</x:v>
      </x:c>
    </x:row>
    <x:row r="84" ht="14.399999618530273" customHeight="1">
      <x:c r="A84" s="186">
        <x:v>48670</x:v>
      </x:c>
      <x:c r="B84" s="146" t="e">
        <x:f>Liquiditätsplan!E83</x:f>
      </x:c>
      <x:c r="C84" s="146" t="e">
        <x:f>Liquiditätsplan!G83</x:f>
      </x:c>
      <x:c r="D84" s="146" t="e">
        <x:f>Liquiditätsplan!H83</x:f>
      </x:c>
      <x:c r="E84" s="146" t="e">
        <x:f>Liquiditätsplan!I83</x:f>
      </x:c>
      <x:c r="F84" s="146" t="e">
        <x:f>Liquiditätsplan!J83</x:f>
      </x:c>
      <x:c r="G84" s="146" t="n">
        <x:f>SUMIFS(Steuerkalender!$D$2:$D$100,Steuerkalender!$B$2:$B$100,"&gt;="&amp;A84,Steuerkalender!$B$2:$B$100,"&lt;"&amp;EDATE(A84,1))</x:f>
        <x:v>0</x:v>
      </x:c>
      <x:c r="H84" s="146" t="n">
        <x:f>SUMIFS('USt-Monatsübersicht'!$F$2:$F$115,'USt-Monatsübersicht'!$B$2:$B$115,"&gt;="&amp;A84,'USt-Monatsübersicht'!$B$2:$B$115,"&lt;"&amp;EDATE(A84,1))</x:f>
        <x:v>0</x:v>
      </x:c>
      <x:c r="I84" s="146" t="e">
        <x:f>Liquiditätsplan!L83</x:f>
      </x:c>
      <x:c r="J84" s="146">
        <x:f t="shared" si="4"/>
        <x:v>3480</x:v>
      </x:c>
      <x:c r="K84" s="146" t="e">
        <x:f>Liquiditätsplan!K83</x:f>
      </x:c>
      <x:c r="L84" s="146">
        <x:f t="shared" si="5"/>
        <x:v>3480</x:v>
      </x:c>
    </x:row>
    <x:row r="85" ht="14.399999618530273" customHeight="1">
      <x:c r="A85" s="187">
        <x:v>48700</x:v>
      </x:c>
      <x:c r="B85" s="147" t="e">
        <x:f>Liquiditätsplan!E84</x:f>
      </x:c>
      <x:c r="C85" s="147" t="e">
        <x:f>Liquiditätsplan!G84</x:f>
      </x:c>
      <x:c r="D85" s="147" t="e">
        <x:f>Liquiditätsplan!H84</x:f>
      </x:c>
      <x:c r="E85" s="147" t="e">
        <x:f>Liquiditätsplan!I84</x:f>
      </x:c>
      <x:c r="F85" s="147" t="e">
        <x:f>Liquiditätsplan!J84</x:f>
      </x:c>
      <x:c r="G85" s="147" t="n">
        <x:f>SUMIFS(Steuerkalender!$D$2:$D$100,Steuerkalender!$B$2:$B$100,"&gt;="&amp;A85,Steuerkalender!$B$2:$B$100,"&lt;"&amp;EDATE(A85,1))</x:f>
        <x:v>0</x:v>
      </x:c>
      <x:c r="H85" s="147" t="n">
        <x:f>SUMIFS('USt-Monatsübersicht'!$F$2:$F$115,'USt-Monatsübersicht'!$B$2:$B$115,"&gt;="&amp;A85,'USt-Monatsübersicht'!$B$2:$B$115,"&lt;"&amp;EDATE(A85,1))</x:f>
        <x:v>0</x:v>
      </x:c>
      <x:c r="I85" s="147" t="e">
        <x:f>Liquiditätsplan!L84</x:f>
      </x:c>
      <x:c r="J85" s="147">
        <x:f t="shared" si="4"/>
        <x:v>3480</x:v>
      </x:c>
      <x:c r="K85" s="147" t="e">
        <x:f>Liquiditätsplan!K84</x:f>
      </x:c>
      <x:c r="L85" s="147">
        <x:f t="shared" si="5"/>
        <x:v>3480</x:v>
      </x:c>
    </x:row>
    <x:row r="86" ht="14.399999618530273" customHeight="1">
      <x:c r="A86" s="186">
        <x:v>48731</x:v>
      </x:c>
      <x:c r="B86" s="146" t="e">
        <x:f>Liquiditätsplan!E85</x:f>
      </x:c>
      <x:c r="C86" s="146" t="e">
        <x:f>Liquiditätsplan!G85</x:f>
      </x:c>
      <x:c r="D86" s="146" t="e">
        <x:f>Liquiditätsplan!H85</x:f>
      </x:c>
      <x:c r="E86" s="146" t="e">
        <x:f>Liquiditätsplan!I85</x:f>
      </x:c>
      <x:c r="F86" s="146" t="e">
        <x:f>Liquiditätsplan!J85</x:f>
      </x:c>
      <x:c r="G86" s="146" t="n">
        <x:f>SUMIFS(Steuerkalender!$D$2:$D$100,Steuerkalender!$B$2:$B$100,"&gt;="&amp;A86,Steuerkalender!$B$2:$B$100,"&lt;"&amp;EDATE(A86,1))</x:f>
        <x:v>0</x:v>
      </x:c>
      <x:c r="H86" s="146" t="n">
        <x:f>SUMIFS('USt-Monatsübersicht'!$F$2:$F$115,'USt-Monatsübersicht'!$B$2:$B$115,"&gt;="&amp;A86,'USt-Monatsübersicht'!$B$2:$B$115,"&lt;"&amp;EDATE(A86,1))</x:f>
        <x:v>0</x:v>
      </x:c>
      <x:c r="I86" s="146" t="e">
        <x:f>Liquiditätsplan!L85</x:f>
      </x:c>
      <x:c r="J86" s="146">
        <x:f t="shared" si="4"/>
        <x:v>3480</x:v>
      </x:c>
      <x:c r="K86" s="146" t="e">
        <x:f>Liquiditätsplan!K85</x:f>
      </x:c>
      <x:c r="L86" s="146">
        <x:f t="shared" si="5"/>
        <x:v>3480</x:v>
      </x:c>
    </x:row>
    <x:row r="87" ht="14.399999618530273" customHeight="1">
      <x:c r="A87" s="187">
        <x:v>48761</x:v>
      </x:c>
      <x:c r="B87" s="147" t="e">
        <x:f>Liquiditätsplan!E86</x:f>
      </x:c>
      <x:c r="C87" s="147" t="e">
        <x:f>Liquiditätsplan!G86</x:f>
      </x:c>
      <x:c r="D87" s="147" t="e">
        <x:f>Liquiditätsplan!H86</x:f>
      </x:c>
      <x:c r="E87" s="147" t="e">
        <x:f>Liquiditätsplan!I86</x:f>
      </x:c>
      <x:c r="F87" s="147" t="e">
        <x:f>Liquiditätsplan!J86</x:f>
      </x:c>
      <x:c r="G87" s="147" t="n">
        <x:f>SUMIFS(Steuerkalender!$D$2:$D$100,Steuerkalender!$B$2:$B$100,"&gt;="&amp;A87,Steuerkalender!$B$2:$B$100,"&lt;"&amp;EDATE(A87,1))</x:f>
        <x:v>0</x:v>
      </x:c>
      <x:c r="H87" s="147" t="n">
        <x:f>SUMIFS('USt-Monatsübersicht'!$F$2:$F$115,'USt-Monatsübersicht'!$B$2:$B$115,"&gt;="&amp;A87,'USt-Monatsübersicht'!$B$2:$B$115,"&lt;"&amp;EDATE(A87,1))</x:f>
        <x:v>0</x:v>
      </x:c>
      <x:c r="I87" s="147" t="e">
        <x:f>Liquiditätsplan!L86</x:f>
      </x:c>
      <x:c r="J87" s="147">
        <x:f t="shared" si="4"/>
        <x:v>3480</x:v>
      </x:c>
      <x:c r="K87" s="147" t="e">
        <x:f>Liquiditätsplan!K86</x:f>
      </x:c>
      <x:c r="L87" s="147">
        <x:f t="shared" si="5"/>
        <x:v>3480</x:v>
      </x:c>
    </x:row>
    <x:row r="88" ht="14.399999618530273" customHeight="1">
      <x:c r="A88" s="186">
        <x:v>48792</x:v>
      </x:c>
      <x:c r="B88" s="146" t="e">
        <x:f>Liquiditätsplan!E87</x:f>
      </x:c>
      <x:c r="C88" s="146" t="e">
        <x:f>Liquiditätsplan!G87</x:f>
      </x:c>
      <x:c r="D88" s="146" t="e">
        <x:f>Liquiditätsplan!H87</x:f>
      </x:c>
      <x:c r="E88" s="146" t="e">
        <x:f>Liquiditätsplan!I87</x:f>
      </x:c>
      <x:c r="F88" s="146" t="e">
        <x:f>Liquiditätsplan!J87</x:f>
      </x:c>
      <x:c r="G88" s="146" t="n">
        <x:f>SUMIFS(Steuerkalender!$D$2:$D$100,Steuerkalender!$B$2:$B$100,"&gt;="&amp;A88,Steuerkalender!$B$2:$B$100,"&lt;"&amp;EDATE(A88,1))</x:f>
        <x:v>0</x:v>
      </x:c>
      <x:c r="H88" s="146" t="n">
        <x:f>SUMIFS('USt-Monatsübersicht'!$F$2:$F$115,'USt-Monatsübersicht'!$B$2:$B$115,"&gt;="&amp;A88,'USt-Monatsübersicht'!$B$2:$B$115,"&lt;"&amp;EDATE(A88,1))</x:f>
        <x:v>0</x:v>
      </x:c>
      <x:c r="I88" s="146" t="e">
        <x:f>Liquiditätsplan!L87</x:f>
      </x:c>
      <x:c r="J88" s="146">
        <x:f t="shared" si="4"/>
        <x:v>3480</x:v>
      </x:c>
      <x:c r="K88" s="146" t="e">
        <x:f>Liquiditätsplan!K87</x:f>
      </x:c>
      <x:c r="L88" s="146">
        <x:f t="shared" si="5"/>
        <x:v>3480</x:v>
      </x:c>
    </x:row>
    <x:row r="89" ht="14.399999618530273" customHeight="1">
      <x:c r="A89" s="187">
        <x:v>48823</x:v>
      </x:c>
      <x:c r="B89" s="147" t="e">
        <x:f>Liquiditätsplan!E88</x:f>
      </x:c>
      <x:c r="C89" s="147" t="e">
        <x:f>Liquiditätsplan!G88</x:f>
      </x:c>
      <x:c r="D89" s="147" t="e">
        <x:f>Liquiditätsplan!H88</x:f>
      </x:c>
      <x:c r="E89" s="147" t="e">
        <x:f>Liquiditätsplan!I88</x:f>
      </x:c>
      <x:c r="F89" s="147" t="e">
        <x:f>Liquiditätsplan!J88</x:f>
      </x:c>
      <x:c r="G89" s="147" t="n">
        <x:f>SUMIFS(Steuerkalender!$D$2:$D$100,Steuerkalender!$B$2:$B$100,"&gt;="&amp;A89,Steuerkalender!$B$2:$B$100,"&lt;"&amp;EDATE(A89,1))</x:f>
        <x:v>0</x:v>
      </x:c>
      <x:c r="H89" s="147" t="n">
        <x:f>SUMIFS('USt-Monatsübersicht'!$F$2:$F$115,'USt-Monatsübersicht'!$B$2:$B$115,"&gt;="&amp;A89,'USt-Monatsübersicht'!$B$2:$B$115,"&lt;"&amp;EDATE(A89,1))</x:f>
        <x:v>0</x:v>
      </x:c>
      <x:c r="I89" s="147" t="e">
        <x:f>Liquiditätsplan!L88</x:f>
      </x:c>
      <x:c r="J89" s="147">
        <x:f t="shared" si="4"/>
        <x:v>3480</x:v>
      </x:c>
      <x:c r="K89" s="147" t="e">
        <x:f>Liquiditätsplan!K88</x:f>
      </x:c>
      <x:c r="L89" s="147">
        <x:f t="shared" si="5"/>
        <x:v>3480</x:v>
      </x:c>
    </x:row>
    <x:row r="90" ht="14.399999618530273" customHeight="1">
      <x:c r="A90" s="186">
        <x:v>48853</x:v>
      </x:c>
      <x:c r="B90" s="146" t="e">
        <x:f>Liquiditätsplan!E89</x:f>
      </x:c>
      <x:c r="C90" s="146" t="e">
        <x:f>Liquiditätsplan!G89</x:f>
      </x:c>
      <x:c r="D90" s="146" t="e">
        <x:f>Liquiditätsplan!H89</x:f>
      </x:c>
      <x:c r="E90" s="146" t="e">
        <x:f>Liquiditätsplan!I89</x:f>
      </x:c>
      <x:c r="F90" s="146" t="e">
        <x:f>Liquiditätsplan!J89</x:f>
      </x:c>
      <x:c r="G90" s="146" t="n">
        <x:f>SUMIFS(Steuerkalender!$D$2:$D$100,Steuerkalender!$B$2:$B$100,"&gt;="&amp;A90,Steuerkalender!$B$2:$B$100,"&lt;"&amp;EDATE(A90,1))</x:f>
        <x:v>0</x:v>
      </x:c>
      <x:c r="H90" s="146" t="n">
        <x:f>SUMIFS('USt-Monatsübersicht'!$F$2:$F$115,'USt-Monatsübersicht'!$B$2:$B$115,"&gt;="&amp;A90,'USt-Monatsübersicht'!$B$2:$B$115,"&lt;"&amp;EDATE(A90,1))</x:f>
        <x:v>0</x:v>
      </x:c>
      <x:c r="I90" s="146" t="e">
        <x:f>Liquiditätsplan!L89</x:f>
      </x:c>
      <x:c r="J90" s="146">
        <x:f t="shared" si="4"/>
        <x:v>3480</x:v>
      </x:c>
      <x:c r="K90" s="146" t="e">
        <x:f>Liquiditätsplan!K89</x:f>
      </x:c>
      <x:c r="L90" s="146">
        <x:f t="shared" si="5"/>
        <x:v>3480</x:v>
      </x:c>
    </x:row>
    <x:row r="91" ht="14.399999618530273" customHeight="1">
      <x:c r="A91" s="187">
        <x:v>48884</x:v>
      </x:c>
      <x:c r="B91" s="147" t="e">
        <x:f>Liquiditätsplan!E90</x:f>
      </x:c>
      <x:c r="C91" s="147" t="e">
        <x:f>Liquiditätsplan!G90</x:f>
      </x:c>
      <x:c r="D91" s="147" t="e">
        <x:f>Liquiditätsplan!H90</x:f>
      </x:c>
      <x:c r="E91" s="147" t="e">
        <x:f>Liquiditätsplan!I90</x:f>
      </x:c>
      <x:c r="F91" s="147" t="e">
        <x:f>Liquiditätsplan!J90</x:f>
      </x:c>
      <x:c r="G91" s="147" t="n">
        <x:f>SUMIFS(Steuerkalender!$D$2:$D$100,Steuerkalender!$B$2:$B$100,"&gt;="&amp;A91,Steuerkalender!$B$2:$B$100,"&lt;"&amp;EDATE(A91,1))</x:f>
        <x:v>0</x:v>
      </x:c>
      <x:c r="H91" s="147" t="n">
        <x:f>SUMIFS('USt-Monatsübersicht'!$F$2:$F$115,'USt-Monatsübersicht'!$B$2:$B$115,"&gt;="&amp;A91,'USt-Monatsübersicht'!$B$2:$B$115,"&lt;"&amp;EDATE(A91,1))</x:f>
        <x:v>0</x:v>
      </x:c>
      <x:c r="I91" s="147" t="e">
        <x:f>Liquiditätsplan!L90</x:f>
      </x:c>
      <x:c r="J91" s="147">
        <x:f t="shared" si="4"/>
        <x:v>3480</x:v>
      </x:c>
      <x:c r="K91" s="147" t="e">
        <x:f>Liquiditätsplan!K90</x:f>
      </x:c>
      <x:c r="L91" s="147">
        <x:f t="shared" si="5"/>
        <x:v>3480</x:v>
      </x:c>
    </x:row>
    <x:row r="92" ht="14.399999618530273" customHeight="1">
      <x:c r="A92" s="186">
        <x:v>48914</x:v>
      </x:c>
      <x:c r="B92" s="146" t="e">
        <x:f>Liquiditätsplan!E91</x:f>
      </x:c>
      <x:c r="C92" s="146" t="e">
        <x:f>Liquiditätsplan!G91</x:f>
      </x:c>
      <x:c r="D92" s="146" t="e">
        <x:f>Liquiditätsplan!H91</x:f>
      </x:c>
      <x:c r="E92" s="146" t="e">
        <x:f>Liquiditätsplan!I91</x:f>
      </x:c>
      <x:c r="F92" s="146" t="e">
        <x:f>Liquiditätsplan!J91</x:f>
      </x:c>
      <x:c r="G92" s="146" t="n">
        <x:f>SUMIFS(Steuerkalender!$D$2:$D$100,Steuerkalender!$B$2:$B$100,"&gt;="&amp;A92,Steuerkalender!$B$2:$B$100,"&lt;"&amp;EDATE(A92,1))</x:f>
        <x:v>0</x:v>
      </x:c>
      <x:c r="H92" s="146" t="n">
        <x:f>SUMIFS('USt-Monatsübersicht'!$F$2:$F$115,'USt-Monatsübersicht'!$B$2:$B$115,"&gt;="&amp;A92,'USt-Monatsübersicht'!$B$2:$B$115,"&lt;"&amp;EDATE(A92,1))</x:f>
        <x:v>0</x:v>
      </x:c>
      <x:c r="I92" s="146" t="e">
        <x:f>Liquiditätsplan!L91</x:f>
      </x:c>
      <x:c r="J92" s="146">
        <x:f t="shared" si="4"/>
        <x:v>3480</x:v>
      </x:c>
      <x:c r="K92" s="146" t="e">
        <x:f>Liquiditätsplan!K91</x:f>
      </x:c>
      <x:c r="L92" s="146">
        <x:f t="shared" si="5"/>
        <x:v>3480</x:v>
      </x:c>
    </x:row>
    <x:row r="93" ht="14.399999618530273" customHeight="1">
      <x:c r="A93" s="187">
        <x:v>48945</x:v>
      </x:c>
      <x:c r="B93" s="147" t="e">
        <x:f>Liquiditätsplan!E92</x:f>
      </x:c>
      <x:c r="C93" s="147" t="e">
        <x:f>Liquiditätsplan!G92</x:f>
      </x:c>
      <x:c r="D93" s="147" t="e">
        <x:f>Liquiditätsplan!H92</x:f>
      </x:c>
      <x:c r="E93" s="147" t="e">
        <x:f>Liquiditätsplan!I92</x:f>
      </x:c>
      <x:c r="F93" s="147" t="e">
        <x:f>Liquiditätsplan!J92</x:f>
      </x:c>
      <x:c r="G93" s="147" t="n">
        <x:f>SUMIFS(Steuerkalender!$D$2:$D$100,Steuerkalender!$B$2:$B$100,"&gt;="&amp;A93,Steuerkalender!$B$2:$B$100,"&lt;"&amp;EDATE(A93,1))</x:f>
        <x:v>0</x:v>
      </x:c>
      <x:c r="H93" s="147" t="n">
        <x:f>SUMIFS('USt-Monatsübersicht'!$F$2:$F$115,'USt-Monatsübersicht'!$B$2:$B$115,"&gt;="&amp;A93,'USt-Monatsübersicht'!$B$2:$B$115,"&lt;"&amp;EDATE(A93,1))</x:f>
        <x:v>0</x:v>
      </x:c>
      <x:c r="I93" s="147" t="e">
        <x:f>Liquiditätsplan!L92</x:f>
      </x:c>
      <x:c r="J93" s="147">
        <x:f t="shared" si="4"/>
        <x:v>3480</x:v>
      </x:c>
      <x:c r="K93" s="147" t="e">
        <x:f>Liquiditätsplan!K92</x:f>
      </x:c>
      <x:c r="L93" s="147">
        <x:f t="shared" si="5"/>
        <x:v>3480</x:v>
      </x:c>
    </x:row>
    <x:row r="94" ht="14.399999618530273" customHeight="1">
      <x:c r="A94" s="186">
        <x:v>48976</x:v>
      </x:c>
      <x:c r="B94" s="146" t="e">
        <x:f>Liquiditätsplan!E93</x:f>
      </x:c>
      <x:c r="C94" s="146" t="e">
        <x:f>Liquiditätsplan!G93</x:f>
      </x:c>
      <x:c r="D94" s="146" t="e">
        <x:f>Liquiditätsplan!H93</x:f>
      </x:c>
      <x:c r="E94" s="146" t="e">
        <x:f>Liquiditätsplan!I93</x:f>
      </x:c>
      <x:c r="F94" s="146" t="e">
        <x:f>Liquiditätsplan!J93</x:f>
      </x:c>
      <x:c r="G94" s="146" t="n">
        <x:f>SUMIFS(Steuerkalender!$D$2:$D$100,Steuerkalender!$B$2:$B$100,"&gt;="&amp;A94,Steuerkalender!$B$2:$B$100,"&lt;"&amp;EDATE(A94,1))</x:f>
        <x:v>0</x:v>
      </x:c>
      <x:c r="H94" s="146" t="n">
        <x:f>SUMIFS('USt-Monatsübersicht'!$F$2:$F$115,'USt-Monatsübersicht'!$B$2:$B$115,"&gt;="&amp;A94,'USt-Monatsübersicht'!$B$2:$B$115,"&lt;"&amp;EDATE(A94,1))</x:f>
        <x:v>0</x:v>
      </x:c>
      <x:c r="I94" s="146" t="e">
        <x:f>Liquiditätsplan!L93</x:f>
      </x:c>
      <x:c r="J94" s="146">
        <x:f t="shared" si="4"/>
        <x:v>3480</x:v>
      </x:c>
      <x:c r="K94" s="146" t="e">
        <x:f>Liquiditätsplan!K93</x:f>
      </x:c>
      <x:c r="L94" s="146">
        <x:f t="shared" si="5"/>
        <x:v>3480</x:v>
      </x:c>
    </x:row>
    <x:row r="95" ht="14.399999618530273" customHeight="1">
      <x:c r="A95" s="187">
        <x:v>49004</x:v>
      </x:c>
      <x:c r="B95" s="147" t="e">
        <x:f>Liquiditätsplan!E94</x:f>
      </x:c>
      <x:c r="C95" s="147" t="e">
        <x:f>Liquiditätsplan!G94</x:f>
      </x:c>
      <x:c r="D95" s="147" t="e">
        <x:f>Liquiditätsplan!H94</x:f>
      </x:c>
      <x:c r="E95" s="147" t="e">
        <x:f>Liquiditätsplan!I94</x:f>
      </x:c>
      <x:c r="F95" s="147" t="e">
        <x:f>Liquiditätsplan!J94</x:f>
      </x:c>
      <x:c r="G95" s="147" t="n">
        <x:f>SUMIFS(Steuerkalender!$D$2:$D$100,Steuerkalender!$B$2:$B$100,"&gt;="&amp;A95,Steuerkalender!$B$2:$B$100,"&lt;"&amp;EDATE(A95,1))</x:f>
        <x:v>0</x:v>
      </x:c>
      <x:c r="H95" s="147" t="n">
        <x:f>SUMIFS('USt-Monatsübersicht'!$F$2:$F$115,'USt-Monatsübersicht'!$B$2:$B$115,"&gt;="&amp;A95,'USt-Monatsübersicht'!$B$2:$B$115,"&lt;"&amp;EDATE(A95,1))</x:f>
        <x:v>0</x:v>
      </x:c>
      <x:c r="I95" s="147" t="e">
        <x:f>Liquiditätsplan!L94</x:f>
      </x:c>
      <x:c r="J95" s="147">
        <x:f t="shared" si="4"/>
        <x:v>3480</x:v>
      </x:c>
      <x:c r="K95" s="147" t="e">
        <x:f>Liquiditätsplan!K94</x:f>
      </x:c>
      <x:c r="L95" s="147">
        <x:f t="shared" si="5"/>
        <x:v>3480</x:v>
      </x:c>
    </x:row>
    <x:row r="96" ht="14.399999618530273" customHeight="1">
      <x:c r="A96" s="186">
        <x:v>49035</x:v>
      </x:c>
      <x:c r="B96" s="146" t="e">
        <x:f>Liquiditätsplan!E95</x:f>
      </x:c>
      <x:c r="C96" s="146" t="e">
        <x:f>Liquiditätsplan!G95</x:f>
      </x:c>
      <x:c r="D96" s="146" t="e">
        <x:f>Liquiditätsplan!H95</x:f>
      </x:c>
      <x:c r="E96" s="146" t="e">
        <x:f>Liquiditätsplan!I95</x:f>
      </x:c>
      <x:c r="F96" s="146" t="e">
        <x:f>Liquiditätsplan!J95</x:f>
      </x:c>
      <x:c r="G96" s="146" t="n">
        <x:f>SUMIFS(Steuerkalender!$D$2:$D$100,Steuerkalender!$B$2:$B$100,"&gt;="&amp;A96,Steuerkalender!$B$2:$B$100,"&lt;"&amp;EDATE(A96,1))</x:f>
        <x:v>0</x:v>
      </x:c>
      <x:c r="H96" s="146" t="n">
        <x:f>SUMIFS('USt-Monatsübersicht'!$F$2:$F$115,'USt-Monatsübersicht'!$B$2:$B$115,"&gt;="&amp;A96,'USt-Monatsübersicht'!$B$2:$B$115,"&lt;"&amp;EDATE(A96,1))</x:f>
        <x:v>0</x:v>
      </x:c>
      <x:c r="I96" s="146" t="e">
        <x:f>Liquiditätsplan!L95</x:f>
      </x:c>
      <x:c r="J96" s="146">
        <x:f t="shared" si="4"/>
        <x:v>3480</x:v>
      </x:c>
      <x:c r="K96" s="146" t="e">
        <x:f>Liquiditätsplan!K95</x:f>
      </x:c>
      <x:c r="L96" s="146">
        <x:f t="shared" si="5"/>
        <x:v>3480</x:v>
      </x:c>
    </x:row>
    <x:row r="97" ht="14.399999618530273" customHeight="1">
      <x:c r="A97" s="187">
        <x:v>49065</x:v>
      </x:c>
      <x:c r="B97" s="147" t="e">
        <x:f>Liquiditätsplan!E96</x:f>
      </x:c>
      <x:c r="C97" s="147" t="e">
        <x:f>Liquiditätsplan!G96</x:f>
      </x:c>
      <x:c r="D97" s="147" t="e">
        <x:f>Liquiditätsplan!H96</x:f>
      </x:c>
      <x:c r="E97" s="147" t="e">
        <x:f>Liquiditätsplan!I96</x:f>
      </x:c>
      <x:c r="F97" s="147" t="e">
        <x:f>Liquiditätsplan!J96</x:f>
      </x:c>
      <x:c r="G97" s="147" t="n">
        <x:f>SUMIFS(Steuerkalender!$D$2:$D$100,Steuerkalender!$B$2:$B$100,"&gt;="&amp;A97,Steuerkalender!$B$2:$B$100,"&lt;"&amp;EDATE(A97,1))</x:f>
        <x:v>0</x:v>
      </x:c>
      <x:c r="H97" s="147" t="n">
        <x:f>SUMIFS('USt-Monatsübersicht'!$F$2:$F$115,'USt-Monatsübersicht'!$B$2:$B$115,"&gt;="&amp;A97,'USt-Monatsübersicht'!$B$2:$B$115,"&lt;"&amp;EDATE(A97,1))</x:f>
        <x:v>0</x:v>
      </x:c>
      <x:c r="I97" s="147" t="e">
        <x:f>Liquiditätsplan!L96</x:f>
      </x:c>
      <x:c r="J97" s="147">
        <x:f t="shared" si="4"/>
        <x:v>3480</x:v>
      </x:c>
      <x:c r="K97" s="147" t="e">
        <x:f>Liquiditätsplan!K96</x:f>
      </x:c>
      <x:c r="L97" s="147">
        <x:f t="shared" si="5"/>
        <x:v>3480</x:v>
      </x:c>
    </x:row>
    <x:row r="98" ht="14.399999618530273" customHeight="1">
      <x:c r="A98" s="186">
        <x:v>49096</x:v>
      </x:c>
      <x:c r="B98" s="146" t="e">
        <x:f>Liquiditätsplan!E97</x:f>
      </x:c>
      <x:c r="C98" s="146" t="e">
        <x:f>Liquiditätsplan!G97</x:f>
      </x:c>
      <x:c r="D98" s="146" t="e">
        <x:f>Liquiditätsplan!H97</x:f>
      </x:c>
      <x:c r="E98" s="146" t="e">
        <x:f>Liquiditätsplan!I97</x:f>
      </x:c>
      <x:c r="F98" s="146" t="e">
        <x:f>Liquiditätsplan!J97</x:f>
      </x:c>
      <x:c r="G98" s="146" t="n">
        <x:f>SUMIFS(Steuerkalender!$D$2:$D$100,Steuerkalender!$B$2:$B$100,"&gt;="&amp;A98,Steuerkalender!$B$2:$B$100,"&lt;"&amp;EDATE(A98,1))</x:f>
        <x:v>0</x:v>
      </x:c>
      <x:c r="H98" s="146" t="n">
        <x:f>SUMIFS('USt-Monatsübersicht'!$F$2:$F$115,'USt-Monatsübersicht'!$B$2:$B$115,"&gt;="&amp;A98,'USt-Monatsübersicht'!$B$2:$B$115,"&lt;"&amp;EDATE(A98,1))</x:f>
        <x:v>0</x:v>
      </x:c>
      <x:c r="I98" s="146" t="e">
        <x:f>Liquiditätsplan!L97</x:f>
      </x:c>
      <x:c r="J98" s="146">
        <x:f t="shared" si="4"/>
        <x:v>3480</x:v>
      </x:c>
      <x:c r="K98" s="146" t="e">
        <x:f>Liquiditätsplan!K97</x:f>
      </x:c>
      <x:c r="L98" s="146">
        <x:f t="shared" si="5"/>
        <x:v>3480</x:v>
      </x:c>
    </x:row>
    <x:row r="99" ht="14.399999618530273" customHeight="1">
      <x:c r="A99" s="187">
        <x:v>49126</x:v>
      </x:c>
      <x:c r="B99" s="147" t="e">
        <x:f>Liquiditätsplan!E98</x:f>
      </x:c>
      <x:c r="C99" s="147" t="e">
        <x:f>Liquiditätsplan!G98</x:f>
      </x:c>
      <x:c r="D99" s="147" t="e">
        <x:f>Liquiditätsplan!H98</x:f>
      </x:c>
      <x:c r="E99" s="147" t="e">
        <x:f>Liquiditätsplan!I98</x:f>
      </x:c>
      <x:c r="F99" s="147" t="e">
        <x:f>Liquiditätsplan!J98</x:f>
      </x:c>
      <x:c r="G99" s="147" t="n">
        <x:f>SUMIFS(Steuerkalender!$D$2:$D$100,Steuerkalender!$B$2:$B$100,"&gt;="&amp;A99,Steuerkalender!$B$2:$B$100,"&lt;"&amp;EDATE(A99,1))</x:f>
        <x:v>0</x:v>
      </x:c>
      <x:c r="H99" s="147" t="n">
        <x:f>SUMIFS('USt-Monatsübersicht'!$F$2:$F$115,'USt-Monatsübersicht'!$B$2:$B$115,"&gt;="&amp;A99,'USt-Monatsübersicht'!$B$2:$B$115,"&lt;"&amp;EDATE(A99,1))</x:f>
        <x:v>0</x:v>
      </x:c>
      <x:c r="I99" s="147" t="e">
        <x:f>Liquiditätsplan!L98</x:f>
      </x:c>
      <x:c r="J99" s="147" t="e">
        <x:f t="shared" ref="J99:J116" si="6">SUM(B99:F99)+I99</x:f>
      </x:c>
      <x:c r="K99" s="147" t="e">
        <x:f>Liquiditätsplan!K98</x:f>
      </x:c>
      <x:c r="L99" s="147" t="e">
        <x:f t="shared" ref="L99:L116" si="7">SUM(B99:I99)+K99</x:f>
      </x:c>
    </x:row>
    <x:row r="100" ht="14.399999618530273" customHeight="1">
      <x:c r="A100" s="186">
        <x:v>49157</x:v>
      </x:c>
      <x:c r="B100" s="146" t="e">
        <x:f>Liquiditätsplan!E99</x:f>
      </x:c>
      <x:c r="C100" s="146" t="e">
        <x:f>Liquiditätsplan!G99</x:f>
      </x:c>
      <x:c r="D100" s="146" t="e">
        <x:f>Liquiditätsplan!H99</x:f>
      </x:c>
      <x:c r="E100" s="146" t="e">
        <x:f>Liquiditätsplan!I99</x:f>
      </x:c>
      <x:c r="F100" s="146" t="e">
        <x:f>Liquiditätsplan!J99</x:f>
      </x:c>
      <x:c r="G100" s="146" t="n">
        <x:f>SUMIFS(Steuerkalender!$D$2:$D$100,Steuerkalender!$B$2:$B$100,"&gt;="&amp;A100,Steuerkalender!$B$2:$B$100,"&lt;"&amp;EDATE(A100,1))</x:f>
        <x:v>0</x:v>
      </x:c>
      <x:c r="H100" s="146" t="n">
        <x:f>SUMIFS('USt-Monatsübersicht'!$F$2:$F$115,'USt-Monatsübersicht'!$B$2:$B$115,"&gt;="&amp;A100,'USt-Monatsübersicht'!$B$2:$B$115,"&lt;"&amp;EDATE(A100,1))</x:f>
        <x:v>0</x:v>
      </x:c>
      <x:c r="I100" s="146" t="e">
        <x:f>Liquiditätsplan!L99</x:f>
      </x:c>
      <x:c r="J100" s="146">
        <x:f t="shared" si="6"/>
        <x:v>3480</x:v>
      </x:c>
      <x:c r="K100" s="146" t="e">
        <x:f>Liquiditätsplan!K99</x:f>
      </x:c>
      <x:c r="L100" s="146">
        <x:f t="shared" si="7"/>
        <x:v>3480</x:v>
      </x:c>
    </x:row>
    <x:row r="101" ht="14.399999618530273" customHeight="1">
      <x:c r="A101" s="187">
        <x:v>49188</x:v>
      </x:c>
      <x:c r="B101" s="147" t="e">
        <x:f>Liquiditätsplan!E100</x:f>
      </x:c>
      <x:c r="C101" s="147" t="e">
        <x:f>Liquiditätsplan!G100</x:f>
      </x:c>
      <x:c r="D101" s="147" t="e">
        <x:f>Liquiditätsplan!H100</x:f>
      </x:c>
      <x:c r="E101" s="147" t="e">
        <x:f>Liquiditätsplan!I100</x:f>
      </x:c>
      <x:c r="F101" s="147" t="e">
        <x:f>Liquiditätsplan!J100</x:f>
      </x:c>
      <x:c r="G101" s="147" t="n">
        <x:f>SUMIFS(Steuerkalender!$D$2:$D$100,Steuerkalender!$B$2:$B$100,"&gt;="&amp;A101,Steuerkalender!$B$2:$B$100,"&lt;"&amp;EDATE(A101,1))</x:f>
        <x:v>0</x:v>
      </x:c>
      <x:c r="H101" s="147" t="n">
        <x:f>SUMIFS('USt-Monatsübersicht'!$F$2:$F$115,'USt-Monatsübersicht'!$B$2:$B$115,"&gt;="&amp;A101,'USt-Monatsübersicht'!$B$2:$B$115,"&lt;"&amp;EDATE(A101,1))</x:f>
        <x:v>0</x:v>
      </x:c>
      <x:c r="I101" s="147" t="e">
        <x:f>Liquiditätsplan!L100</x:f>
      </x:c>
      <x:c r="J101" s="147">
        <x:f t="shared" si="6"/>
        <x:v>3480</x:v>
      </x:c>
      <x:c r="K101" s="147" t="e">
        <x:f>Liquiditätsplan!K100</x:f>
      </x:c>
      <x:c r="L101" s="147">
        <x:f t="shared" si="7"/>
        <x:v>3480</x:v>
      </x:c>
    </x:row>
    <x:row r="102" ht="14.399999618530273" customHeight="1">
      <x:c r="A102" s="186">
        <x:v>49218</x:v>
      </x:c>
      <x:c r="B102" s="146" t="e">
        <x:f>Liquiditätsplan!E101</x:f>
      </x:c>
      <x:c r="C102" s="146" t="e">
        <x:f>Liquiditätsplan!G101</x:f>
      </x:c>
      <x:c r="D102" s="146" t="e">
        <x:f>Liquiditätsplan!H101</x:f>
      </x:c>
      <x:c r="E102" s="146" t="e">
        <x:f>Liquiditätsplan!I101</x:f>
      </x:c>
      <x:c r="F102" s="146" t="e">
        <x:f>Liquiditätsplan!J101</x:f>
      </x:c>
      <x:c r="G102" s="146" t="n">
        <x:f>SUMIFS(Steuerkalender!$D$2:$D$100,Steuerkalender!$B$2:$B$100,"&gt;="&amp;A102,Steuerkalender!$B$2:$B$100,"&lt;"&amp;EDATE(A102,1))</x:f>
        <x:v>0</x:v>
      </x:c>
      <x:c r="H102" s="146" t="n">
        <x:f>SUMIFS('USt-Monatsübersicht'!$F$2:$F$115,'USt-Monatsübersicht'!$B$2:$B$115,"&gt;="&amp;A102,'USt-Monatsübersicht'!$B$2:$B$115,"&lt;"&amp;EDATE(A102,1))</x:f>
        <x:v>0</x:v>
      </x:c>
      <x:c r="I102" s="146" t="e">
        <x:f>Liquiditätsplan!L101</x:f>
      </x:c>
      <x:c r="J102" s="146">
        <x:f t="shared" si="6"/>
        <x:v>3480</x:v>
      </x:c>
      <x:c r="K102" s="146" t="e">
        <x:f>Liquiditätsplan!K101</x:f>
      </x:c>
      <x:c r="L102" s="146">
        <x:f t="shared" si="7"/>
        <x:v>3480</x:v>
      </x:c>
    </x:row>
    <x:row r="103" ht="14.399999618530273" customHeight="1">
      <x:c r="A103" s="187">
        <x:v>49249</x:v>
      </x:c>
      <x:c r="B103" s="147" t="e">
        <x:f>Liquiditätsplan!E102</x:f>
      </x:c>
      <x:c r="C103" s="147" t="e">
        <x:f>Liquiditätsplan!G102</x:f>
      </x:c>
      <x:c r="D103" s="147" t="e">
        <x:f>Liquiditätsplan!H102</x:f>
      </x:c>
      <x:c r="E103" s="147" t="e">
        <x:f>Liquiditätsplan!I102</x:f>
      </x:c>
      <x:c r="F103" s="147" t="e">
        <x:f>Liquiditätsplan!J102</x:f>
      </x:c>
      <x:c r="G103" s="147" t="n">
        <x:f>SUMIFS(Steuerkalender!$D$2:$D$100,Steuerkalender!$B$2:$B$100,"&gt;="&amp;A103,Steuerkalender!$B$2:$B$100,"&lt;"&amp;EDATE(A103,1))</x:f>
        <x:v>0</x:v>
      </x:c>
      <x:c r="H103" s="147" t="n">
        <x:f>SUMIFS('USt-Monatsübersicht'!$F$2:$F$115,'USt-Monatsübersicht'!$B$2:$B$115,"&gt;="&amp;A103,'USt-Monatsübersicht'!$B$2:$B$115,"&lt;"&amp;EDATE(A103,1))</x:f>
        <x:v>0</x:v>
      </x:c>
      <x:c r="I103" s="147" t="e">
        <x:f>Liquiditätsplan!L102</x:f>
      </x:c>
      <x:c r="J103" s="147">
        <x:f t="shared" si="6"/>
        <x:v>3480</x:v>
      </x:c>
      <x:c r="K103" s="147" t="e">
        <x:f>Liquiditätsplan!K102</x:f>
      </x:c>
      <x:c r="L103" s="147">
        <x:f t="shared" si="7"/>
        <x:v>3480</x:v>
      </x:c>
    </x:row>
    <x:row r="104" ht="14.399999618530273" customHeight="1">
      <x:c r="A104" s="186">
        <x:v>49279</x:v>
      </x:c>
      <x:c r="B104" s="146" t="e">
        <x:f>Liquiditätsplan!E103</x:f>
      </x:c>
      <x:c r="C104" s="146" t="e">
        <x:f>Liquiditätsplan!G103</x:f>
      </x:c>
      <x:c r="D104" s="146" t="e">
        <x:f>Liquiditätsplan!H103</x:f>
      </x:c>
      <x:c r="E104" s="146" t="e">
        <x:f>Liquiditätsplan!I103</x:f>
      </x:c>
      <x:c r="F104" s="146" t="e">
        <x:f>Liquiditätsplan!J103</x:f>
      </x:c>
      <x:c r="G104" s="146" t="n">
        <x:f>SUMIFS(Steuerkalender!$D$2:$D$100,Steuerkalender!$B$2:$B$100,"&gt;="&amp;A104,Steuerkalender!$B$2:$B$100,"&lt;"&amp;EDATE(A104,1))</x:f>
        <x:v>0</x:v>
      </x:c>
      <x:c r="H104" s="146" t="n">
        <x:f>SUMIFS('USt-Monatsübersicht'!$F$2:$F$115,'USt-Monatsübersicht'!$B$2:$B$115,"&gt;="&amp;A104,'USt-Monatsübersicht'!$B$2:$B$115,"&lt;"&amp;EDATE(A104,1))</x:f>
        <x:v>0</x:v>
      </x:c>
      <x:c r="I104" s="146" t="e">
        <x:f>Liquiditätsplan!L103</x:f>
      </x:c>
      <x:c r="J104" s="146">
        <x:f t="shared" si="6"/>
        <x:v>3480</x:v>
      </x:c>
      <x:c r="K104" s="146" t="e">
        <x:f>Liquiditätsplan!K103</x:f>
      </x:c>
      <x:c r="L104" s="146">
        <x:f t="shared" si="7"/>
        <x:v>3480</x:v>
      </x:c>
    </x:row>
    <x:row r="105" ht="14.399999618530273" customHeight="1">
      <x:c r="A105" s="187">
        <x:v>49310</x:v>
      </x:c>
      <x:c r="B105" s="147" t="e">
        <x:f>Liquiditätsplan!E104</x:f>
      </x:c>
      <x:c r="C105" s="147" t="e">
        <x:f>Liquiditätsplan!G104</x:f>
      </x:c>
      <x:c r="D105" s="147" t="e">
        <x:f>Liquiditätsplan!H104</x:f>
      </x:c>
      <x:c r="E105" s="147" t="e">
        <x:f>Liquiditätsplan!I104</x:f>
      </x:c>
      <x:c r="F105" s="147" t="e">
        <x:f>Liquiditätsplan!J104</x:f>
      </x:c>
      <x:c r="G105" s="147" t="n">
        <x:f>SUMIFS(Steuerkalender!$D$2:$D$100,Steuerkalender!$B$2:$B$100,"&gt;="&amp;A105,Steuerkalender!$B$2:$B$100,"&lt;"&amp;EDATE(A105,1))</x:f>
        <x:v>0</x:v>
      </x:c>
      <x:c r="H105" s="147" t="n">
        <x:f>SUMIFS('USt-Monatsübersicht'!$F$2:$F$115,'USt-Monatsübersicht'!$B$2:$B$115,"&gt;="&amp;A105,'USt-Monatsübersicht'!$B$2:$B$115,"&lt;"&amp;EDATE(A105,1))</x:f>
        <x:v>0</x:v>
      </x:c>
      <x:c r="I105" s="147" t="e">
        <x:f>Liquiditätsplan!L104</x:f>
      </x:c>
      <x:c r="J105" s="147">
        <x:f t="shared" si="6"/>
        <x:v>3480</x:v>
      </x:c>
      <x:c r="K105" s="147" t="e">
        <x:f>Liquiditätsplan!K104</x:f>
      </x:c>
      <x:c r="L105" s="147">
        <x:f t="shared" si="7"/>
        <x:v>3480</x:v>
      </x:c>
    </x:row>
    <x:row r="106" ht="14.399999618530273" customHeight="1">
      <x:c r="A106" s="186">
        <x:v>49341</x:v>
      </x:c>
      <x:c r="B106" s="146" t="e">
        <x:f>Liquiditätsplan!E105</x:f>
      </x:c>
      <x:c r="C106" s="146" t="e">
        <x:f>Liquiditätsplan!G105</x:f>
      </x:c>
      <x:c r="D106" s="146" t="e">
        <x:f>Liquiditätsplan!H105</x:f>
      </x:c>
      <x:c r="E106" s="146" t="e">
        <x:f>Liquiditätsplan!I105</x:f>
      </x:c>
      <x:c r="F106" s="146" t="e">
        <x:f>Liquiditätsplan!J105</x:f>
      </x:c>
      <x:c r="G106" s="146" t="n">
        <x:f>SUMIFS(Steuerkalender!$D$2:$D$100,Steuerkalender!$B$2:$B$100,"&gt;="&amp;A106,Steuerkalender!$B$2:$B$100,"&lt;"&amp;EDATE(A106,1))</x:f>
        <x:v>0</x:v>
      </x:c>
      <x:c r="H106" s="146" t="n">
        <x:f>SUMIFS('USt-Monatsübersicht'!$F$2:$F$115,'USt-Monatsübersicht'!$B$2:$B$115,"&gt;="&amp;A106,'USt-Monatsübersicht'!$B$2:$B$115,"&lt;"&amp;EDATE(A106,1))</x:f>
        <x:v>0</x:v>
      </x:c>
      <x:c r="I106" s="146" t="e">
        <x:f>Liquiditätsplan!L105</x:f>
      </x:c>
      <x:c r="J106" s="146">
        <x:f t="shared" si="6"/>
        <x:v>3480</x:v>
      </x:c>
      <x:c r="K106" s="146" t="e">
        <x:f>Liquiditätsplan!K105</x:f>
      </x:c>
      <x:c r="L106" s="146">
        <x:f t="shared" si="7"/>
        <x:v>3480</x:v>
      </x:c>
    </x:row>
    <x:row r="107" ht="14.399999618530273" customHeight="1">
      <x:c r="A107" s="187">
        <x:v>49369</x:v>
      </x:c>
      <x:c r="B107" s="147" t="e">
        <x:f>Liquiditätsplan!E106</x:f>
      </x:c>
      <x:c r="C107" s="147" t="e">
        <x:f>Liquiditätsplan!G106</x:f>
      </x:c>
      <x:c r="D107" s="147" t="e">
        <x:f>Liquiditätsplan!H106</x:f>
      </x:c>
      <x:c r="E107" s="147" t="e">
        <x:f>Liquiditätsplan!I106</x:f>
      </x:c>
      <x:c r="F107" s="147" t="e">
        <x:f>Liquiditätsplan!J106</x:f>
      </x:c>
      <x:c r="G107" s="147" t="n">
        <x:f>SUMIFS(Steuerkalender!$D$2:$D$100,Steuerkalender!$B$2:$B$100,"&gt;="&amp;A107,Steuerkalender!$B$2:$B$100,"&lt;"&amp;EDATE(A107,1))</x:f>
        <x:v>0</x:v>
      </x:c>
      <x:c r="H107" s="147" t="n">
        <x:f>SUMIFS('USt-Monatsübersicht'!$F$2:$F$115,'USt-Monatsübersicht'!$B$2:$B$115,"&gt;="&amp;A107,'USt-Monatsübersicht'!$B$2:$B$115,"&lt;"&amp;EDATE(A107,1))</x:f>
        <x:v>0</x:v>
      </x:c>
      <x:c r="I107" s="147" t="e">
        <x:f>Liquiditätsplan!L106</x:f>
      </x:c>
      <x:c r="J107" s="147">
        <x:f t="shared" si="6"/>
        <x:v>3480</x:v>
      </x:c>
      <x:c r="K107" s="147" t="e">
        <x:f>Liquiditätsplan!K106</x:f>
      </x:c>
      <x:c r="L107" s="147">
        <x:f t="shared" si="7"/>
        <x:v>3480</x:v>
      </x:c>
    </x:row>
    <x:row r="108" ht="14.399999618530273" customHeight="1">
      <x:c r="A108" s="186">
        <x:v>49400</x:v>
      </x:c>
      <x:c r="B108" s="146" t="e">
        <x:f>Liquiditätsplan!E107</x:f>
      </x:c>
      <x:c r="C108" s="146" t="e">
        <x:f>Liquiditätsplan!G107</x:f>
      </x:c>
      <x:c r="D108" s="146" t="e">
        <x:f>Liquiditätsplan!H107</x:f>
      </x:c>
      <x:c r="E108" s="146" t="e">
        <x:f>Liquiditätsplan!I107</x:f>
      </x:c>
      <x:c r="F108" s="146" t="e">
        <x:f>Liquiditätsplan!J107</x:f>
      </x:c>
      <x:c r="G108" s="146" t="n">
        <x:f>SUMIFS(Steuerkalender!$D$2:$D$100,Steuerkalender!$B$2:$B$100,"&gt;="&amp;A108,Steuerkalender!$B$2:$B$100,"&lt;"&amp;EDATE(A108,1))</x:f>
        <x:v>0</x:v>
      </x:c>
      <x:c r="H108" s="146" t="n">
        <x:f>SUMIFS('USt-Monatsübersicht'!$F$2:$F$115,'USt-Monatsübersicht'!$B$2:$B$115,"&gt;="&amp;A108,'USt-Monatsübersicht'!$B$2:$B$115,"&lt;"&amp;EDATE(A108,1))</x:f>
        <x:v>0</x:v>
      </x:c>
      <x:c r="I108" s="146" t="e">
        <x:f>Liquiditätsplan!L107</x:f>
      </x:c>
      <x:c r="J108" s="146">
        <x:f t="shared" si="6"/>
        <x:v>3480</x:v>
      </x:c>
      <x:c r="K108" s="146" t="e">
        <x:f>Liquiditätsplan!K107</x:f>
      </x:c>
      <x:c r="L108" s="146">
        <x:f t="shared" si="7"/>
        <x:v>3480</x:v>
      </x:c>
    </x:row>
    <x:row r="109" ht="14.399999618530273" customHeight="1">
      <x:c r="A109" s="187">
        <x:v>49430</x:v>
      </x:c>
      <x:c r="B109" s="147" t="e">
        <x:f>Liquiditätsplan!E108</x:f>
      </x:c>
      <x:c r="C109" s="147" t="e">
        <x:f>Liquiditätsplan!G108</x:f>
      </x:c>
      <x:c r="D109" s="147" t="e">
        <x:f>Liquiditätsplan!H108</x:f>
      </x:c>
      <x:c r="E109" s="147" t="e">
        <x:f>Liquiditätsplan!I108</x:f>
      </x:c>
      <x:c r="F109" s="147" t="e">
        <x:f>Liquiditätsplan!J108</x:f>
      </x:c>
      <x:c r="G109" s="147" t="n">
        <x:f>SUMIFS(Steuerkalender!$D$2:$D$100,Steuerkalender!$B$2:$B$100,"&gt;="&amp;A109,Steuerkalender!$B$2:$B$100,"&lt;"&amp;EDATE(A109,1))</x:f>
        <x:v>0</x:v>
      </x:c>
      <x:c r="H109" s="147" t="n">
        <x:f>SUMIFS('USt-Monatsübersicht'!$F$2:$F$115,'USt-Monatsübersicht'!$B$2:$B$115,"&gt;="&amp;A109,'USt-Monatsübersicht'!$B$2:$B$115,"&lt;"&amp;EDATE(A109,1))</x:f>
        <x:v>0</x:v>
      </x:c>
      <x:c r="I109" s="147" t="e">
        <x:f>Liquiditätsplan!L108</x:f>
      </x:c>
      <x:c r="J109" s="147">
        <x:f t="shared" si="6"/>
        <x:v>3480</x:v>
      </x:c>
      <x:c r="K109" s="147" t="e">
        <x:f>Liquiditätsplan!K108</x:f>
      </x:c>
      <x:c r="L109" s="147">
        <x:f t="shared" si="7"/>
        <x:v>3480</x:v>
      </x:c>
    </x:row>
    <x:row r="110" ht="14.399999618530273" customHeight="1">
      <x:c r="A110" s="186">
        <x:v>49461</x:v>
      </x:c>
      <x:c r="B110" s="146" t="e">
        <x:f>Liquiditätsplan!E109</x:f>
      </x:c>
      <x:c r="C110" s="146" t="e">
        <x:f>Liquiditätsplan!G109</x:f>
      </x:c>
      <x:c r="D110" s="146" t="e">
        <x:f>Liquiditätsplan!H109</x:f>
      </x:c>
      <x:c r="E110" s="146" t="e">
        <x:f>Liquiditätsplan!I109</x:f>
      </x:c>
      <x:c r="F110" s="146" t="e">
        <x:f>Liquiditätsplan!J109</x:f>
      </x:c>
      <x:c r="G110" s="146" t="n">
        <x:f>SUMIFS(Steuerkalender!$D$2:$D$100,Steuerkalender!$B$2:$B$100,"&gt;="&amp;A110,Steuerkalender!$B$2:$B$100,"&lt;"&amp;EDATE(A110,1))</x:f>
        <x:v>0</x:v>
      </x:c>
      <x:c r="H110" s="146" t="n">
        <x:f>SUMIFS('USt-Monatsübersicht'!$F$2:$F$115,'USt-Monatsübersicht'!$B$2:$B$115,"&gt;="&amp;A110,'USt-Monatsübersicht'!$B$2:$B$115,"&lt;"&amp;EDATE(A110,1))</x:f>
        <x:v>0</x:v>
      </x:c>
      <x:c r="I110" s="146" t="e">
        <x:f>Liquiditätsplan!L109</x:f>
      </x:c>
      <x:c r="J110" s="146">
        <x:f t="shared" si="6"/>
        <x:v>3480</x:v>
      </x:c>
      <x:c r="K110" s="146" t="e">
        <x:f>Liquiditätsplan!K109</x:f>
      </x:c>
      <x:c r="L110" s="146">
        <x:f t="shared" si="7"/>
        <x:v>3480</x:v>
      </x:c>
    </x:row>
    <x:row r="111" ht="14.399999618530273" customHeight="1">
      <x:c r="A111" s="187">
        <x:v>49491</x:v>
      </x:c>
      <x:c r="B111" s="147" t="e">
        <x:f>Liquiditätsplan!E110</x:f>
      </x:c>
      <x:c r="C111" s="147" t="e">
        <x:f>Liquiditätsplan!G110</x:f>
      </x:c>
      <x:c r="D111" s="147" t="e">
        <x:f>Liquiditätsplan!H110</x:f>
      </x:c>
      <x:c r="E111" s="147" t="e">
        <x:f>Liquiditätsplan!I110</x:f>
      </x:c>
      <x:c r="F111" s="147" t="e">
        <x:f>Liquiditätsplan!J110</x:f>
      </x:c>
      <x:c r="G111" s="147" t="n">
        <x:f>SUMIFS(Steuerkalender!$D$2:$D$100,Steuerkalender!$B$2:$B$100,"&gt;="&amp;A111,Steuerkalender!$B$2:$B$100,"&lt;"&amp;EDATE(A111,1))</x:f>
        <x:v>0</x:v>
      </x:c>
      <x:c r="H111" s="147" t="n">
        <x:f>SUMIFS('USt-Monatsübersicht'!$F$2:$F$115,'USt-Monatsübersicht'!$B$2:$B$115,"&gt;="&amp;A111,'USt-Monatsübersicht'!$B$2:$B$115,"&lt;"&amp;EDATE(A111,1))</x:f>
        <x:v>0</x:v>
      </x:c>
      <x:c r="I111" s="147" t="e">
        <x:f>Liquiditätsplan!L110</x:f>
      </x:c>
      <x:c r="J111" s="147">
        <x:f t="shared" si="6"/>
        <x:v>3480</x:v>
      </x:c>
      <x:c r="K111" s="147" t="e">
        <x:f>Liquiditätsplan!K110</x:f>
      </x:c>
      <x:c r="L111" s="147">
        <x:f t="shared" si="7"/>
        <x:v>3480</x:v>
      </x:c>
    </x:row>
    <x:row r="112" ht="14.399999618530273" customHeight="1">
      <x:c r="A112" s="186">
        <x:v>49522</x:v>
      </x:c>
      <x:c r="B112" s="146" t="e">
        <x:f>Liquiditätsplan!E111</x:f>
      </x:c>
      <x:c r="C112" s="146" t="e">
        <x:f>Liquiditätsplan!G111</x:f>
      </x:c>
      <x:c r="D112" s="146" t="e">
        <x:f>Liquiditätsplan!H111</x:f>
      </x:c>
      <x:c r="E112" s="146" t="e">
        <x:f>Liquiditätsplan!I111</x:f>
      </x:c>
      <x:c r="F112" s="146" t="e">
        <x:f>Liquiditätsplan!J111</x:f>
      </x:c>
      <x:c r="G112" s="146" t="n">
        <x:f>SUMIFS(Steuerkalender!$D$2:$D$100,Steuerkalender!$B$2:$B$100,"&gt;="&amp;A112,Steuerkalender!$B$2:$B$100,"&lt;"&amp;EDATE(A112,1))</x:f>
        <x:v>0</x:v>
      </x:c>
      <x:c r="H112" s="146" t="n">
        <x:f>SUMIFS('USt-Monatsübersicht'!$F$2:$F$115,'USt-Monatsübersicht'!$B$2:$B$115,"&gt;="&amp;A112,'USt-Monatsübersicht'!$B$2:$B$115,"&lt;"&amp;EDATE(A112,1))</x:f>
        <x:v>0</x:v>
      </x:c>
      <x:c r="I112" s="146" t="e">
        <x:f>Liquiditätsplan!L111</x:f>
      </x:c>
      <x:c r="J112" s="146">
        <x:f t="shared" si="6"/>
        <x:v>3480</x:v>
      </x:c>
      <x:c r="K112" s="146" t="e">
        <x:f>Liquiditätsplan!K111</x:f>
      </x:c>
      <x:c r="L112" s="146">
        <x:f t="shared" si="7"/>
        <x:v>3480</x:v>
      </x:c>
    </x:row>
    <x:row r="113" ht="14.399999618530273" customHeight="1">
      <x:c r="A113" s="187">
        <x:v>49553</x:v>
      </x:c>
      <x:c r="B113" s="147" t="e">
        <x:f>Liquiditätsplan!E112</x:f>
      </x:c>
      <x:c r="C113" s="147" t="e">
        <x:f>Liquiditätsplan!G112</x:f>
      </x:c>
      <x:c r="D113" s="147" t="e">
        <x:f>Liquiditätsplan!H112</x:f>
      </x:c>
      <x:c r="E113" s="147" t="e">
        <x:f>Liquiditätsplan!I112</x:f>
      </x:c>
      <x:c r="F113" s="147" t="e">
        <x:f>Liquiditätsplan!J112</x:f>
      </x:c>
      <x:c r="G113" s="147" t="n">
        <x:f>SUMIFS(Steuerkalender!$D$2:$D$100,Steuerkalender!$B$2:$B$100,"&gt;="&amp;A113,Steuerkalender!$B$2:$B$100,"&lt;"&amp;EDATE(A113,1))</x:f>
        <x:v>0</x:v>
      </x:c>
      <x:c r="H113" s="147" t="n">
        <x:f>SUMIFS('USt-Monatsübersicht'!$F$2:$F$115,'USt-Monatsübersicht'!$B$2:$B$115,"&gt;="&amp;A113,'USt-Monatsübersicht'!$B$2:$B$115,"&lt;"&amp;EDATE(A113,1))</x:f>
        <x:v>0</x:v>
      </x:c>
      <x:c r="I113" s="147" t="e">
        <x:f>Liquiditätsplan!L112</x:f>
      </x:c>
      <x:c r="J113" s="147">
        <x:f t="shared" si="6"/>
        <x:v>3480</x:v>
      </x:c>
      <x:c r="K113" s="147" t="e">
        <x:f>Liquiditätsplan!K112</x:f>
      </x:c>
      <x:c r="L113" s="147">
        <x:f t="shared" si="7"/>
        <x:v>3480</x:v>
      </x:c>
    </x:row>
    <x:row r="114" ht="14.399999618530273" customHeight="1">
      <x:c r="A114" s="186">
        <x:v>49583</x:v>
      </x:c>
      <x:c r="B114" s="146" t="e">
        <x:f>Liquiditätsplan!E113</x:f>
      </x:c>
      <x:c r="C114" s="146" t="e">
        <x:f>Liquiditätsplan!G113</x:f>
      </x:c>
      <x:c r="D114" s="146" t="e">
        <x:f>Liquiditätsplan!H113</x:f>
      </x:c>
      <x:c r="E114" s="146" t="e">
        <x:f>Liquiditätsplan!I113</x:f>
      </x:c>
      <x:c r="F114" s="146" t="e">
        <x:f>Liquiditätsplan!J113</x:f>
      </x:c>
      <x:c r="G114" s="146" t="n">
        <x:f>SUMIFS(Steuerkalender!$D$2:$D$100,Steuerkalender!$B$2:$B$100,"&gt;="&amp;A114,Steuerkalender!$B$2:$B$100,"&lt;"&amp;EDATE(A114,1))</x:f>
        <x:v>0</x:v>
      </x:c>
      <x:c r="H114" s="146" t="n">
        <x:f>SUMIFS('USt-Monatsübersicht'!$F$2:$F$115,'USt-Monatsübersicht'!$B$2:$B$115,"&gt;="&amp;A114,'USt-Monatsübersicht'!$B$2:$B$115,"&lt;"&amp;EDATE(A114,1))</x:f>
        <x:v>0</x:v>
      </x:c>
      <x:c r="I114" s="146" t="e">
        <x:f>Liquiditätsplan!L113</x:f>
      </x:c>
      <x:c r="J114" s="146">
        <x:f t="shared" si="6"/>
        <x:v>3480</x:v>
      </x:c>
      <x:c r="K114" s="146" t="e">
        <x:f>Liquiditätsplan!K113</x:f>
      </x:c>
      <x:c r="L114" s="146">
        <x:f t="shared" si="7"/>
        <x:v>3480</x:v>
      </x:c>
    </x:row>
    <x:row r="115" ht="14.399999618530273" customHeight="1">
      <x:c r="A115" s="187">
        <x:v>49614</x:v>
      </x:c>
      <x:c r="B115" s="147" t="e">
        <x:f>Liquiditätsplan!E114</x:f>
      </x:c>
      <x:c r="C115" s="147" t="e">
        <x:f>Liquiditätsplan!G114</x:f>
      </x:c>
      <x:c r="D115" s="147" t="e">
        <x:f>Liquiditätsplan!H114</x:f>
      </x:c>
      <x:c r="E115" s="147" t="e">
        <x:f>Liquiditätsplan!I114</x:f>
      </x:c>
      <x:c r="F115" s="147" t="e">
        <x:f>Liquiditätsplan!J114</x:f>
      </x:c>
      <x:c r="G115" s="147" t="n">
        <x:f>SUMIFS(Steuerkalender!$D$2:$D$100,Steuerkalender!$B$2:$B$100,"&gt;="&amp;A115,Steuerkalender!$B$2:$B$100,"&lt;"&amp;EDATE(A115,1))</x:f>
        <x:v>0</x:v>
      </x:c>
      <x:c r="H115" s="147" t="n">
        <x:f>SUMIFS('USt-Monatsübersicht'!$F$2:$F$115,'USt-Monatsübersicht'!$B$2:$B$115,"&gt;="&amp;A115,'USt-Monatsübersicht'!$B$2:$B$115,"&lt;"&amp;EDATE(A115,1))</x:f>
        <x:v>0</x:v>
      </x:c>
      <x:c r="I115" s="147" t="e">
        <x:f>Liquiditätsplan!L114</x:f>
      </x:c>
      <x:c r="J115" s="147">
        <x:f t="shared" si="6"/>
        <x:v>3480</x:v>
      </x:c>
      <x:c r="K115" s="147" t="e">
        <x:f>Liquiditätsplan!K114</x:f>
      </x:c>
      <x:c r="L115" s="147">
        <x:f t="shared" si="7"/>
        <x:v>3480</x:v>
      </x:c>
    </x:row>
    <x:row r="116" ht="14.399999618530273" customHeight="1">
      <x:c r="A116" s="186">
        <x:v>49644</x:v>
      </x:c>
      <x:c r="B116" s="146" t="e">
        <x:f>Liquiditätsplan!E115</x:f>
      </x:c>
      <x:c r="C116" s="146" t="e">
        <x:f>Liquiditätsplan!G115</x:f>
      </x:c>
      <x:c r="D116" s="146" t="e">
        <x:f>Liquiditätsplan!H115</x:f>
      </x:c>
      <x:c r="E116" s="146" t="e">
        <x:f>Liquiditätsplan!I115</x:f>
      </x:c>
      <x:c r="F116" s="146" t="e">
        <x:f>Liquiditätsplan!J115</x:f>
      </x:c>
      <x:c r="G116" s="146" t="n">
        <x:f>SUMIFS(Steuerkalender!$D$2:$D$100,Steuerkalender!$B$2:$B$100,"&gt;="&amp;A116,Steuerkalender!$B$2:$B$100,"&lt;"&amp;EDATE(A116,1))</x:f>
        <x:v>0</x:v>
      </x:c>
      <x:c r="H116" s="146" t="n">
        <x:f>SUMIFS('USt-Monatsübersicht'!$F$2:$F$115,'USt-Monatsübersicht'!$B$2:$B$115,"&gt;="&amp;A116,'USt-Monatsübersicht'!$B$2:$B$115,"&lt;"&amp;EDATE(A116,1))</x:f>
        <x:v>0</x:v>
      </x:c>
      <x:c r="I116" s="146" t="e">
        <x:f>Liquiditätsplan!L115</x:f>
      </x:c>
      <x:c r="J116" s="146">
        <x:f t="shared" si="6"/>
        <x:v>3480</x:v>
      </x:c>
      <x:c r="K116" s="146" t="e">
        <x:f>Liquiditätsplan!K115</x:f>
      </x:c>
      <x:c r="L116" s="146">
        <x:f t="shared" si="7"/>
        <x:v>3480</x:v>
      </x:c>
    </x:row>
    <x:row r="117">
      <x:c r="A117" s="142"/>
      <x:c r="B117" s="71"/>
      <x:c r="C117" s="71"/>
      <x:c r="D117" s="71"/>
      <x:c r="E117" s="71"/>
      <x:c r="F117" s="71"/>
      <x:c r="G117" s="71"/>
      <x:c r="H117" s="71"/>
      <x:c r="I117" s="71"/>
      <x:c r="J117" s="71"/>
      <x:c r="K117" s="71"/>
      <x:c r="L117" s="95"/>
    </x:row>
    <x:row r="118">
      <x:c r="A118" s="143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96"/>
    </x:row>
    <x:row r="119" ht="20.850000381469727" customHeight="1">
      <x:c r="A119" s="277"/>
      <x:c r="B119" s="278"/>
      <x:c r="C119" s="278"/>
      <x:c r="D119" s="278"/>
      <x:c r="E119" s="278"/>
      <x:c r="F119" s="278"/>
      <x:c r="G119" s="278"/>
      <x:c r="H119" s="278"/>
      <x:c r="I119" s="278"/>
      <x:c r="J119" s="278"/>
      <x:c r="K119" s="278"/>
      <x:c r="L119" s="278"/>
    </x:row>
    <x:row r="120" ht="27.149999618530273" customHeight="1">
      <x:c r="A120" s="287"/>
      <x:c r="B120" s="288"/>
      <x:c r="C120" s="288"/>
      <x:c r="D120" s="288"/>
      <x:c r="E120" s="288"/>
      <x:c r="F120" s="288"/>
      <x:c r="G120" s="288"/>
      <x:c r="H120" s="288"/>
      <x:c r="I120" s="288"/>
      <x:c r="J120" s="288"/>
      <x:c r="K120" s="288"/>
      <x:c r="L120" s="288"/>
    </x:row>
    <x:row r="121" ht="16.049999237060547" customHeight="1">
      <x:c r="A121" s="215"/>
      <x:c r="B121" s="202"/>
      <x:c r="C121" s="202"/>
      <x:c r="D121" s="202"/>
      <x:c r="E121" s="202"/>
      <x:c r="F121" s="202"/>
      <x:c r="G121" s="202"/>
      <x:c r="H121" s="202"/>
      <x:c r="I121" s="202"/>
      <x:c r="J121" s="204"/>
      <x:c r="K121" s="204"/>
      <x:c r="L121" s="204"/>
    </x:row>
    <x:row r="122" ht="16.049999237060547" customHeight="1">
      <x:c r="A122" s="215"/>
      <x:c r="B122" s="202"/>
      <x:c r="C122" s="202"/>
      <x:c r="D122" s="202"/>
      <x:c r="E122" s="202"/>
      <x:c r="F122" s="202"/>
      <x:c r="G122" s="202"/>
      <x:c r="H122" s="202"/>
      <x:c r="I122" s="202"/>
      <x:c r="J122" s="204"/>
      <x:c r="K122" s="204"/>
      <x:c r="L122" s="204"/>
    </x:row>
    <x:row r="123" ht="16.049999237060547" customHeight="1">
      <x:c r="A123" s="284"/>
      <x:c r="B123" s="285"/>
      <x:c r="C123" s="285"/>
      <x:c r="D123" s="285"/>
      <x:c r="E123" s="285"/>
      <x:c r="F123" s="285"/>
      <x:c r="G123" s="285"/>
      <x:c r="H123" s="285"/>
      <x:c r="I123" s="285"/>
      <x:c r="J123" s="286"/>
      <x:c r="K123" s="286"/>
      <x:c r="L123" s="286"/>
    </x:row>
    <x:row r="124" ht="16.049999237060547" customHeight="1">
      <x:c r="A124" s="215"/>
      <x:c r="B124" s="202"/>
      <x:c r="C124" s="202"/>
      <x:c r="D124" s="202"/>
      <x:c r="E124" s="202"/>
      <x:c r="F124" s="202"/>
      <x:c r="G124" s="202"/>
      <x:c r="H124" s="202"/>
      <x:c r="I124" s="202"/>
      <x:c r="J124" s="204"/>
      <x:c r="K124" s="204"/>
      <x:c r="L124" s="204"/>
    </x:row>
    <x:row r="125" ht="16.049999237060547" customHeight="1">
      <x:c r="A125" s="215"/>
      <x:c r="B125" s="202"/>
      <x:c r="C125" s="202"/>
      <x:c r="D125" s="202"/>
      <x:c r="E125" s="202"/>
      <x:c r="F125" s="202"/>
      <x:c r="G125" s="202"/>
      <x:c r="H125" s="202"/>
      <x:c r="I125" s="202"/>
      <x:c r="J125" s="204"/>
      <x:c r="K125" s="204"/>
      <x:c r="L125" s="204"/>
    </x:row>
    <x:row r="126" ht="16.049999237060547" customHeight="1">
      <x:c r="A126" s="215"/>
      <x:c r="B126" s="202"/>
      <x:c r="C126" s="202"/>
      <x:c r="D126" s="202"/>
      <x:c r="E126" s="202"/>
      <x:c r="F126" s="202"/>
      <x:c r="G126" s="202"/>
      <x:c r="H126" s="202"/>
      <x:c r="I126" s="202"/>
      <x:c r="J126" s="204"/>
      <x:c r="K126" s="204"/>
      <x:c r="L126" s="204"/>
    </x:row>
    <x:row r="127" ht="16.049999237060547" customHeight="1">
      <x:c r="A127" s="215"/>
      <x:c r="B127" s="202"/>
      <x:c r="C127" s="202"/>
      <x:c r="D127" s="202"/>
      <x:c r="E127" s="202"/>
      <x:c r="F127" s="202"/>
      <x:c r="G127" s="202"/>
      <x:c r="H127" s="202"/>
      <x:c r="I127" s="202"/>
      <x:c r="J127" s="204"/>
      <x:c r="K127" s="204"/>
      <x:c r="L127" s="204"/>
    </x:row>
    <x:row r="128" ht="16.049999237060547" customHeight="1">
      <x:c r="A128" s="215"/>
      <x:c r="B128" s="202"/>
      <x:c r="C128" s="202"/>
      <x:c r="D128" s="202"/>
      <x:c r="E128" s="202"/>
      <x:c r="F128" s="202"/>
      <x:c r="G128" s="202"/>
      <x:c r="H128" s="202"/>
      <x:c r="I128" s="202"/>
      <x:c r="J128" s="204"/>
      <x:c r="K128" s="204"/>
      <x:c r="L128" s="204"/>
    </x:row>
    <x:row r="129" ht="16.049999237060547" customHeight="1">
      <x:c r="A129" s="215"/>
      <x:c r="B129" s="202"/>
      <x:c r="C129" s="202"/>
      <x:c r="D129" s="202"/>
      <x:c r="E129" s="202"/>
      <x:c r="F129" s="202"/>
      <x:c r="G129" s="202"/>
      <x:c r="H129" s="202"/>
      <x:c r="I129" s="202"/>
      <x:c r="J129" s="204"/>
      <x:c r="K129" s="204"/>
      <x:c r="L129" s="204"/>
    </x:row>
    <x:row r="130" ht="16.049999237060547" customHeight="1">
      <x:c r="A130" s="216"/>
      <x:c r="B130" s="203"/>
      <x:c r="C130" s="203"/>
      <x:c r="D130" s="203"/>
      <x:c r="E130" s="203"/>
      <x:c r="F130" s="203"/>
      <x:c r="G130" s="203"/>
      <x:c r="H130" s="203"/>
      <x:c r="I130" s="203"/>
      <x:c r="J130" s="205"/>
      <x:c r="K130" s="205"/>
      <x:c r="L130" s="205"/>
    </x:row>
    <x:row r="131">
      <x:c r="B131" s="3"/>
      <x:c r="C131" s="3"/>
      <x:c r="D131" s="3"/>
    </x:row>
    <x:row r="132" ht="20.850000381469727" customHeight="1">
      <x:c r="A132" s="280" t="s">
        <x:v>203</x:v>
      </x:c>
      <x:c r="B132" s="281"/>
      <x:c r="C132" s="281"/>
      <x:c r="D132" s="281"/>
      <x:c r="E132" s="280"/>
      <x:c r="F132" s="280"/>
      <x:c r="G132" s="280"/>
      <x:c r="H132" s="280"/>
      <x:c r="I132" s="280"/>
      <x:c r="J132" s="280"/>
      <x:c r="K132" s="280"/>
      <x:c r="L132" s="280"/>
    </x:row>
    <x:row r="133" ht="27.149999618530273" customHeight="1">
      <x:c r="A133" s="220" t="s">
        <x:v>204</x:v>
      </x:c>
      <x:c r="B133" s="221" t="s">
        <x:v>216</x:v>
      </x:c>
      <x:c r="C133" s="221" t="s">
        <x:v>168</x:v>
      </x:c>
      <x:c r="D133" s="221" t="s">
        <x:v>169</x:v>
      </x:c>
      <x:c r="E133" s="220" t="s">
        <x:v>217</x:v>
      </x:c>
      <x:c r="F133" s="220" t="s">
        <x:v>171</x:v>
      </x:c>
      <x:c r="G133" s="220" t="s">
        <x:v>218</x:v>
      </x:c>
      <x:c r="H133" s="220" t="s">
        <x:v>219</x:v>
      </x:c>
      <x:c r="I133" s="220" t="s">
        <x:v>173</x:v>
      </x:c>
      <x:c r="J133" s="220" t="s">
        <x:v>220</x:v>
      </x:c>
      <x:c r="K133" s="220" t="s">
        <x:v>172</x:v>
      </x:c>
      <x:c r="L133" s="220" t="s">
        <x:v>221</x:v>
      </x:c>
    </x:row>
    <x:row r="134" ht="16.049999237060547" customHeight="1">
      <x:c r="A134" s="222" t="s">
        <x:v>205</x:v>
      </x:c>
      <x:c r="B134" s="223" t="e">
        <x:f t="shared" ref="B134:L134" si="8">SUM(B3:B8)</x:f>
      </x:c>
      <x:c r="C134" s="223">
        <x:f t="shared" si="8"/>
        <x:v>13000</x:v>
      </x:c>
      <x:c r="D134" s="223">
        <x:f t="shared" si="8"/>
        <x:v>0</x:v>
      </x:c>
      <x:c r="E134" s="223">
        <x:f t="shared" si="8"/>
        <x:v>2880</x:v>
      </x:c>
      <x:c r="F134" s="223">
        <x:f t="shared" si="8"/>
        <x:v>3000</x:v>
      </x:c>
      <x:c r="G134" s="223">
        <x:f t="shared" si="8"/>
        <x:v>36415.800000000003</x:v>
      </x:c>
      <x:c r="H134" s="223">
        <x:f t="shared" si="8"/>
        <x:v>1680.3200000000006</x:v>
      </x:c>
      <x:c r="I134" s="223">
        <x:f t="shared" si="8"/>
        <x:v>3000</x:v>
      </x:c>
      <x:c r="J134" s="224">
        <x:f t="shared" si="8"/>
        <x:v>46594.78</x:v>
      </x:c>
      <x:c r="K134" s="224">
        <x:f t="shared" si="8"/>
        <x:v>0</x:v>
      </x:c>
      <x:c r="L134" s="224">
        <x:f t="shared" si="8"/>
        <x:v>84690.9</x:v>
      </x:c>
    </x:row>
    <x:row r="135" ht="16.049999237060547" customHeight="1">
      <x:c r="A135" s="222" t="s">
        <x:v>206</x:v>
      </x:c>
      <x:c r="B135" s="223" t="e">
        <x:f t="shared" ref="B135:L135" si="9">SUM(B9:B20)</x:f>
      </x:c>
      <x:c r="C135" s="223">
        <x:f t="shared" si="9"/>
        <x:v>24000</x:v>
      </x:c>
      <x:c r="D135" s="223">
        <x:f t="shared" si="9"/>
        <x:v>0</x:v>
      </x:c>
      <x:c r="E135" s="223">
        <x:f t="shared" si="9"/>
        <x:v>5760</x:v>
      </x:c>
      <x:c r="F135" s="223">
        <x:f t="shared" si="9"/>
        <x:v>6000</x:v>
      </x:c>
      <x:c r="G135" s="223">
        <x:f t="shared" si="9"/>
        <x:v>13518</x:v>
      </x:c>
      <x:c r="H135" s="223">
        <x:f t="shared" si="9"/>
        <x:v>0</x:v>
      </x:c>
      <x:c r="I135" s="223">
        <x:f t="shared" si="9"/>
        <x:v>6000</x:v>
      </x:c>
      <x:c r="J135" s="224">
        <x:f t="shared" si="9"/>
        <x:v>41760</x:v>
      </x:c>
      <x:c r="K135" s="224">
        <x:f t="shared" si="9"/>
        <x:v>0</x:v>
      </x:c>
      <x:c r="L135" s="224">
        <x:f t="shared" si="9"/>
        <x:v>55278</x:v>
      </x:c>
    </x:row>
    <x:row r="136" ht="16.049999237060547" customHeight="1">
      <x:c r="A136" s="222" t="s">
        <x:v>207</x:v>
      </x:c>
      <x:c r="B136" s="223" t="e">
        <x:f t="shared" ref="B136:L136" si="10">SUM(B21:B32)</x:f>
      </x:c>
      <x:c r="C136" s="223">
        <x:f t="shared" si="10"/>
        <x:v>24000</x:v>
      </x:c>
      <x:c r="D136" s="223">
        <x:f t="shared" si="10"/>
        <x:v>0</x:v>
      </x:c>
      <x:c r="E136" s="223">
        <x:f t="shared" si="10"/>
        <x:v>5760</x:v>
      </x:c>
      <x:c r="F136" s="223">
        <x:f t="shared" si="10"/>
        <x:v>6000</x:v>
      </x:c>
      <x:c r="G136" s="223">
        <x:f t="shared" si="10"/>
        <x:v>0</x:v>
      </x:c>
      <x:c r="H136" s="223">
        <x:f t="shared" si="10"/>
        <x:v>0</x:v>
      </x:c>
      <x:c r="I136" s="223">
        <x:f t="shared" si="10"/>
        <x:v>6000</x:v>
      </x:c>
      <x:c r="J136" s="224">
        <x:f t="shared" si="10"/>
        <x:v>41760</x:v>
      </x:c>
      <x:c r="K136" s="224">
        <x:f t="shared" si="10"/>
        <x:v>0</x:v>
      </x:c>
      <x:c r="L136" s="224">
        <x:f t="shared" si="10"/>
        <x:v>41760</x:v>
      </x:c>
    </x:row>
    <x:row r="137" ht="16.049999237060547" customHeight="1">
      <x:c r="A137" s="222" t="s">
        <x:v>208</x:v>
      </x:c>
      <x:c r="B137" s="223" t="e">
        <x:f t="shared" ref="B137:L137" si="11">SUM(B33:B44)</x:f>
      </x:c>
      <x:c r="C137" s="223">
        <x:f t="shared" si="11"/>
        <x:v>24000</x:v>
      </x:c>
      <x:c r="D137" s="223">
        <x:f t="shared" si="11"/>
        <x:v>0</x:v>
      </x:c>
      <x:c r="E137" s="223">
        <x:f t="shared" si="11"/>
        <x:v>5760</x:v>
      </x:c>
      <x:c r="F137" s="223">
        <x:f t="shared" si="11"/>
        <x:v>6000</x:v>
      </x:c>
      <x:c r="G137" s="223">
        <x:f t="shared" si="11"/>
        <x:v>0</x:v>
      </x:c>
      <x:c r="H137" s="223">
        <x:f t="shared" si="11"/>
        <x:v>0</x:v>
      </x:c>
      <x:c r="I137" s="223">
        <x:f t="shared" si="11"/>
        <x:v>6000</x:v>
      </x:c>
      <x:c r="J137" s="224">
        <x:f t="shared" si="11"/>
        <x:v>41760</x:v>
      </x:c>
      <x:c r="K137" s="224">
        <x:f t="shared" si="11"/>
        <x:v>0</x:v>
      </x:c>
      <x:c r="L137" s="224">
        <x:f t="shared" si="11"/>
        <x:v>41760</x:v>
      </x:c>
    </x:row>
    <x:row r="138" ht="16.049999237060547" customHeight="1">
      <x:c r="A138" s="222" t="s">
        <x:v>209</x:v>
      </x:c>
      <x:c r="B138" s="223" t="e">
        <x:f t="shared" ref="B138:L138" si="12">SUM(B45:B56)</x:f>
      </x:c>
      <x:c r="C138" s="223">
        <x:f t="shared" si="12"/>
        <x:v>24000</x:v>
      </x:c>
      <x:c r="D138" s="223">
        <x:f t="shared" si="12"/>
        <x:v>0</x:v>
      </x:c>
      <x:c r="E138" s="223">
        <x:f t="shared" si="12"/>
        <x:v>5760</x:v>
      </x:c>
      <x:c r="F138" s="223">
        <x:f t="shared" si="12"/>
        <x:v>6000</x:v>
      </x:c>
      <x:c r="G138" s="223">
        <x:f t="shared" si="12"/>
        <x:v>0</x:v>
      </x:c>
      <x:c r="H138" s="223">
        <x:f t="shared" si="12"/>
        <x:v>0</x:v>
      </x:c>
      <x:c r="I138" s="223">
        <x:f t="shared" si="12"/>
        <x:v>6000</x:v>
      </x:c>
      <x:c r="J138" s="224">
        <x:f t="shared" si="12"/>
        <x:v>41760</x:v>
      </x:c>
      <x:c r="K138" s="224">
        <x:f t="shared" si="12"/>
        <x:v>0</x:v>
      </x:c>
      <x:c r="L138" s="224">
        <x:f t="shared" si="12"/>
        <x:v>41760</x:v>
      </x:c>
    </x:row>
    <x:row r="139" ht="16.049999237060547" customHeight="1">
      <x:c r="A139" s="222" t="s">
        <x:v>210</x:v>
      </x:c>
      <x:c r="B139" s="223" t="e">
        <x:f t="shared" ref="B139:L139" si="13">SUM(B57:B68)</x:f>
      </x:c>
      <x:c r="C139" s="223">
        <x:f t="shared" si="13"/>
        <x:v>24000</x:v>
      </x:c>
      <x:c r="D139" s="223">
        <x:f t="shared" si="13"/>
        <x:v>0</x:v>
      </x:c>
      <x:c r="E139" s="223">
        <x:f t="shared" si="13"/>
        <x:v>5760</x:v>
      </x:c>
      <x:c r="F139" s="223">
        <x:f t="shared" si="13"/>
        <x:v>6000</x:v>
      </x:c>
      <x:c r="G139" s="223">
        <x:f t="shared" si="13"/>
        <x:v>0</x:v>
      </x:c>
      <x:c r="H139" s="223">
        <x:f t="shared" si="13"/>
        <x:v>0</x:v>
      </x:c>
      <x:c r="I139" s="223">
        <x:f t="shared" si="13"/>
        <x:v>6000</x:v>
      </x:c>
      <x:c r="J139" s="224">
        <x:f t="shared" si="13"/>
        <x:v>41760</x:v>
      </x:c>
      <x:c r="K139" s="224">
        <x:f t="shared" si="13"/>
        <x:v>0</x:v>
      </x:c>
      <x:c r="L139" s="224">
        <x:f t="shared" si="13"/>
        <x:v>41760</x:v>
      </x:c>
    </x:row>
    <x:row r="140" ht="16.049999237060547" customHeight="1">
      <x:c r="A140" s="222" t="s">
        <x:v>211</x:v>
      </x:c>
      <x:c r="B140" s="223" t="e">
        <x:f t="shared" ref="B140:L140" si="14">SUM(B69:B80)</x:f>
      </x:c>
      <x:c r="C140" s="223">
        <x:f t="shared" si="14"/>
        <x:v>24000</x:v>
      </x:c>
      <x:c r="D140" s="223">
        <x:f t="shared" si="14"/>
        <x:v>0</x:v>
      </x:c>
      <x:c r="E140" s="223">
        <x:f t="shared" si="14"/>
        <x:v>5760</x:v>
      </x:c>
      <x:c r="F140" s="223">
        <x:f t="shared" si="14"/>
        <x:v>6000</x:v>
      </x:c>
      <x:c r="G140" s="223">
        <x:f t="shared" si="14"/>
        <x:v>0</x:v>
      </x:c>
      <x:c r="H140" s="223">
        <x:f t="shared" si="14"/>
        <x:v>0</x:v>
      </x:c>
      <x:c r="I140" s="223">
        <x:f t="shared" si="14"/>
        <x:v>6000</x:v>
      </x:c>
      <x:c r="J140" s="224">
        <x:f t="shared" si="14"/>
        <x:v>41760</x:v>
      </x:c>
      <x:c r="K140" s="224">
        <x:f t="shared" si="14"/>
        <x:v>0</x:v>
      </x:c>
      <x:c r="L140" s="224">
        <x:f t="shared" si="14"/>
        <x:v>41760</x:v>
      </x:c>
    </x:row>
    <x:row r="141" ht="16.049999237060547" customHeight="1">
      <x:c r="A141" s="222" t="s">
        <x:v>212</x:v>
      </x:c>
      <x:c r="B141" s="223" t="e">
        <x:f t="shared" ref="B141:L141" si="15">SUM(B81:B92)</x:f>
      </x:c>
      <x:c r="C141" s="223">
        <x:f t="shared" si="15"/>
        <x:v>24000</x:v>
      </x:c>
      <x:c r="D141" s="223">
        <x:f t="shared" si="15"/>
        <x:v>0</x:v>
      </x:c>
      <x:c r="E141" s="223">
        <x:f t="shared" si="15"/>
        <x:v>5760</x:v>
      </x:c>
      <x:c r="F141" s="223">
        <x:f t="shared" si="15"/>
        <x:v>6000</x:v>
      </x:c>
      <x:c r="G141" s="223">
        <x:f t="shared" si="15"/>
        <x:v>0</x:v>
      </x:c>
      <x:c r="H141" s="223">
        <x:f t="shared" si="15"/>
        <x:v>0</x:v>
      </x:c>
      <x:c r="I141" s="223">
        <x:f t="shared" si="15"/>
        <x:v>6000</x:v>
      </x:c>
      <x:c r="J141" s="224">
        <x:f t="shared" si="15"/>
        <x:v>41760</x:v>
      </x:c>
      <x:c r="K141" s="224">
        <x:f t="shared" si="15"/>
        <x:v>0</x:v>
      </x:c>
      <x:c r="L141" s="224">
        <x:f t="shared" si="15"/>
        <x:v>41760</x:v>
      </x:c>
    </x:row>
    <x:row r="142" ht="16.049999237060547" customHeight="1">
      <x:c r="A142" s="222" t="s">
        <x:v>213</x:v>
      </x:c>
      <x:c r="B142" s="223" t="e">
        <x:f t="shared" ref="B142:L142" si="16">SUM(B93:B104)</x:f>
      </x:c>
      <x:c r="C142" s="223">
        <x:f t="shared" si="16"/>
        <x:v>24000</x:v>
      </x:c>
      <x:c r="D142" s="223">
        <x:f t="shared" si="16"/>
        <x:v>0</x:v>
      </x:c>
      <x:c r="E142" s="223">
        <x:f t="shared" si="16"/>
        <x:v>5760</x:v>
      </x:c>
      <x:c r="F142" s="223">
        <x:f t="shared" si="16"/>
        <x:v>6000</x:v>
      </x:c>
      <x:c r="G142" s="223">
        <x:f t="shared" si="16"/>
        <x:v>0</x:v>
      </x:c>
      <x:c r="H142" s="223">
        <x:f t="shared" si="16"/>
        <x:v>0</x:v>
      </x:c>
      <x:c r="I142" s="223">
        <x:f t="shared" si="16"/>
        <x:v>6000</x:v>
      </x:c>
      <x:c r="J142" s="224">
        <x:f t="shared" si="16"/>
        <x:v>41760</x:v>
      </x:c>
      <x:c r="K142" s="224">
        <x:f t="shared" si="16"/>
        <x:v>0</x:v>
      </x:c>
      <x:c r="L142" s="224">
        <x:f t="shared" si="16"/>
        <x:v>41760</x:v>
      </x:c>
    </x:row>
    <x:row r="143" ht="16.049999237060547" customHeight="1">
      <x:c r="A143" s="222" t="s">
        <x:v>214</x:v>
      </x:c>
      <x:c r="B143" s="223" t="e">
        <x:f t="shared" ref="B143:L143" si="17">SUM(B105:B116)</x:f>
      </x:c>
      <x:c r="C143" s="223">
        <x:f t="shared" si="17"/>
        <x:v>24000</x:v>
      </x:c>
      <x:c r="D143" s="223">
        <x:f t="shared" si="17"/>
        <x:v>0</x:v>
      </x:c>
      <x:c r="E143" s="223">
        <x:f t="shared" si="17"/>
        <x:v>5760</x:v>
      </x:c>
      <x:c r="F143" s="223">
        <x:f t="shared" si="17"/>
        <x:v>6000</x:v>
      </x:c>
      <x:c r="G143" s="223">
        <x:f t="shared" si="17"/>
        <x:v>0</x:v>
      </x:c>
      <x:c r="H143" s="223">
        <x:f t="shared" si="17"/>
        <x:v>0</x:v>
      </x:c>
      <x:c r="I143" s="223">
        <x:f t="shared" si="17"/>
        <x:v>6000</x:v>
      </x:c>
      <x:c r="J143" s="224">
        <x:f t="shared" si="17"/>
        <x:v>41760</x:v>
      </x:c>
      <x:c r="K143" s="224">
        <x:f t="shared" si="17"/>
        <x:v>0</x:v>
      </x:c>
      <x:c r="L143" s="224">
        <x:f t="shared" si="17"/>
        <x:v>41760</x:v>
      </x:c>
    </x:row>
  </x:sheetData>
  <x:mergeCells>
    <x:mergeCell ref="A1:L1"/>
    <x:mergeCell ref="A123:L123"/>
    <x:mergeCell ref="A120:L120"/>
    <x:mergeCell ref="A119:L119"/>
    <x:mergeCell ref="A132:L132"/>
  </x:mergeCells>
  <x:conditionalFormatting sqref="L3:L116">
    <x:cfRule type="dataBar" priority="2">
      <x:dataBar>
        <x:cfvo type="min"/>
        <x:cfvo type="max"/>
        <x:color rgb="FFA02B93"/>
      </x:dataBar>
    </x:cfRule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{941067AC-C8C0-762B-22B9-8ADA486FB450}</x14:id>
        </x:ext>
      </x:extLst>
    </x:cfRule>
  </x:conditionalFormatting>
  <x:conditionalFormatting sqref="L4:L22">
    <x:cfRule type="dataBar" priority="1">
      <x:dataBar>
        <x:cfvo type="min"/>
        <x:cfvo type="max"/>
        <x:color rgb="FFA02B93"/>
      </x:dataBar>
    </x:cfRule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{1C176EB7-FAF7-B7FF-48BF-5A716E177D8E}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3837a7127224fc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941067AC-C8C0-762B-22B9-8ADA486FB450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L3:L116</xm:sqref>
        </x14:conditionalFormatting>
        <x14:conditionalFormatting>
          <x14:cfRule type="dataBar" priority="3" id="{1C176EB7-FAF7-B7FF-48BF-5A716E177D8E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L4:L22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baseColWidth="10" defaultColWidth="8.796875" defaultRowHeight="13.800000190734863"/>
  <x:cols>
    <x:col min="1" max="5" width="18" customWidth="1"/>
    <x:col min="13" max="13" width="16" customWidth="1"/>
  </x:cols>
  <x:sheetData>
    <x:row r="1">
      <x:c r="A1" s="151" t="s">
        <x:v>55</x:v>
      </x:c>
      <x:c r="B1" s="151" t="s">
        <x:v>174</x:v>
      </x:c>
      <x:c r="C1" s="151" t="s">
        <x:v>172</x:v>
      </x:c>
      <x:c r="D1" s="151" t="s">
        <x:v>201</x:v>
      </x:c>
      <x:c r="E1" s="151" t="s">
        <x:v>198</x:v>
      </x:c>
      <x:c r="F1" s="150" t="s">
        <x:v>55</x:v>
      </x:c>
      <x:c r="G1" s="150" t="s">
        <x:v>201</x:v>
      </x:c>
      <x:c r="H1" s="150" t="s">
        <x:v>198</x:v>
      </x:c>
      <x:c r="J1" s="150" t="s">
        <x:v>55</x:v>
      </x:c>
      <x:c r="K1" s="150" t="s">
        <x:v>174</x:v>
      </x:c>
      <x:c r="M1" t="s">
        <x:v>222</x:v>
      </x:c>
      <x:c r="O1" t="s">
        <x:v>223</x:v>
      </x:c>
      <x:c r="P1" t="s">
        <x:v>224</x:v>
      </x:c>
    </x:row>
    <x:row r="2">
      <x:c r="A2" s="193" t="n">
        <x:f>DATE(Dashboard!$C$3,1,1)</x:f>
        <x:v>46023</x:v>
      </x:c>
      <x:c r="B2" s="152" t="e">
        <x:f>IFERROR(INDEX(Liquiditätsplan!$M$2:$M$115,MATCH(A2,Liquiditätsplan!$A$2:$A$115,0)),0)</x:f>
      </x:c>
      <x:c r="C2" s="152" t="e">
        <x:f>IFERROR(INDEX(Liquiditätsplan!$K$2:$K$115,MATCH(A2,Liquiditätsplan!$A$2:$A$115,0)),0)</x:f>
      </x:c>
      <x:c r="D2" s="152" t="e">
        <x:f>IFERROR(INDEX(Gewinnübersicht!$J$3:$J$115,MATCH(A2,Gewinnübersicht!$A$3:$A$115,0)),0)</x:f>
      </x:c>
      <x:c r="E2" s="152" t="e">
        <x:f>IFERROR(INDEX(Gewinnübersicht!$B$3:$B$115,MATCH(A2,Gewinnübersicht!$A$3:$A$115,0)),0)</x:f>
      </x:c>
      <x:c r="F2" t="str">
        <x:f t="shared" ref="F2:F25" si="0">TEXT(A2,"mmm yy")</x:f>
        <x:v>Jan 26</x:v>
      </x:c>
      <x:c r="G2" s="152" t="e">
        <x:f t="shared" ref="G2:G25" si="1">D2</x:f>
      </x:c>
      <x:c r="H2" s="152" t="e">
        <x:f t="shared" ref="H2:H25" si="2">E2</x:f>
      </x:c>
      <x:c r="J2" t="str">
        <x:f t="shared" ref="J2:J25" si="3">TEXT(A2,"mmm yy")</x:f>
        <x:v>Jan 26</x:v>
      </x:c>
      <x:c r="K2" s="152" t="e">
        <x:f t="shared" ref="K2:K25" si="4">B2</x:f>
      </x:c>
      <x:c r="M2" s="188">
        <x:v>2026</x:v>
      </x:c>
      <x:c r="O2" t="s">
        <x:v>225</x:v>
      </x:c>
      <x:c r="P2" t="s">
        <x:v>226</x:v>
      </x:c>
    </x:row>
    <x:row r="3">
      <x:c r="A3" s="193" t="n">
        <x:f t="shared" ref="A3:A25" si="5">EDATE(A2,1)</x:f>
        <x:v>46054</x:v>
      </x:c>
      <x:c r="B3" s="152" t="e">
        <x:f>IFERROR(INDEX(Liquiditätsplan!$M$2:$M$115,MATCH(A3,Liquiditätsplan!$A$2:$A$115,0)),0)</x:f>
      </x:c>
      <x:c r="C3" s="152" t="e">
        <x:f>IFERROR(INDEX(Liquiditätsplan!$K$2:$K$115,MATCH(A3,Liquiditätsplan!$A$2:$A$115,0)),0)</x:f>
      </x:c>
      <x:c r="D3" s="152" t="e">
        <x:f>IFERROR(INDEX(Gewinnübersicht!$J$3:$J$115,MATCH(A3,Gewinnübersicht!$A$3:$A$115,0)),0)</x:f>
      </x:c>
      <x:c r="E3" s="152" t="e">
        <x:f>IFERROR(INDEX(Gewinnübersicht!$B$3:$B$115,MATCH(A3,Gewinnübersicht!$A$3:$A$115,0)),0)</x:f>
      </x:c>
      <x:c r="F3" t="str">
        <x:f t="shared" si="0"/>
        <x:v>00 yy</x:v>
      </x:c>
      <x:c r="G3" s="152">
        <x:f t="shared" si="1"/>
        <x:v>0</x:v>
      </x:c>
      <x:c r="H3" s="152">
        <x:f t="shared" si="2"/>
        <x:v>0</x:v>
      </x:c>
      <x:c r="J3" t="str">
        <x:f t="shared" si="3"/>
        <x:v>00 yy</x:v>
      </x:c>
      <x:c r="K3" s="152">
        <x:f t="shared" si="4"/>
        <x:v>0</x:v>
      </x:c>
      <x:c r="M3" s="188">
        <x:v>2027</x:v>
      </x:c>
      <x:c r="O3" t="s">
        <x:v>172</x:v>
      </x:c>
      <x:c r="P3" t="s">
        <x:v>227</x:v>
      </x:c>
    </x:row>
    <x:row r="4">
      <x:c r="A4" s="193">
        <x:f t="shared" si="5"/>
        <x:v>46082</x:v>
      </x:c>
      <x:c r="B4" s="152" t="e">
        <x:f>IFERROR(INDEX(Liquiditätsplan!$M$2:$M$115,MATCH(A4,Liquiditätsplan!$A$2:$A$115,0)),0)</x:f>
      </x:c>
      <x:c r="C4" s="152" t="e">
        <x:f>IFERROR(INDEX(Liquiditätsplan!$K$2:$K$115,MATCH(A4,Liquiditätsplan!$A$2:$A$115,0)),0)</x:f>
      </x:c>
      <x:c r="D4" s="152" t="e">
        <x:f>IFERROR(INDEX(Gewinnübersicht!$J$3:$J$115,MATCH(A4,Gewinnübersicht!$A$3:$A$115,0)),0)</x:f>
      </x:c>
      <x:c r="E4" s="152" t="e">
        <x:f>IFERROR(INDEX(Gewinnübersicht!$B$3:$B$115,MATCH(A4,Gewinnübersicht!$A$3:$A$115,0)),0)</x:f>
      </x:c>
      <x:c r="F4" t="str">
        <x:f t="shared" si="0"/>
        <x:v>00 yy</x:v>
      </x:c>
      <x:c r="G4" s="152">
        <x:f t="shared" si="1"/>
        <x:v>0</x:v>
      </x:c>
      <x:c r="H4" s="152">
        <x:f t="shared" si="2"/>
        <x:v>0</x:v>
      </x:c>
      <x:c r="J4" t="str">
        <x:f t="shared" si="3"/>
        <x:v>00 yy</x:v>
      </x:c>
      <x:c r="K4" s="152">
        <x:f t="shared" si="4"/>
        <x:v>0</x:v>
      </x:c>
      <x:c r="M4" s="188">
        <x:v>2028</x:v>
      </x:c>
      <x:c r="O4" t="s">
        <x:v>228</x:v>
      </x:c>
      <x:c r="P4" t="s">
        <x:v>229</x:v>
      </x:c>
    </x:row>
    <x:row r="5">
      <x:c r="A5" s="193">
        <x:f t="shared" si="5"/>
        <x:v>46113</x:v>
      </x:c>
      <x:c r="B5" s="152" t="e">
        <x:f>IFERROR(INDEX(Liquiditätsplan!$M$2:$M$115,MATCH(A5,Liquiditätsplan!$A$2:$A$115,0)),0)</x:f>
      </x:c>
      <x:c r="C5" s="152" t="e">
        <x:f>IFERROR(INDEX(Liquiditätsplan!$K$2:$K$115,MATCH(A5,Liquiditätsplan!$A$2:$A$115,0)),0)</x:f>
      </x:c>
      <x:c r="D5" s="152" t="e">
        <x:f>IFERROR(INDEX(Gewinnübersicht!$J$3:$J$115,MATCH(A5,Gewinnübersicht!$A$3:$A$115,0)),0)</x:f>
      </x:c>
      <x:c r="E5" s="152" t="e">
        <x:f>IFERROR(INDEX(Gewinnübersicht!$B$3:$B$115,MATCH(A5,Gewinnübersicht!$A$3:$A$115,0)),0)</x:f>
      </x:c>
      <x:c r="F5" t="str">
        <x:f t="shared" si="0"/>
        <x:v>00 yy</x:v>
      </x:c>
      <x:c r="G5" s="152">
        <x:f t="shared" si="1"/>
        <x:v>0</x:v>
      </x:c>
      <x:c r="H5" s="152">
        <x:f t="shared" si="2"/>
        <x:v>0</x:v>
      </x:c>
      <x:c r="J5" t="str">
        <x:f t="shared" si="3"/>
        <x:v>00 yy</x:v>
      </x:c>
      <x:c r="K5" s="152">
        <x:f t="shared" si="4"/>
        <x:v>0</x:v>
      </x:c>
      <x:c r="M5" s="188">
        <x:v>2029</x:v>
      </x:c>
      <x:c r="O5" t="s">
        <x:v>198</x:v>
      </x:c>
      <x:c r="P5" t="s">
        <x:v>230</x:v>
      </x:c>
    </x:row>
    <x:row r="6">
      <x:c r="A6" s="193">
        <x:f t="shared" si="5"/>
        <x:v>46143</x:v>
      </x:c>
      <x:c r="B6" s="152" t="e">
        <x:f>IFERROR(INDEX(Liquiditätsplan!$M$2:$M$115,MATCH(A6,Liquiditätsplan!$A$2:$A$115,0)),0)</x:f>
      </x:c>
      <x:c r="C6" s="152" t="e">
        <x:f>IFERROR(INDEX(Liquiditätsplan!$K$2:$K$115,MATCH(A6,Liquiditätsplan!$A$2:$A$115,0)),0)</x:f>
      </x:c>
      <x:c r="D6" s="152" t="e">
        <x:f>IFERROR(INDEX(Gewinnübersicht!$J$3:$J$115,MATCH(A6,Gewinnübersicht!$A$3:$A$115,0)),0)</x:f>
      </x:c>
      <x:c r="E6" s="152" t="e">
        <x:f>IFERROR(INDEX(Gewinnübersicht!$B$3:$B$115,MATCH(A6,Gewinnübersicht!$A$3:$A$115,0)),0)</x:f>
      </x:c>
      <x:c r="F6" t="str">
        <x:f t="shared" si="0"/>
        <x:v>00 yy</x:v>
      </x:c>
      <x:c r="G6" s="152">
        <x:f t="shared" si="1"/>
        <x:v>0</x:v>
      </x:c>
      <x:c r="H6" s="152">
        <x:f t="shared" si="2"/>
        <x:v>0</x:v>
      </x:c>
      <x:c r="J6" t="str">
        <x:f t="shared" si="3"/>
        <x:v>00 yy</x:v>
      </x:c>
      <x:c r="K6" s="152">
        <x:f t="shared" si="4"/>
        <x:v>0</x:v>
      </x:c>
      <x:c r="M6" s="188">
        <x:v>2030</x:v>
      </x:c>
      <x:c r="O6" t="s">
        <x:v>231</x:v>
      </x:c>
      <x:c r="P6" t="s">
        <x:v>232</x:v>
      </x:c>
    </x:row>
    <x:row r="7">
      <x:c r="A7" s="193">
        <x:f t="shared" si="5"/>
        <x:v>46174</x:v>
      </x:c>
      <x:c r="B7" s="152" t="e">
        <x:f>IFERROR(INDEX(Liquiditätsplan!$M$2:$M$115,MATCH(A7,Liquiditätsplan!$A$2:$A$115,0)),0)</x:f>
      </x:c>
      <x:c r="C7" s="152" t="e">
        <x:f>IFERROR(INDEX(Liquiditätsplan!$K$2:$K$115,MATCH(A7,Liquiditätsplan!$A$2:$A$115,0)),0)</x:f>
      </x:c>
      <x:c r="D7" s="152" t="e">
        <x:f>IFERROR(INDEX(Gewinnübersicht!$J$3:$J$115,MATCH(A7,Gewinnübersicht!$A$3:$A$115,0)),0)</x:f>
      </x:c>
      <x:c r="E7" s="152" t="e">
        <x:f>IFERROR(INDEX(Gewinnübersicht!$B$3:$B$115,MATCH(A7,Gewinnübersicht!$A$3:$A$115,0)),0)</x:f>
      </x:c>
      <x:c r="F7" t="str">
        <x:f t="shared" si="0"/>
        <x:v>00 yy</x:v>
      </x:c>
      <x:c r="G7" s="152">
        <x:f t="shared" si="1"/>
        <x:v>0</x:v>
      </x:c>
      <x:c r="H7" s="152">
        <x:f t="shared" si="2"/>
        <x:v>0</x:v>
      </x:c>
      <x:c r="J7" t="str">
        <x:f t="shared" si="3"/>
        <x:v>00 yy</x:v>
      </x:c>
      <x:c r="K7" s="152">
        <x:f t="shared" si="4"/>
        <x:v>0</x:v>
      </x:c>
      <x:c r="M7" s="188">
        <x:v>2031</x:v>
      </x:c>
    </x:row>
    <x:row r="8">
      <x:c r="A8" s="193">
        <x:f t="shared" si="5"/>
        <x:v>46204</x:v>
      </x:c>
      <x:c r="B8" s="152" t="e">
        <x:f>IFERROR(INDEX(Liquiditätsplan!$M$2:$M$115,MATCH(A8,Liquiditätsplan!$A$2:$A$115,0)),0)</x:f>
      </x:c>
      <x:c r="C8" s="152" t="e">
        <x:f>IFERROR(INDEX(Liquiditätsplan!$K$2:$K$115,MATCH(A8,Liquiditätsplan!$A$2:$A$115,0)),0)</x:f>
      </x:c>
      <x:c r="D8" s="152" t="e">
        <x:f>IFERROR(INDEX(Gewinnübersicht!$J$3:$J$115,MATCH(A8,Gewinnübersicht!$A$3:$A$115,0)),0)</x:f>
      </x:c>
      <x:c r="E8" s="152" t="e">
        <x:f>IFERROR(INDEX(Gewinnübersicht!$B$3:$B$115,MATCH(A8,Gewinnübersicht!$A$3:$A$115,0)),0)</x:f>
      </x:c>
      <x:c r="F8" t="str">
        <x:f t="shared" si="0"/>
        <x:v>00 yy</x:v>
      </x:c>
      <x:c r="G8" s="152">
        <x:f t="shared" si="1"/>
        <x:v>29201.550000000007</x:v>
      </x:c>
      <x:c r="H8" s="152">
        <x:f t="shared" si="2"/>
        <x:v>50796.610000000008</x:v>
      </x:c>
      <x:c r="J8" t="str">
        <x:f t="shared" si="3"/>
        <x:v>00 yy</x:v>
      </x:c>
      <x:c r="K8" s="152">
        <x:f t="shared" si="4"/>
        <x:v>-11184.359999999999</x:v>
      </x:c>
      <x:c r="M8" s="188">
        <x:v>2032</x:v>
      </x:c>
    </x:row>
    <x:row r="9">
      <x:c r="A9" s="193">
        <x:f t="shared" si="5"/>
        <x:v>46235</x:v>
      </x:c>
      <x:c r="B9" s="152" t="e">
        <x:f>IFERROR(INDEX(Liquiditätsplan!$M$2:$M$115,MATCH(A9,Liquiditätsplan!$A$2:$A$115,0)),0)</x:f>
      </x:c>
      <x:c r="C9" s="152" t="e">
        <x:f>IFERROR(INDEX(Liquiditätsplan!$K$2:$K$115,MATCH(A9,Liquiditätsplan!$A$2:$A$115,0)),0)</x:f>
      </x:c>
      <x:c r="D9" s="152" t="e">
        <x:f>IFERROR(INDEX(Gewinnübersicht!$J$3:$J$115,MATCH(A9,Gewinnübersicht!$A$3:$A$115,0)),0)</x:f>
      </x:c>
      <x:c r="E9" s="152" t="e">
        <x:f>IFERROR(INDEX(Gewinnübersicht!$B$3:$B$115,MATCH(A9,Gewinnübersicht!$A$3:$A$115,0)),0)</x:f>
      </x:c>
      <x:c r="F9" t="str">
        <x:f t="shared" si="0"/>
        <x:v>00 yy</x:v>
      </x:c>
      <x:c r="G9" s="152">
        <x:f t="shared" si="1"/>
        <x:v>-3000</x:v>
      </x:c>
      <x:c r="H9" s="152">
        <x:f t="shared" si="2"/>
        <x:v>0</x:v>
      </x:c>
      <x:c r="J9" t="str">
        <x:f t="shared" si="3"/>
        <x:v>00 yy</x:v>
      </x:c>
      <x:c r="K9" s="152">
        <x:f t="shared" si="4"/>
        <x:v>733.67999999999665</x:v>
      </x:c>
      <x:c r="M9" s="188">
        <x:v>2033</x:v>
      </x:c>
    </x:row>
    <x:row r="10">
      <x:c r="A10" s="193">
        <x:f t="shared" si="5"/>
        <x:v>46266</x:v>
      </x:c>
      <x:c r="B10" s="152" t="e">
        <x:f>IFERROR(INDEX(Liquiditätsplan!$M$2:$M$115,MATCH(A10,Liquiditätsplan!$A$2:$A$115,0)),0)</x:f>
      </x:c>
      <x:c r="C10" s="152" t="e">
        <x:f>IFERROR(INDEX(Liquiditätsplan!$K$2:$K$115,MATCH(A10,Liquiditätsplan!$A$2:$A$115,0)),0)</x:f>
      </x:c>
      <x:c r="D10" s="152" t="e">
        <x:f>IFERROR(INDEX(Gewinnübersicht!$J$3:$J$115,MATCH(A10,Gewinnübersicht!$A$3:$A$115,0)),0)</x:f>
      </x:c>
      <x:c r="E10" s="152" t="e">
        <x:f>IFERROR(INDEX(Gewinnübersicht!$B$3:$B$115,MATCH(A10,Gewinnübersicht!$A$3:$A$115,0)),0)</x:f>
      </x:c>
      <x:c r="F10" t="str">
        <x:f t="shared" si="0"/>
        <x:v>00 yy</x:v>
      </x:c>
      <x:c r="G10" s="152">
        <x:f t="shared" si="1"/>
        <x:v>-3000</x:v>
      </x:c>
      <x:c r="H10" s="152">
        <x:f t="shared" si="2"/>
        <x:v>0</x:v>
      </x:c>
      <x:c r="J10" t="str">
        <x:f t="shared" si="3"/>
        <x:v>00 yy</x:v>
      </x:c>
      <x:c r="K10" s="152">
        <x:f t="shared" si="4"/>
        <x:v>-9470.2100000000028</x:v>
      </x:c>
      <x:c r="M10" s="188">
        <x:v>2034</x:v>
      </x:c>
    </x:row>
    <x:row r="11">
      <x:c r="A11" s="193">
        <x:f t="shared" si="5"/>
        <x:v>46296</x:v>
      </x:c>
      <x:c r="B11" s="152" t="e">
        <x:f>IFERROR(INDEX(Liquiditätsplan!$M$2:$M$115,MATCH(A11,Liquiditätsplan!$A$2:$A$115,0)),0)</x:f>
      </x:c>
      <x:c r="C11" s="152" t="e">
        <x:f>IFERROR(INDEX(Liquiditätsplan!$K$2:$K$115,MATCH(A11,Liquiditätsplan!$A$2:$A$115,0)),0)</x:f>
      </x:c>
      <x:c r="D11" s="152" t="e">
        <x:f>IFERROR(INDEX(Gewinnübersicht!$J$3:$J$115,MATCH(A11,Gewinnübersicht!$A$3:$A$115,0)),0)</x:f>
      </x:c>
      <x:c r="E11" s="152" t="e">
        <x:f>IFERROR(INDEX(Gewinnübersicht!$B$3:$B$115,MATCH(A11,Gewinnübersicht!$A$3:$A$115,0)),0)</x:f>
      </x:c>
      <x:c r="F11" t="str">
        <x:f t="shared" si="0"/>
        <x:v>00 yy</x:v>
      </x:c>
      <x:c r="G11" s="152">
        <x:f t="shared" si="1"/>
        <x:v>-3000</x:v>
      </x:c>
      <x:c r="H11" s="152">
        <x:f t="shared" si="2"/>
        <x:v>0</x:v>
      </x:c>
      <x:c r="J11" t="str">
        <x:f t="shared" si="3"/>
        <x:v>00 yy</x:v>
      </x:c>
      <x:c r="K11" s="152">
        <x:f t="shared" si="4"/>
        <x:v>-8758.6100000000024</x:v>
      </x:c>
      <x:c r="M11" s="188"/>
    </x:row>
    <x:row r="12">
      <x:c r="A12" s="193">
        <x:f t="shared" si="5"/>
        <x:v>46327</x:v>
      </x:c>
      <x:c r="B12" s="152" t="e">
        <x:f>IFERROR(INDEX(Liquiditätsplan!$M$2:$M$115,MATCH(A12,Liquiditätsplan!$A$2:$A$115,0)),0)</x:f>
      </x:c>
      <x:c r="C12" s="152" t="e">
        <x:f>IFERROR(INDEX(Liquiditätsplan!$K$2:$K$115,MATCH(A12,Liquiditätsplan!$A$2:$A$115,0)),0)</x:f>
      </x:c>
      <x:c r="D12" s="152" t="e">
        <x:f>IFERROR(INDEX(Gewinnübersicht!$J$3:$J$115,MATCH(A12,Gewinnübersicht!$A$3:$A$115,0)),0)</x:f>
      </x:c>
      <x:c r="E12" s="152" t="e">
        <x:f>IFERROR(INDEX(Gewinnübersicht!$B$3:$B$115,MATCH(A12,Gewinnübersicht!$A$3:$A$115,0)),0)</x:f>
      </x:c>
      <x:c r="F12" t="str">
        <x:f t="shared" si="0"/>
        <x:v>00 yy</x:v>
      </x:c>
      <x:c r="G12" s="152">
        <x:f t="shared" si="1"/>
        <x:v>-3000</x:v>
      </x:c>
      <x:c r="H12" s="152">
        <x:f t="shared" si="2"/>
        <x:v>0</x:v>
      </x:c>
      <x:c r="J12" t="str">
        <x:f t="shared" si="3"/>
        <x:v>00 yy</x:v>
      </x:c>
      <x:c r="K12" s="152">
        <x:f t="shared" si="4"/>
        <x:v>-14598.610000000002</x:v>
      </x:c>
    </x:row>
    <x:row r="13">
      <x:c r="A13" s="193">
        <x:f t="shared" si="5"/>
        <x:v>46357</x:v>
      </x:c>
      <x:c r="B13" s="152" t="e">
        <x:f>IFERROR(INDEX(Liquiditätsplan!$M$2:$M$115,MATCH(A13,Liquiditätsplan!$A$2:$A$115,0)),0)</x:f>
      </x:c>
      <x:c r="C13" s="152" t="e">
        <x:f>IFERROR(INDEX(Liquiditätsplan!$K$2:$K$115,MATCH(A13,Liquiditätsplan!$A$2:$A$115,0)),0)</x:f>
      </x:c>
      <x:c r="D13" s="152" t="e">
        <x:f>IFERROR(INDEX(Gewinnübersicht!$J$3:$J$115,MATCH(A13,Gewinnübersicht!$A$3:$A$115,0)),0)</x:f>
      </x:c>
      <x:c r="E13" s="152" t="e">
        <x:f>IFERROR(INDEX(Gewinnübersicht!$B$3:$B$115,MATCH(A13,Gewinnübersicht!$A$3:$A$115,0)),0)</x:f>
      </x:c>
      <x:c r="F13" t="str">
        <x:f t="shared" si="0"/>
        <x:v>00 yy</x:v>
      </x:c>
      <x:c r="G13" s="152">
        <x:f t="shared" si="1"/>
        <x:v>-3000</x:v>
      </x:c>
      <x:c r="H13" s="152">
        <x:f t="shared" si="2"/>
        <x:v>0</x:v>
      </x:c>
      <x:c r="J13" t="str">
        <x:f t="shared" si="3"/>
        <x:v>00 yy</x:v>
      </x:c>
      <x:c r="K13" s="152">
        <x:f t="shared" si="4"/>
        <x:v>-25734.61</x:v>
      </x:c>
    </x:row>
    <x:row r="14">
      <x:c r="A14" s="193">
        <x:f t="shared" si="5"/>
        <x:v>46388</x:v>
      </x:c>
      <x:c r="B14" s="152" t="e">
        <x:f>IFERROR(INDEX(Liquiditätsplan!$M$2:$M$115,MATCH(A14,Liquiditätsplan!$A$2:$A$115,0)),0)</x:f>
      </x:c>
      <x:c r="C14" s="152" t="e">
        <x:f>IFERROR(INDEX(Liquiditätsplan!$K$2:$K$115,MATCH(A14,Liquiditätsplan!$A$2:$A$115,0)),0)</x:f>
      </x:c>
      <x:c r="D14" s="152" t="e">
        <x:f>IFERROR(INDEX(Gewinnübersicht!$J$3:$J$115,MATCH(A14,Gewinnübersicht!$A$3:$A$115,0)),0)</x:f>
      </x:c>
      <x:c r="E14" s="152" t="e">
        <x:f>IFERROR(INDEX(Gewinnübersicht!$B$3:$B$115,MATCH(A14,Gewinnübersicht!$A$3:$A$115,0)),0)</x:f>
      </x:c>
      <x:c r="F14" t="str">
        <x:f t="shared" si="0"/>
        <x:v>00 yy</x:v>
      </x:c>
      <x:c r="G14" s="152">
        <x:f t="shared" si="1"/>
        <x:v>-3000</x:v>
      </x:c>
      <x:c r="H14" s="152">
        <x:f t="shared" si="2"/>
        <x:v>0</x:v>
      </x:c>
      <x:c r="J14" t="str">
        <x:f t="shared" si="3"/>
        <x:v>00 yy</x:v>
      </x:c>
      <x:c r="K14" s="152">
        <x:f t="shared" si="4"/>
        <x:v>-31272.61</x:v>
      </x:c>
    </x:row>
    <x:row r="15">
      <x:c r="A15" s="193">
        <x:f t="shared" si="5"/>
        <x:v>46419</x:v>
      </x:c>
      <x:c r="B15" s="152" t="e">
        <x:f>IFERROR(INDEX(Liquiditätsplan!$M$2:$M$115,MATCH(A15,Liquiditätsplan!$A$2:$A$115,0)),0)</x:f>
      </x:c>
      <x:c r="C15" s="152" t="e">
        <x:f>IFERROR(INDEX(Liquiditätsplan!$K$2:$K$115,MATCH(A15,Liquiditätsplan!$A$2:$A$115,0)),0)</x:f>
      </x:c>
      <x:c r="D15" s="152" t="e">
        <x:f>IFERROR(INDEX(Gewinnübersicht!$J$3:$J$115,MATCH(A15,Gewinnübersicht!$A$3:$A$115,0)),0)</x:f>
      </x:c>
      <x:c r="E15" s="152" t="e">
        <x:f>IFERROR(INDEX(Gewinnübersicht!$B$3:$B$115,MATCH(A15,Gewinnübersicht!$A$3:$A$115,0)),0)</x:f>
      </x:c>
      <x:c r="F15" t="str">
        <x:f t="shared" si="0"/>
        <x:v>00 yy</x:v>
      </x:c>
      <x:c r="G15" s="152">
        <x:f t="shared" si="1"/>
        <x:v>-3000</x:v>
      </x:c>
      <x:c r="H15" s="152">
        <x:f t="shared" si="2"/>
        <x:v>0</x:v>
      </x:c>
      <x:c r="J15" t="str">
        <x:f t="shared" si="3"/>
        <x:v>00 yy</x:v>
      </x:c>
      <x:c r="K15" s="152">
        <x:f t="shared" si="4"/>
        <x:v>-34752.61</x:v>
      </x:c>
    </x:row>
    <x:row r="16">
      <x:c r="A16" s="193">
        <x:f t="shared" si="5"/>
        <x:v>46447</x:v>
      </x:c>
      <x:c r="B16" s="152" t="e">
        <x:f>IFERROR(INDEX(Liquiditätsplan!$M$2:$M$115,MATCH(A16,Liquiditätsplan!$A$2:$A$115,0)),0)</x:f>
      </x:c>
      <x:c r="C16" s="152" t="e">
        <x:f>IFERROR(INDEX(Liquiditätsplan!$K$2:$K$115,MATCH(A16,Liquiditätsplan!$A$2:$A$115,0)),0)</x:f>
      </x:c>
      <x:c r="D16" s="152" t="e">
        <x:f>IFERROR(INDEX(Gewinnübersicht!$J$3:$J$115,MATCH(A16,Gewinnübersicht!$A$3:$A$115,0)),0)</x:f>
      </x:c>
      <x:c r="E16" s="152" t="e">
        <x:f>IFERROR(INDEX(Gewinnübersicht!$B$3:$B$115,MATCH(A16,Gewinnübersicht!$A$3:$A$115,0)),0)</x:f>
      </x:c>
      <x:c r="F16" t="str">
        <x:f t="shared" si="0"/>
        <x:v>00 yy</x:v>
      </x:c>
      <x:c r="G16" s="152">
        <x:f t="shared" si="1"/>
        <x:v>-3000</x:v>
      </x:c>
      <x:c r="H16" s="152">
        <x:f t="shared" si="2"/>
        <x:v>0</x:v>
      </x:c>
      <x:c r="J16" t="str">
        <x:f t="shared" si="3"/>
        <x:v>00 yy</x:v>
      </x:c>
      <x:c r="K16" s="152">
        <x:f t="shared" si="4"/>
        <x:v>-41097.61</x:v>
      </x:c>
    </x:row>
    <x:row r="17">
      <x:c r="A17" s="193">
        <x:f t="shared" si="5"/>
        <x:v>46478</x:v>
      </x:c>
      <x:c r="B17" s="152" t="e">
        <x:f>IFERROR(INDEX(Liquiditätsplan!$M$2:$M$115,MATCH(A17,Liquiditätsplan!$A$2:$A$115,0)),0)</x:f>
      </x:c>
      <x:c r="C17" s="152" t="e">
        <x:f>IFERROR(INDEX(Liquiditätsplan!$K$2:$K$115,MATCH(A17,Liquiditätsplan!$A$2:$A$115,0)),0)</x:f>
      </x:c>
      <x:c r="D17" s="152" t="e">
        <x:f>IFERROR(INDEX(Gewinnübersicht!$J$3:$J$115,MATCH(A17,Gewinnübersicht!$A$3:$A$115,0)),0)</x:f>
      </x:c>
      <x:c r="E17" s="152" t="e">
        <x:f>IFERROR(INDEX(Gewinnübersicht!$B$3:$B$115,MATCH(A17,Gewinnübersicht!$A$3:$A$115,0)),0)</x:f>
      </x:c>
      <x:c r="F17" t="str">
        <x:f t="shared" si="0"/>
        <x:v>00 yy</x:v>
      </x:c>
      <x:c r="G17" s="152">
        <x:f t="shared" si="1"/>
        <x:v>-3000</x:v>
      </x:c>
      <x:c r="H17" s="152">
        <x:f t="shared" si="2"/>
        <x:v>0</x:v>
      </x:c>
      <x:c r="J17" t="str">
        <x:f t="shared" si="3"/>
        <x:v>00 yy</x:v>
      </x:c>
      <x:c r="K17" s="152">
        <x:f t="shared" si="4"/>
        <x:v>-44577.61</x:v>
      </x:c>
    </x:row>
    <x:row r="18">
      <x:c r="A18" s="193">
        <x:f t="shared" si="5"/>
        <x:v>46508</x:v>
      </x:c>
      <x:c r="B18" s="152" t="e">
        <x:f>IFERROR(INDEX(Liquiditätsplan!$M$2:$M$115,MATCH(A18,Liquiditätsplan!$A$2:$A$115,0)),0)</x:f>
      </x:c>
      <x:c r="C18" s="152" t="e">
        <x:f>IFERROR(INDEX(Liquiditätsplan!$K$2:$K$115,MATCH(A18,Liquiditätsplan!$A$2:$A$115,0)),0)</x:f>
      </x:c>
      <x:c r="D18" s="152" t="e">
        <x:f>IFERROR(INDEX(Gewinnübersicht!$J$3:$J$115,MATCH(A18,Gewinnübersicht!$A$3:$A$115,0)),0)</x:f>
      </x:c>
      <x:c r="E18" s="152" t="e">
        <x:f>IFERROR(INDEX(Gewinnübersicht!$B$3:$B$115,MATCH(A18,Gewinnübersicht!$A$3:$A$115,0)),0)</x:f>
      </x:c>
      <x:c r="F18" t="str">
        <x:f t="shared" si="0"/>
        <x:v>00 yy</x:v>
      </x:c>
      <x:c r="G18" s="152">
        <x:f t="shared" si="1"/>
        <x:v>-3000</x:v>
      </x:c>
      <x:c r="H18" s="152">
        <x:f t="shared" si="2"/>
        <x:v>0</x:v>
      </x:c>
      <x:c r="J18" t="str">
        <x:f t="shared" si="3"/>
        <x:v>00 yy</x:v>
      </x:c>
      <x:c r="K18" s="152">
        <x:f t="shared" si="4"/>
        <x:v>-48057.61</x:v>
      </x:c>
    </x:row>
    <x:row r="19">
      <x:c r="A19" s="193">
        <x:f t="shared" si="5"/>
        <x:v>46539</x:v>
      </x:c>
      <x:c r="B19" s="152" t="e">
        <x:f>IFERROR(INDEX(Liquiditätsplan!$M$2:$M$115,MATCH(A19,Liquiditätsplan!$A$2:$A$115,0)),0)</x:f>
      </x:c>
      <x:c r="C19" s="152" t="e">
        <x:f>IFERROR(INDEX(Liquiditätsplan!$K$2:$K$115,MATCH(A19,Liquiditätsplan!$A$2:$A$115,0)),0)</x:f>
      </x:c>
      <x:c r="D19" s="152" t="e">
        <x:f>IFERROR(INDEX(Gewinnübersicht!$J$3:$J$115,MATCH(A19,Gewinnübersicht!$A$3:$A$115,0)),0)</x:f>
      </x:c>
      <x:c r="E19" s="152" t="e">
        <x:f>IFERROR(INDEX(Gewinnübersicht!$B$3:$B$115,MATCH(A19,Gewinnübersicht!$A$3:$A$115,0)),0)</x:f>
      </x:c>
      <x:c r="F19" t="str">
        <x:f t="shared" si="0"/>
        <x:v>00 yy</x:v>
      </x:c>
      <x:c r="G19" s="152">
        <x:f t="shared" si="1"/>
        <x:v>-3000</x:v>
      </x:c>
      <x:c r="H19" s="152">
        <x:f t="shared" si="2"/>
        <x:v>0</x:v>
      </x:c>
      <x:c r="J19" t="str">
        <x:f t="shared" si="3"/>
        <x:v>00 yy</x:v>
      </x:c>
      <x:c r="K19" s="152">
        <x:f t="shared" si="4"/>
        <x:v>-54402.61</x:v>
      </x:c>
    </x:row>
    <x:row r="20">
      <x:c r="A20" s="193">
        <x:f t="shared" si="5"/>
        <x:v>46569</x:v>
      </x:c>
      <x:c r="B20" s="152" t="e">
        <x:f>IFERROR(INDEX(Liquiditätsplan!$M$2:$M$115,MATCH(A20,Liquiditätsplan!$A$2:$A$115,0)),0)</x:f>
      </x:c>
      <x:c r="C20" s="152" t="e">
        <x:f>IFERROR(INDEX(Liquiditätsplan!$K$2:$K$115,MATCH(A20,Liquiditätsplan!$A$2:$A$115,0)),0)</x:f>
      </x:c>
      <x:c r="D20" s="152" t="e">
        <x:f>IFERROR(INDEX(Gewinnübersicht!$J$3:$J$115,MATCH(A20,Gewinnübersicht!$A$3:$A$115,0)),0)</x:f>
      </x:c>
      <x:c r="E20" s="152" t="e">
        <x:f>IFERROR(INDEX(Gewinnübersicht!$B$3:$B$115,MATCH(A20,Gewinnübersicht!$A$3:$A$115,0)),0)</x:f>
      </x:c>
      <x:c r="F20" t="str">
        <x:f t="shared" si="0"/>
        <x:v>00 yy</x:v>
      </x:c>
      <x:c r="G20" s="152">
        <x:f t="shared" si="1"/>
        <x:v>-3000</x:v>
      </x:c>
      <x:c r="H20" s="152">
        <x:f t="shared" si="2"/>
        <x:v>0</x:v>
      </x:c>
      <x:c r="J20" t="str">
        <x:f t="shared" si="3"/>
        <x:v>00 yy</x:v>
      </x:c>
      <x:c r="K20" s="152">
        <x:f t="shared" si="4"/>
        <x:v>-57882.61</x:v>
      </x:c>
    </x:row>
    <x:row r="21">
      <x:c r="A21" s="193">
        <x:f t="shared" si="5"/>
        <x:v>46600</x:v>
      </x:c>
      <x:c r="B21" s="152" t="e">
        <x:f>IFERROR(INDEX(Liquiditätsplan!$M$2:$M$115,MATCH(A21,Liquiditätsplan!$A$2:$A$115,0)),0)</x:f>
      </x:c>
      <x:c r="C21" s="152" t="e">
        <x:f>IFERROR(INDEX(Liquiditätsplan!$K$2:$K$115,MATCH(A21,Liquiditätsplan!$A$2:$A$115,0)),0)</x:f>
      </x:c>
      <x:c r="D21" s="152" t="e">
        <x:f>IFERROR(INDEX(Gewinnübersicht!$J$3:$J$115,MATCH(A21,Gewinnübersicht!$A$3:$A$115,0)),0)</x:f>
      </x:c>
      <x:c r="E21" s="152" t="e">
        <x:f>IFERROR(INDEX(Gewinnübersicht!$B$3:$B$115,MATCH(A21,Gewinnübersicht!$A$3:$A$115,0)),0)</x:f>
      </x:c>
      <x:c r="F21" t="str">
        <x:f t="shared" si="0"/>
        <x:v>00 yy</x:v>
      </x:c>
      <x:c r="G21" s="152">
        <x:f t="shared" si="1"/>
        <x:v>-3000</x:v>
      </x:c>
      <x:c r="H21" s="152">
        <x:f t="shared" si="2"/>
        <x:v>0</x:v>
      </x:c>
      <x:c r="J21" t="str">
        <x:f t="shared" si="3"/>
        <x:v>00 yy</x:v>
      </x:c>
      <x:c r="K21" s="152">
        <x:f t="shared" si="4"/>
        <x:v>-61362.61</x:v>
      </x:c>
    </x:row>
    <x:row r="22">
      <x:c r="A22" s="193">
        <x:f t="shared" si="5"/>
        <x:v>46631</x:v>
      </x:c>
      <x:c r="B22" s="152" t="e">
        <x:f>IFERROR(INDEX(Liquiditätsplan!$M$2:$M$115,MATCH(A22,Liquiditätsplan!$A$2:$A$115,0)),0)</x:f>
      </x:c>
      <x:c r="C22" s="152" t="e">
        <x:f>IFERROR(INDEX(Liquiditätsplan!$K$2:$K$115,MATCH(A22,Liquiditätsplan!$A$2:$A$115,0)),0)</x:f>
      </x:c>
      <x:c r="D22" s="152" t="e">
        <x:f>IFERROR(INDEX(Gewinnübersicht!$J$3:$J$115,MATCH(A22,Gewinnübersicht!$A$3:$A$115,0)),0)</x:f>
      </x:c>
      <x:c r="E22" s="152" t="e">
        <x:f>IFERROR(INDEX(Gewinnübersicht!$B$3:$B$115,MATCH(A22,Gewinnübersicht!$A$3:$A$115,0)),0)</x:f>
      </x:c>
      <x:c r="F22" t="str">
        <x:f t="shared" si="0"/>
        <x:v>00 yy</x:v>
      </x:c>
      <x:c r="G22" s="152">
        <x:f t="shared" si="1"/>
        <x:v>-3000</x:v>
      </x:c>
      <x:c r="H22" s="152">
        <x:f t="shared" si="2"/>
        <x:v>0</x:v>
      </x:c>
      <x:c r="J22" t="str">
        <x:f t="shared" si="3"/>
        <x:v>00 yy</x:v>
      </x:c>
      <x:c r="K22" s="152">
        <x:f t="shared" si="4"/>
        <x:v>-67707.61</x:v>
      </x:c>
    </x:row>
    <x:row r="23">
      <x:c r="A23" s="193">
        <x:f t="shared" si="5"/>
        <x:v>46661</x:v>
      </x:c>
      <x:c r="B23" s="152" t="e">
        <x:f>IFERROR(INDEX(Liquiditätsplan!$M$2:$M$115,MATCH(A23,Liquiditätsplan!$A$2:$A$115,0)),0)</x:f>
      </x:c>
      <x:c r="C23" s="152" t="e">
        <x:f>IFERROR(INDEX(Liquiditätsplan!$K$2:$K$115,MATCH(A23,Liquiditätsplan!$A$2:$A$115,0)),0)</x:f>
      </x:c>
      <x:c r="D23" s="152" t="e">
        <x:f>IFERROR(INDEX(Gewinnübersicht!$J$3:$J$115,MATCH(A23,Gewinnübersicht!$A$3:$A$115,0)),0)</x:f>
      </x:c>
      <x:c r="E23" s="152" t="e">
        <x:f>IFERROR(INDEX(Gewinnübersicht!$B$3:$B$115,MATCH(A23,Gewinnübersicht!$A$3:$A$115,0)),0)</x:f>
      </x:c>
      <x:c r="F23" t="str">
        <x:f t="shared" si="0"/>
        <x:v>00 yy</x:v>
      </x:c>
      <x:c r="G23" s="152">
        <x:f t="shared" si="1"/>
        <x:v>-3000</x:v>
      </x:c>
      <x:c r="H23" s="152">
        <x:f t="shared" si="2"/>
        <x:v>0</x:v>
      </x:c>
      <x:c r="J23" t="str">
        <x:f t="shared" si="3"/>
        <x:v>00 yy</x:v>
      </x:c>
      <x:c r="K23" s="152">
        <x:f t="shared" si="4"/>
        <x:v>-71187.61</x:v>
      </x:c>
    </x:row>
    <x:row r="24">
      <x:c r="A24" s="193">
        <x:f t="shared" si="5"/>
        <x:v>46692</x:v>
      </x:c>
      <x:c r="B24" s="152" t="e">
        <x:f>IFERROR(INDEX(Liquiditätsplan!$M$2:$M$115,MATCH(A24,Liquiditätsplan!$A$2:$A$115,0)),0)</x:f>
      </x:c>
      <x:c r="C24" s="152" t="e">
        <x:f>IFERROR(INDEX(Liquiditätsplan!$K$2:$K$115,MATCH(A24,Liquiditätsplan!$A$2:$A$115,0)),0)</x:f>
      </x:c>
      <x:c r="D24" s="152" t="e">
        <x:f>IFERROR(INDEX(Gewinnübersicht!$J$3:$J$115,MATCH(A24,Gewinnübersicht!$A$3:$A$115,0)),0)</x:f>
      </x:c>
      <x:c r="E24" s="152" t="e">
        <x:f>IFERROR(INDEX(Gewinnübersicht!$B$3:$B$115,MATCH(A24,Gewinnübersicht!$A$3:$A$115,0)),0)</x:f>
      </x:c>
      <x:c r="F24" t="str">
        <x:f t="shared" si="0"/>
        <x:v>00 yy</x:v>
      </x:c>
      <x:c r="G24" s="152">
        <x:f t="shared" si="1"/>
        <x:v>-3000</x:v>
      </x:c>
      <x:c r="H24" s="152">
        <x:f t="shared" si="2"/>
        <x:v>0</x:v>
      </x:c>
      <x:c r="J24" t="str">
        <x:f t="shared" si="3"/>
        <x:v>00 yy</x:v>
      </x:c>
      <x:c r="K24" s="152">
        <x:f t="shared" si="4"/>
        <x:v>-74667.61</x:v>
      </x:c>
    </x:row>
    <x:row r="25">
      <x:c r="A25" s="193">
        <x:f t="shared" si="5"/>
        <x:v>46722</x:v>
      </x:c>
      <x:c r="B25" s="152" t="e">
        <x:f>IFERROR(INDEX(Liquiditätsplan!$M$2:$M$115,MATCH(A25,Liquiditätsplan!$A$2:$A$115,0)),0)</x:f>
      </x:c>
      <x:c r="C25" s="152" t="e">
        <x:f>IFERROR(INDEX(Liquiditätsplan!$K$2:$K$115,MATCH(A25,Liquiditätsplan!$A$2:$A$115,0)),0)</x:f>
      </x:c>
      <x:c r="D25" s="152" t="e">
        <x:f>IFERROR(INDEX(Gewinnübersicht!$J$3:$J$115,MATCH(A25,Gewinnübersicht!$A$3:$A$115,0)),0)</x:f>
      </x:c>
      <x:c r="E25" s="152" t="e">
        <x:f>IFERROR(INDEX(Gewinnübersicht!$B$3:$B$115,MATCH(A25,Gewinnübersicht!$A$3:$A$115,0)),0)</x:f>
      </x:c>
      <x:c r="F25" t="str">
        <x:f t="shared" si="0"/>
        <x:v>00 yy</x:v>
      </x:c>
      <x:c r="G25" s="152">
        <x:f t="shared" si="1"/>
        <x:v>-3000</x:v>
      </x:c>
      <x:c r="H25" s="152">
        <x:f t="shared" si="2"/>
        <x:v>0</x:v>
      </x:c>
      <x:c r="J25" t="str">
        <x:f t="shared" si="3"/>
        <x:v>00 yy</x:v>
      </x:c>
      <x:c r="K25" s="152">
        <x:f t="shared" si="4"/>
        <x:v>-81012.61</x:v>
      </x:c>
    </x:row>
    <x:row r="26">
      <x:c r="A26" s="193"/>
      <x:c r="B26" s="152"/>
      <x:c r="C26" s="152"/>
      <x:c r="D26" s="152"/>
      <x:c r="E26" s="152"/>
    </x:row>
    <x:row r="27">
      <x:c r="A27" s="193"/>
      <x:c r="B27" s="152"/>
      <x:c r="C27" s="152"/>
      <x:c r="D27" s="152"/>
      <x:c r="E27" s="152"/>
    </x:row>
    <x:row r="28">
      <x:c r="A28" s="193"/>
      <x:c r="B28" s="152"/>
      <x:c r="C28" s="152"/>
      <x:c r="D28" s="152"/>
      <x:c r="E28" s="152"/>
    </x:row>
    <x:row r="29">
      <x:c r="A29" s="193"/>
      <x:c r="B29" s="152"/>
      <x:c r="C29" s="152"/>
      <x:c r="D29" s="152"/>
      <x:c r="E29" s="152"/>
    </x:row>
    <x:row r="30">
      <x:c r="A30" s="193"/>
      <x:c r="B30" s="152"/>
      <x:c r="C30" s="152"/>
      <x:c r="D30" s="152"/>
      <x:c r="E30" s="152"/>
    </x:row>
    <x:row r="31">
      <x:c r="A31" s="193"/>
      <x:c r="B31" s="152"/>
      <x:c r="C31" s="152"/>
      <x:c r="D31" s="152"/>
      <x:c r="E31" s="152"/>
    </x:row>
    <x:row r="32">
      <x:c r="A32" s="193"/>
      <x:c r="B32" s="152"/>
      <x:c r="C32" s="152"/>
      <x:c r="D32" s="152"/>
      <x:c r="E32" s="152"/>
    </x:row>
    <x:row r="33">
      <x:c r="A33" s="193"/>
      <x:c r="B33" s="152"/>
      <x:c r="C33" s="152"/>
      <x:c r="D33" s="152"/>
      <x:c r="E33" s="152"/>
    </x:row>
    <x:row r="34">
      <x:c r="A34" s="193"/>
      <x:c r="B34" s="152"/>
      <x:c r="C34" s="152"/>
      <x:c r="D34" s="152"/>
      <x:c r="E34" s="152"/>
    </x:row>
    <x:row r="35">
      <x:c r="A35" s="193"/>
      <x:c r="B35" s="152"/>
      <x:c r="C35" s="152"/>
      <x:c r="D35" s="152"/>
      <x:c r="E35" s="152"/>
    </x:row>
    <x:row r="36">
      <x:c r="A36" s="193"/>
      <x:c r="B36" s="152"/>
      <x:c r="C36" s="152"/>
      <x:c r="D36" s="152"/>
      <x:c r="E36" s="152"/>
    </x:row>
    <x:row r="37">
      <x:c r="A37" s="193"/>
      <x:c r="B37" s="152"/>
      <x:c r="C37" s="152"/>
      <x:c r="D37" s="152"/>
      <x:c r="E37" s="152"/>
    </x:row>
    <x:row r="38">
      <x:c r="A38" s="193"/>
      <x:c r="B38" s="152"/>
      <x:c r="C38" s="152"/>
      <x:c r="D38" s="152"/>
      <x:c r="E38" s="152"/>
    </x:row>
    <x:row r="39">
      <x:c r="A39" s="193"/>
      <x:c r="B39" s="152"/>
      <x:c r="C39" s="152"/>
      <x:c r="D39" s="152"/>
      <x:c r="E39" s="152"/>
    </x:row>
    <x:row r="40">
      <x:c r="A40" s="193"/>
      <x:c r="B40" s="152"/>
      <x:c r="C40" s="152"/>
      <x:c r="D40" s="152"/>
      <x:c r="E40" s="152"/>
    </x:row>
    <x:row r="41">
      <x:c r="A41" s="193"/>
      <x:c r="B41" s="152"/>
      <x:c r="C41" s="152"/>
      <x:c r="D41" s="152"/>
      <x:c r="E41" s="152"/>
    </x:row>
    <x:row r="42">
      <x:c r="A42" s="193"/>
      <x:c r="B42" s="152"/>
      <x:c r="C42" s="152"/>
      <x:c r="D42" s="152"/>
      <x:c r="E42" s="152"/>
    </x:row>
    <x:row r="43">
      <x:c r="A43" s="193"/>
      <x:c r="B43" s="152"/>
      <x:c r="C43" s="152"/>
      <x:c r="D43" s="152"/>
      <x:c r="E43" s="152"/>
    </x:row>
    <x:row r="44">
      <x:c r="A44" s="193"/>
      <x:c r="B44" s="152"/>
      <x:c r="C44" s="152"/>
      <x:c r="D44" s="152"/>
      <x:c r="E44" s="152"/>
    </x:row>
    <x:row r="45">
      <x:c r="A45" s="193"/>
      <x:c r="B45" s="152"/>
      <x:c r="C45" s="152"/>
      <x:c r="D45" s="152"/>
      <x:c r="E45" s="152"/>
    </x:row>
    <x:row r="46">
      <x:c r="A46" s="193"/>
      <x:c r="B46" s="152"/>
      <x:c r="C46" s="152"/>
      <x:c r="D46" s="152"/>
      <x:c r="E46" s="152"/>
    </x:row>
    <x:row r="47">
      <x:c r="A47" s="193"/>
      <x:c r="B47" s="152"/>
      <x:c r="C47" s="152"/>
      <x:c r="D47" s="152"/>
      <x:c r="E47" s="152"/>
    </x:row>
    <x:row r="48">
      <x:c r="A48" s="193"/>
      <x:c r="B48" s="152"/>
      <x:c r="C48" s="152"/>
      <x:c r="D48" s="152"/>
      <x:c r="E48" s="152"/>
    </x:row>
    <x:row r="49">
      <x:c r="A49" s="193"/>
      <x:c r="B49" s="152"/>
      <x:c r="C49" s="152"/>
      <x:c r="D49" s="152"/>
      <x:c r="E49" s="152"/>
    </x:row>
    <x:row r="50">
      <x:c r="A50" s="193"/>
      <x:c r="B50" s="152"/>
      <x:c r="C50" s="152"/>
      <x:c r="D50" s="152"/>
      <x:c r="E50" s="152"/>
    </x:row>
    <x:row r="51">
      <x:c r="A51" s="193"/>
      <x:c r="B51" s="152"/>
      <x:c r="C51" s="152"/>
      <x:c r="D51" s="152"/>
      <x:c r="E51" s="152"/>
    </x:row>
    <x:row r="52">
      <x:c r="A52" s="193"/>
      <x:c r="B52" s="152"/>
      <x:c r="C52" s="152"/>
      <x:c r="D52" s="152"/>
      <x:c r="E52" s="152"/>
    </x:row>
    <x:row r="53">
      <x:c r="A53" s="193"/>
      <x:c r="B53" s="152"/>
      <x:c r="C53" s="152"/>
      <x:c r="D53" s="152"/>
      <x:c r="E53" s="152"/>
    </x:row>
    <x:row r="54">
      <x:c r="A54" s="193"/>
      <x:c r="B54" s="152"/>
      <x:c r="C54" s="152"/>
      <x:c r="D54" s="152"/>
      <x:c r="E54" s="152"/>
    </x:row>
    <x:row r="55">
      <x:c r="A55" s="193"/>
      <x:c r="B55" s="152"/>
      <x:c r="C55" s="152"/>
      <x:c r="D55" s="152"/>
      <x:c r="E55" s="152"/>
    </x:row>
    <x:row r="56">
      <x:c r="A56" s="193"/>
      <x:c r="B56" s="152"/>
      <x:c r="C56" s="152"/>
      <x:c r="D56" s="152"/>
      <x:c r="E56" s="152"/>
    </x:row>
    <x:row r="57">
      <x:c r="A57" s="193"/>
      <x:c r="B57" s="152"/>
      <x:c r="C57" s="152"/>
      <x:c r="D57" s="152"/>
      <x:c r="E57" s="152"/>
    </x:row>
    <x:row r="58">
      <x:c r="A58" s="193"/>
      <x:c r="B58" s="152"/>
      <x:c r="C58" s="152"/>
      <x:c r="D58" s="152"/>
      <x:c r="E58" s="152"/>
    </x:row>
    <x:row r="59">
      <x:c r="A59" s="193"/>
      <x:c r="B59" s="152"/>
      <x:c r="C59" s="152"/>
      <x:c r="D59" s="152"/>
      <x:c r="E59" s="152"/>
    </x:row>
    <x:row r="60">
      <x:c r="A60" s="193"/>
      <x:c r="B60" s="152"/>
      <x:c r="C60" s="152"/>
      <x:c r="D60" s="152"/>
      <x:c r="E60" s="152"/>
    </x:row>
    <x:row r="61">
      <x:c r="A61" s="193"/>
      <x:c r="B61" s="152"/>
      <x:c r="C61" s="152"/>
      <x:c r="D61" s="152"/>
      <x:c r="E61" s="152"/>
    </x:row>
    <x:row r="62">
      <x:c r="A62" s="193"/>
      <x:c r="B62" s="152"/>
      <x:c r="C62" s="152"/>
      <x:c r="D62" s="152"/>
      <x:c r="E62" s="152"/>
    </x:row>
    <x:row r="63">
      <x:c r="A63" s="193"/>
      <x:c r="B63" s="152"/>
      <x:c r="C63" s="152"/>
      <x:c r="D63" s="152"/>
      <x:c r="E63" s="152"/>
    </x:row>
    <x:row r="64">
      <x:c r="A64" s="193"/>
      <x:c r="B64" s="152"/>
      <x:c r="C64" s="152"/>
      <x:c r="D64" s="152"/>
      <x:c r="E64" s="152"/>
    </x:row>
    <x:row r="65">
      <x:c r="A65" s="193"/>
      <x:c r="B65" s="152"/>
      <x:c r="C65" s="152"/>
      <x:c r="D65" s="152"/>
      <x:c r="E65" s="152"/>
    </x:row>
    <x:row r="66">
      <x:c r="A66" s="193"/>
      <x:c r="B66" s="152"/>
      <x:c r="C66" s="152"/>
      <x:c r="D66" s="152"/>
      <x:c r="E66" s="152"/>
    </x:row>
    <x:row r="67">
      <x:c r="A67" s="193"/>
      <x:c r="B67" s="152"/>
      <x:c r="C67" s="152"/>
      <x:c r="D67" s="152"/>
      <x:c r="E67" s="152"/>
    </x:row>
    <x:row r="68">
      <x:c r="A68" s="193"/>
      <x:c r="B68" s="152"/>
      <x:c r="C68" s="152"/>
      <x:c r="D68" s="152"/>
      <x:c r="E68" s="152"/>
    </x:row>
    <x:row r="69">
      <x:c r="A69" s="193"/>
      <x:c r="B69" s="152"/>
      <x:c r="C69" s="152"/>
      <x:c r="D69" s="152"/>
      <x:c r="E69" s="152"/>
    </x:row>
    <x:row r="70">
      <x:c r="A70" s="193"/>
      <x:c r="B70" s="152"/>
      <x:c r="C70" s="152"/>
      <x:c r="D70" s="152"/>
      <x:c r="E70" s="152"/>
    </x:row>
    <x:row r="71">
      <x:c r="A71" s="193"/>
      <x:c r="B71" s="152"/>
      <x:c r="C71" s="152"/>
      <x:c r="D71" s="152"/>
      <x:c r="E71" s="152"/>
    </x:row>
    <x:row r="72">
      <x:c r="A72" s="193"/>
      <x:c r="B72" s="152"/>
      <x:c r="C72" s="152"/>
      <x:c r="D72" s="152"/>
      <x:c r="E72" s="152"/>
    </x:row>
    <x:row r="73">
      <x:c r="A73" s="193"/>
      <x:c r="B73" s="152"/>
      <x:c r="C73" s="152"/>
      <x:c r="D73" s="152"/>
      <x:c r="E73" s="152"/>
    </x:row>
    <x:row r="74">
      <x:c r="A74" s="193"/>
      <x:c r="B74" s="152"/>
      <x:c r="C74" s="152"/>
      <x:c r="D74" s="152"/>
      <x:c r="E74" s="152"/>
    </x:row>
    <x:row r="75">
      <x:c r="A75" s="193"/>
      <x:c r="B75" s="152"/>
      <x:c r="C75" s="152"/>
      <x:c r="D75" s="152"/>
      <x:c r="E75" s="152"/>
    </x:row>
    <x:row r="76">
      <x:c r="A76" s="193"/>
      <x:c r="B76" s="152"/>
      <x:c r="C76" s="152"/>
      <x:c r="D76" s="152"/>
      <x:c r="E76" s="152"/>
    </x:row>
    <x:row r="77">
      <x:c r="A77" s="193"/>
      <x:c r="B77" s="152"/>
      <x:c r="C77" s="152"/>
      <x:c r="D77" s="152"/>
      <x:c r="E77" s="152"/>
    </x:row>
    <x:row r="78">
      <x:c r="A78" s="193"/>
      <x:c r="B78" s="152"/>
      <x:c r="C78" s="152"/>
      <x:c r="D78" s="152"/>
      <x:c r="E78" s="152"/>
    </x:row>
    <x:row r="79">
      <x:c r="A79" s="193"/>
      <x:c r="B79" s="152"/>
      <x:c r="C79" s="152"/>
      <x:c r="D79" s="152"/>
      <x:c r="E79" s="152"/>
    </x:row>
    <x:row r="80">
      <x:c r="A80" s="193"/>
      <x:c r="B80" s="152"/>
      <x:c r="C80" s="152"/>
      <x:c r="D80" s="152"/>
      <x:c r="E80" s="152"/>
    </x:row>
    <x:row r="81">
      <x:c r="A81" s="193"/>
      <x:c r="B81" s="152"/>
      <x:c r="C81" s="152"/>
      <x:c r="D81" s="152"/>
      <x:c r="E81" s="152"/>
    </x:row>
    <x:row r="82">
      <x:c r="A82" s="193"/>
      <x:c r="B82" s="152"/>
      <x:c r="C82" s="152"/>
      <x:c r="D82" s="152"/>
      <x:c r="E82" s="152"/>
    </x:row>
    <x:row r="83">
      <x:c r="A83" s="193"/>
      <x:c r="B83" s="152"/>
      <x:c r="C83" s="152"/>
      <x:c r="D83" s="152"/>
      <x:c r="E83" s="152"/>
    </x:row>
    <x:row r="84">
      <x:c r="A84" s="193"/>
      <x:c r="B84" s="152"/>
      <x:c r="C84" s="152"/>
      <x:c r="D84" s="152"/>
      <x:c r="E84" s="152"/>
    </x:row>
    <x:row r="85">
      <x:c r="A85" s="193"/>
      <x:c r="B85" s="152"/>
      <x:c r="C85" s="152"/>
      <x:c r="D85" s="152"/>
      <x:c r="E85" s="152"/>
    </x:row>
    <x:row r="86">
      <x:c r="A86" s="193"/>
      <x:c r="B86" s="152"/>
      <x:c r="C86" s="152"/>
      <x:c r="D86" s="152"/>
      <x:c r="E86" s="152"/>
    </x:row>
    <x:row r="87">
      <x:c r="A87" s="193"/>
      <x:c r="B87" s="152"/>
      <x:c r="C87" s="152"/>
      <x:c r="D87" s="152"/>
      <x:c r="E87" s="152"/>
    </x:row>
    <x:row r="88">
      <x:c r="A88" s="193"/>
      <x:c r="B88" s="152"/>
      <x:c r="C88" s="152"/>
      <x:c r="D88" s="152"/>
      <x:c r="E88" s="152"/>
    </x:row>
    <x:row r="89">
      <x:c r="A89" s="193"/>
      <x:c r="B89" s="152"/>
      <x:c r="C89" s="152"/>
      <x:c r="D89" s="152"/>
      <x:c r="E89" s="152"/>
    </x:row>
    <x:row r="90">
      <x:c r="A90" s="193"/>
      <x:c r="B90" s="152"/>
      <x:c r="C90" s="152"/>
      <x:c r="D90" s="152"/>
      <x:c r="E90" s="152"/>
    </x:row>
    <x:row r="91">
      <x:c r="A91" s="193"/>
      <x:c r="B91" s="152"/>
      <x:c r="C91" s="152"/>
      <x:c r="D91" s="152"/>
      <x:c r="E91" s="152"/>
    </x:row>
    <x:row r="92">
      <x:c r="A92" s="193"/>
      <x:c r="B92" s="152"/>
      <x:c r="C92" s="152"/>
      <x:c r="D92" s="152"/>
      <x:c r="E92" s="152"/>
    </x:row>
    <x:row r="93">
      <x:c r="A93" s="193"/>
      <x:c r="B93" s="152"/>
      <x:c r="C93" s="152"/>
      <x:c r="D93" s="152"/>
      <x:c r="E93" s="152"/>
    </x:row>
    <x:row r="94">
      <x:c r="A94" s="193"/>
      <x:c r="B94" s="152"/>
      <x:c r="C94" s="152"/>
      <x:c r="D94" s="152"/>
      <x:c r="E94" s="152"/>
    </x:row>
    <x:row r="95">
      <x:c r="A95" s="193"/>
      <x:c r="B95" s="152"/>
      <x:c r="C95" s="152"/>
      <x:c r="D95" s="152"/>
      <x:c r="E95" s="152"/>
    </x:row>
    <x:row r="96">
      <x:c r="A96" s="193"/>
      <x:c r="B96" s="152"/>
      <x:c r="C96" s="152"/>
      <x:c r="D96" s="152"/>
      <x:c r="E96" s="152"/>
    </x:row>
    <x:row r="97">
      <x:c r="A97" s="193"/>
      <x:c r="B97" s="152"/>
      <x:c r="C97" s="152"/>
      <x:c r="D97" s="152"/>
      <x:c r="E97" s="152"/>
    </x:row>
    <x:row r="98">
      <x:c r="A98" s="193"/>
      <x:c r="B98" s="152"/>
      <x:c r="C98" s="152"/>
      <x:c r="D98" s="152"/>
      <x:c r="E98" s="152"/>
    </x:row>
    <x:row r="99">
      <x:c r="A99" s="193"/>
      <x:c r="B99" s="152"/>
      <x:c r="C99" s="152"/>
      <x:c r="D99" s="152"/>
      <x:c r="E99" s="152"/>
    </x:row>
    <x:row r="100">
      <x:c r="A100" s="193"/>
      <x:c r="B100" s="152"/>
      <x:c r="C100" s="152"/>
      <x:c r="D100" s="152"/>
      <x:c r="E100" s="152"/>
    </x:row>
    <x:row r="101">
      <x:c r="A101" s="193"/>
      <x:c r="B101" s="152"/>
      <x:c r="C101" s="152"/>
      <x:c r="D101" s="152"/>
      <x:c r="E101" s="152"/>
    </x:row>
    <x:row r="102">
      <x:c r="A102" s="193"/>
      <x:c r="B102" s="152"/>
      <x:c r="C102" s="152"/>
      <x:c r="D102" s="152"/>
      <x:c r="E102" s="152"/>
    </x:row>
    <x:row r="103">
      <x:c r="A103" s="193"/>
      <x:c r="B103" s="152"/>
      <x:c r="C103" s="152"/>
      <x:c r="D103" s="152"/>
      <x:c r="E103" s="152"/>
    </x:row>
    <x:row r="104">
      <x:c r="A104" s="193"/>
      <x:c r="B104" s="152"/>
      <x:c r="C104" s="152"/>
      <x:c r="D104" s="152"/>
      <x:c r="E104" s="152"/>
    </x:row>
    <x:row r="105">
      <x:c r="A105" s="193"/>
      <x:c r="B105" s="152"/>
      <x:c r="C105" s="152"/>
      <x:c r="D105" s="152"/>
      <x:c r="E105" s="152"/>
    </x:row>
    <x:row r="106">
      <x:c r="A106" s="193"/>
      <x:c r="B106" s="152"/>
      <x:c r="C106" s="152"/>
      <x:c r="D106" s="152"/>
      <x:c r="E106" s="152"/>
    </x:row>
    <x:row r="107">
      <x:c r="A107" s="193"/>
      <x:c r="B107" s="152"/>
      <x:c r="C107" s="152"/>
      <x:c r="D107" s="152"/>
      <x:c r="E107" s="152"/>
    </x:row>
    <x:row r="108">
      <x:c r="A108" s="193"/>
      <x:c r="B108" s="152"/>
      <x:c r="C108" s="152"/>
      <x:c r="D108" s="152"/>
      <x:c r="E108" s="152"/>
    </x:row>
    <x:row r="109">
      <x:c r="A109" s="193"/>
      <x:c r="B109" s="152"/>
      <x:c r="C109" s="152"/>
      <x:c r="D109" s="152"/>
      <x:c r="E109" s="152"/>
    </x:row>
    <x:row r="110">
      <x:c r="A110" s="193"/>
      <x:c r="B110" s="152"/>
      <x:c r="C110" s="152"/>
      <x:c r="D110" s="152"/>
      <x:c r="E110" s="152"/>
    </x:row>
    <x:row r="111">
      <x:c r="A111" s="193"/>
      <x:c r="B111" s="152"/>
      <x:c r="C111" s="152"/>
      <x:c r="D111" s="152"/>
      <x:c r="E111" s="152"/>
    </x:row>
    <x:row r="112">
      <x:c r="A112" s="193"/>
      <x:c r="B112" s="152"/>
      <x:c r="C112" s="152"/>
      <x:c r="D112" s="152"/>
      <x:c r="E112" s="152"/>
    </x:row>
    <x:row r="113">
      <x:c r="A113" s="193"/>
      <x:c r="B113" s="152"/>
      <x:c r="C113" s="152"/>
      <x:c r="D113" s="152"/>
      <x:c r="E113" s="152"/>
    </x:row>
    <x:row r="114">
      <x:c r="A114" s="193"/>
      <x:c r="B114" s="152"/>
      <x:c r="C114" s="152"/>
      <x:c r="D114" s="152"/>
      <x:c r="E114" s="152"/>
    </x:row>
    <x:row r="115">
      <x:c r="A115" s="193"/>
      <x:c r="B115" s="152"/>
      <x:c r="C115" s="152"/>
      <x:c r="D115" s="152"/>
      <x:c r="E115" s="152"/>
    </x:row>
    <x:row r="116">
      <x:c r="A116" s="193"/>
      <x:c r="B116" s="152"/>
      <x:c r="C116" s="152"/>
      <x:c r="D116" s="152"/>
      <x:c r="E116" s="152"/>
    </x:row>
    <x:row r="117">
      <x:c r="A117" s="193"/>
      <x:c r="B117" s="152"/>
      <x:c r="C117" s="152"/>
      <x:c r="D117" s="152"/>
      <x:c r="E117" s="152"/>
    </x:row>
    <x:row r="118">
      <x:c r="A118" s="193"/>
      <x:c r="B118" s="152"/>
      <x:c r="C118" s="152"/>
      <x:c r="D118" s="152"/>
      <x:c r="E118" s="152"/>
    </x:row>
    <x:row r="119">
      <x:c r="A119" s="193"/>
      <x:c r="B119" s="152"/>
      <x:c r="C119" s="152"/>
      <x:c r="D119" s="152"/>
      <x:c r="E119" s="152"/>
    </x:row>
    <x:row r="120">
      <x:c r="A120" s="193"/>
      <x:c r="B120" s="152"/>
      <x:c r="C120" s="152"/>
      <x:c r="D120" s="152"/>
      <x:c r="E120" s="152"/>
    </x:row>
    <x:row r="121">
      <x:c r="A121" s="193"/>
      <x:c r="B121" s="152"/>
      <x:c r="C121" s="152"/>
      <x:c r="D121" s="152"/>
      <x:c r="E121" s="15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796875" defaultRowHeight="13.800000190734863"/>
  <x:cols>
    <x:col min="1" max="1" width="28" customWidth="1"/>
    <x:col min="2" max="3" width="18" customWidth="1"/>
    <x:col min="4" max="4" width="32" customWidth="1"/>
  </x:cols>
  <x:sheetData>
    <x:row r="1">
      <x:c r="A1" s="289" t="s">
        <x:v>233</x:v>
      </x:c>
      <x:c r="B1" s="289"/>
      <x:c r="C1" s="289"/>
      <x:c r="D1" s="289"/>
      <x:c r="E1" s="289"/>
      <x:c r="F1" s="289"/>
      <x:c r="G1" s="289"/>
      <x:c r="H1" s="289"/>
    </x:row>
    <x:row r="2">
      <x:c r="A2" s="289"/>
      <x:c r="B2" s="290"/>
      <x:c r="C2" s="289"/>
      <x:c r="D2" s="289"/>
      <x:c r="E2" s="289"/>
      <x:c r="F2" s="289"/>
      <x:c r="G2" s="289"/>
      <x:c r="H2" s="289"/>
    </x:row>
    <x:row r="3">
      <x:c r="B3" s="152"/>
    </x:row>
    <x:row r="4">
      <x:c r="A4" s="156" t="s">
        <x:v>234</x:v>
      </x:c>
      <x:c r="B4" s="195" t="s">
        <x:v>5</x:v>
      </x:c>
      <x:c r="C4" s="156" t="s">
        <x:v>235</x:v>
      </x:c>
      <x:c r="D4" s="156" t="s">
        <x:v>46</x:v>
      </x:c>
    </x:row>
    <x:row r="5">
      <x:c r="A5" t="s">
        <x:v>236</x:v>
      </x:c>
      <x:c r="B5" s="152" t="e">
        <x:f>IFERROR(INDEX(Liquiditätsplan!$M$2:$M$115,MATCH(DATE(YEAR(TODAY()),MONTH(TODAY()),1),Liquiditätsplan!$A$2:$A$115,0)),0)</x:f>
      </x:c>
      <x:c r="C5" s="157" t="e">
        <x:f>IF(B5&lt;Einstellungen!$G$3,"KRITISCH",IF(B5&lt;Einstellungen!$G$2,"ACHTUNG","OK"))</x:f>
      </x:c>
      <x:c r="D5" t="s">
        <x:v>237</x:v>
      </x:c>
    </x:row>
    <x:row r="6">
      <x:c r="A6" t="s">
        <x:v>238</x:v>
      </x:c>
      <x:c r="B6" s="152" t="e">
        <x:f>IFERROR(INDEX(Liquiditätsplan!$M$2:$M$115,MATCH(DATE(YEAR(EDATE(TODAY(),1)),MONTH(EDATE(TODAY(),1)),1),Liquiditätsplan!$A$2:$A$115,0)),0)</x:f>
      </x:c>
      <x:c r="C6" s="157" t="e">
        <x:f>IF(B6&lt;Einstellungen!$G$3,"KRITISCH",IF(B6&lt;Einstellungen!$G$2,"ACHTUNG","OK"))</x:f>
      </x:c>
      <x:c r="D6" t="s">
        <x:v>239</x:v>
      </x:c>
    </x:row>
    <x:row r="7">
      <x:c r="A7" t="s">
        <x:v>240</x:v>
      </x:c>
      <x:c r="B7" s="152" t="e">
        <x:f>IFERROR(INDEX(Liquiditätsplan!$M$2:$M$115,MATCH(DATE(YEAR(EDATE(TODAY(),2)),MONTH(EDATE(TODAY(),2)),1),Liquiditätsplan!$A$2:$A$115,0)),0)</x:f>
      </x:c>
      <x:c r="C7" s="157" t="e">
        <x:f>IF(B7&lt;Einstellungen!$G$3,"KRITISCH",IF(B7&lt;Einstellungen!$G$2,"ACHTUNG","OK"))</x:f>
      </x:c>
      <x:c r="D7" t="s">
        <x:v>241</x:v>
      </x:c>
    </x:row>
    <x:row r="8">
      <x:c r="A8" t="s">
        <x:v>242</x:v>
      </x:c>
      <x:c r="B8" s="152" t="e">
        <x:f>IFERROR(INDEX(Liquiditätsplan!$M$2:$M$115,MATCH(DATE(YEAR(EDATE(TODAY(),3)),MONTH(EDATE(TODAY(),3)),1),Liquiditätsplan!$A$2:$A$115,0)),0)</x:f>
      </x:c>
      <x:c r="C8" s="157" t="e">
        <x:f>IF(B8&lt;Einstellungen!$G$3,"KRITISCH",IF(B8&lt;Einstellungen!$G$2,"ACHTUNG","OK"))</x:f>
      </x:c>
      <x:c r="D8" t="s">
        <x:v>243</x:v>
      </x:c>
    </x:row>
    <x:row r="9">
      <x:c r="A9" t="s">
        <x:v>244</x:v>
      </x:c>
      <x:c r="B9" s="152" t="n">
        <x:f>SUM(Ausgangsrechnungen!$H$2:$H$301)</x:f>
        <x:v>54956.29</x:v>
      </x:c>
      <x:c r="C9" s="157" t="str">
        <x:f>IF(B9=0,"OK",IF(B9&lt;25000,"BEOBACHTEN","HANDLUNG"))</x:f>
        <x:v>HANDLUNG</x:v>
      </x:c>
      <x:c r="D9" t="s">
        <x:v>245</x:v>
      </x:c>
    </x:row>
    <x:row r="10">
      <x:c r="A10" t="s">
        <x:v>246</x:v>
      </x:c>
      <x:c r="B10" s="152" t="n">
        <x:f>SUMIFS(Eingangsrechnungen!$N$2:$N$301,Eingangsrechnungen!$I$2:$I$301,"&lt;&gt;Bezahlt")</x:f>
        <x:v>24714.78</x:v>
      </x:c>
      <x:c r="C10" s="157" t="str">
        <x:f>IF(B10&lt;10000,"OK",IF(B10&lt;25000,"BEOBACHTEN","HANDLUNG"))</x:f>
        <x:v>BEOBACHTEN</x:v>
      </x:c>
      <x:c r="D10" t="s">
        <x:v>247</x:v>
      </x:c>
    </x:row>
    <x:row r="11">
      <x:c r="A11" t="s">
        <x:v>248</x:v>
      </x:c>
      <x:c r="B11" s="152" t="n">
        <x:f>SUMIFS(Ausgangsrechnungen!$H$2:$H$301,Ausgangsrechnungen!$E$2:$E$301,"&lt;"&amp;TODAY(),Ausgangsrechnungen!$I$2:$I$301,"&lt;&gt;Bezahlt")</x:f>
        <x:v>0</x:v>
      </x:c>
      <x:c r="C11" s="157" t="str">
        <x:f>IF(B11=0,"OK",IF(B11&lt;10000,"BEOBACHTEN","HANDLUNG"))</x:f>
        <x:v>OK</x:v>
      </x:c>
      <x:c r="D11" t="s">
        <x:v>249</x:v>
      </x:c>
    </x:row>
    <x:row r="12">
      <x:c r="A12" s="158" t="s">
        <x:v>250</x:v>
      </x:c>
      <x:c r="B12" s="152" t="n">
        <x:f>SUMIFS(Steuerkalender!$D$2:$D$100,Steuerkalender!$B$2:$B$100,"&gt;="&amp;TODAY(),Steuerkalender!$B$2:$B$100,"&lt;="&amp;TODAY()+30,Steuerkalender!$E$2:$E$100,"&lt;&gt;Bezahlt")+SUMIFS('USt-Monatsübersicht'!$F$2:$F$115,'USt-Monatsübersicht'!$B$2:$B$115,"&gt;="&amp;TODAY(),'USt-Monatsübersicht'!$B$2:$B$115,"&lt;="&amp;TODAY()+30,'USt-Monatsübersicht'!$G$2:$G$115,"&lt;&gt;Bezahlt")</x:f>
        <x:v>15138.48</x:v>
      </x:c>
      <x:c r="C12" s="159" t="str">
        <x:f>IF(B12=0,"OK",IF(B12&lt;10000,"BEOBACHTEN","HANDLUNG"))</x:f>
        <x:v>HANDLUNG</x:v>
      </x:c>
      <x:c r="D12" s="158" t="s">
        <x:v>251</x:v>
      </x:c>
    </x:row>
  </x:sheetData>
  <x:mergeCells>
    <x:mergeCell ref="A1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796875" defaultRowHeight="13.800000190734863"/>
  <x:cols>
    <x:col min="1" max="1" width="20" customWidth="1"/>
    <x:col min="2" max="2" width="12" customWidth="1"/>
    <x:col min="3" max="4" width="18" customWidth="1"/>
    <x:col min="6" max="6" width="14" customWidth="1"/>
    <x:col min="7" max="7" width="22" customWidth="1"/>
    <x:col min="8" max="8" width="18" customWidth="1"/>
    <x:col min="9" max="11" width="16" customWidth="1"/>
    <x:col min="12" max="12" width="24" customWidth="1"/>
  </x:cols>
  <x:sheetData>
    <x:row r="1">
      <x:c r="A1" s="291" t="s">
        <x:v>252</x:v>
      </x:c>
      <x:c r="B1" s="291"/>
      <x:c r="C1" s="291"/>
      <x:c r="D1" s="291"/>
      <x:c r="E1" s="291"/>
      <x:c r="F1" s="291"/>
      <x:c r="G1" s="291"/>
      <x:c r="H1" s="291"/>
      <x:c r="I1" s="291"/>
      <x:c r="J1" s="291"/>
      <x:c r="K1" s="291"/>
      <x:c r="L1" s="291"/>
    </x:row>
    <x:row r="2">
      <x:c r="A2" s="291"/>
      <x:c r="B2" s="292"/>
      <x:c r="C2" s="291"/>
      <x:c r="D2" s="292"/>
      <x:c r="E2" s="291"/>
      <x:c r="F2" s="292"/>
      <x:c r="G2" s="291"/>
      <x:c r="H2" s="291"/>
      <x:c r="I2" s="291"/>
      <x:c r="J2" s="291"/>
      <x:c r="K2" s="291"/>
      <x:c r="L2" s="291"/>
    </x:row>
    <x:row r="3">
      <x:c r="B3" s="152"/>
      <x:c r="D3" s="152"/>
      <x:c r="F3" s="152"/>
    </x:row>
    <x:row r="4">
      <x:c r="A4" s="293" t="s">
        <x:v>253</x:v>
      </x:c>
      <x:c r="B4" s="294"/>
      <x:c r="C4" s="293"/>
      <x:c r="D4" s="294" t="s">
        <x:v>24</x:v>
      </x:c>
      <x:c r="E4" s="293"/>
      <x:c r="F4" s="294"/>
      <x:c r="G4" s="293" t="s">
        <x:v>254</x:v>
      </x:c>
      <x:c r="H4" s="293"/>
      <x:c r="I4" s="293"/>
      <x:c r="J4" s="293" t="s">
        <x:v>255</x:v>
      </x:c>
      <x:c r="K4" s="293"/>
      <x:c r="L4" s="293"/>
    </x:row>
    <x:row r="5">
      <x:c r="A5" s="295" t="n">
        <x:f>COUNTIFS(Projekte!$E$2:$E$101,"&lt;&gt;Abgeschlossen",Projekte!$E$2:$E$101,"&lt;&gt;")</x:f>
        <x:v>0</x:v>
      </x:c>
      <x:c r="B5" s="296"/>
      <x:c r="C5" s="295"/>
      <x:c r="D5" s="296" t="n">
        <x:f>COUNTIF(Projekte!$E$2:$E$101,"Montage geplant")</x:f>
        <x:v>0</x:v>
      </x:c>
      <x:c r="E5" s="295"/>
      <x:c r="F5" s="296"/>
      <x:c r="G5" s="295" t="n">
        <x:f>COUNTIF(Projekte!$U$2:$U$101,"ÜBERFÄLLIG")</x:f>
        <x:v>0</x:v>
      </x:c>
      <x:c r="H5" s="295"/>
      <x:c r="I5" s="295"/>
      <x:c r="J5" s="296" t="n">
        <x:f>SUM(Projekte!$Q$2:$Q$101)</x:f>
        <x:v>0</x:v>
      </x:c>
      <x:c r="K5" s="296"/>
      <x:c r="L5" s="296"/>
    </x:row>
    <x:row r="6">
      <x:c r="A6" s="295"/>
      <x:c r="B6" s="296"/>
      <x:c r="C6" s="295"/>
      <x:c r="D6" s="296"/>
      <x:c r="E6" s="295"/>
      <x:c r="F6" s="296"/>
      <x:c r="G6" s="295"/>
      <x:c r="H6" s="295"/>
      <x:c r="I6" s="295"/>
      <x:c r="J6" s="296"/>
      <x:c r="K6" s="296"/>
      <x:c r="L6" s="296"/>
    </x:row>
    <x:row r="7">
      <x:c r="A7" s="295"/>
      <x:c r="B7" s="296"/>
      <x:c r="C7" s="295"/>
      <x:c r="D7" s="296"/>
      <x:c r="E7" s="295"/>
      <x:c r="F7" s="296"/>
      <x:c r="G7" s="295"/>
      <x:c r="H7" s="295"/>
      <x:c r="I7" s="295"/>
      <x:c r="J7" s="296"/>
      <x:c r="K7" s="296"/>
      <x:c r="L7" s="296"/>
    </x:row>
    <x:row r="8">
      <x:c r="B8" s="152"/>
      <x:c r="D8" s="152"/>
      <x:c r="F8" s="152"/>
    </x:row>
    <x:row r="9">
      <x:c r="B9" s="152"/>
      <x:c r="D9" s="152"/>
      <x:c r="F9" s="152"/>
    </x:row>
    <x:row r="10">
      <x:c r="A10" s="177" t="s">
        <x:v>42</x:v>
      </x:c>
      <x:c r="B10" s="196" t="s">
        <x:v>256</x:v>
      </x:c>
      <x:c r="C10" s="177" t="s">
        <x:v>147</x:v>
      </x:c>
      <x:c r="D10" s="196" t="s">
        <x:v>257</x:v>
      </x:c>
      <x:c r="F10" s="297" t="s">
        <x:v>258</x:v>
      </x:c>
      <x:c r="G10" s="298"/>
      <x:c r="H10" s="298"/>
      <x:c r="I10" s="298"/>
      <x:c r="J10" s="298"/>
      <x:c r="K10" s="298"/>
      <x:c r="L10" s="298"/>
    </x:row>
    <x:row r="11">
      <x:c r="A11" s="178" t="s">
        <x:v>8</x:v>
      </x:c>
      <x:c r="B11" t="n">
        <x:f>COUNTIF(Projekte!$E$2:$E$101,A11)</x:f>
        <x:v>0</x:v>
      </x:c>
      <x:c r="C11" s="152" t="n">
        <x:f>SUMIF(Projekte!$E$2:$E$101,A11,Projekte!$F$2:$F$101)</x:f>
        <x:v>0</x:v>
      </x:c>
      <x:c r="D11" s="152" t="n">
        <x:f>SUMIF(Projekte!$E$2:$E$101,A11,Projekte!$Q$2:$Q$101)</x:f>
        <x:v>0</x:v>
      </x:c>
      <x:c r="F11" s="179" t="s">
        <x:v>144</x:v>
      </x:c>
      <x:c r="G11" s="179" t="s">
        <x:v>121</x:v>
      </x:c>
      <x:c r="H11" s="179" t="s">
        <x:v>42</x:v>
      </x:c>
      <x:c r="I11" s="179" t="s">
        <x:v>259</x:v>
      </x:c>
      <x:c r="J11" s="179" t="s">
        <x:v>161</x:v>
      </x:c>
      <x:c r="K11" s="179" t="s">
        <x:v>152</x:v>
      </x:c>
      <x:c r="L11" s="179" t="s">
        <x:v>162</x:v>
      </x:c>
    </x:row>
    <x:row r="12">
      <x:c r="A12" s="178" t="s">
        <x:v>13</x:v>
      </x:c>
      <x:c r="B12" t="n">
        <x:f>COUNTIF(Projekte!$E$2:$E$101,A12)</x:f>
        <x:v>0</x:v>
      </x:c>
      <x:c r="C12" s="152" t="n">
        <x:f>SUMIF(Projekte!$E$2:$E$101,A12,Projekte!$F$2:$F$101)</x:f>
        <x:v>0</x:v>
      </x:c>
      <x:c r="D12" s="152" t="n">
        <x:f>SUMIF(Projekte!$E$2:$E$101,A12,Projekte!$Q$2:$Q$101)</x:f>
        <x:v>0</x:v>
      </x:c>
      <x:c r="F12" t="str">
        <x:f>IF(Projekte!A2="","",Projekte!A2)</x:f>
      </x:c>
      <x:c r="G12" t="str">
        <x:f>IF(Projekte!B2="","",Projekte!B2)</x:f>
      </x:c>
      <x:c r="H12" t="str">
        <x:f>IF(Projekte!E2="","",Projekte!E2)</x:f>
      </x:c>
      <x:c r="I12" s="2" t="str">
        <x:f>IF(Projekte!H2="","",Projekte!H2)</x:f>
      </x:c>
      <x:c r="J12" t="str">
        <x:f>IF(Projekte!U2="","",Projekte!U2)</x:f>
        <x:v>Kein Termin</x:v>
      </x:c>
      <x:c r="K12" t="str">
        <x:f>IF(Projekte!K2="","",Projekte!K2)</x:f>
      </x:c>
      <x:c r="L12" t="str">
        <x:f>IF(Projekte!V2="","",Projekte!V2)</x:f>
      </x:c>
    </x:row>
    <x:row r="13">
      <x:c r="A13" s="178" t="s">
        <x:v>18</x:v>
      </x:c>
      <x:c r="B13" t="n">
        <x:f>COUNTIF(Projekte!$E$2:$E$101,A13)</x:f>
        <x:v>0</x:v>
      </x:c>
      <x:c r="C13" s="152" t="n">
        <x:f>SUMIF(Projekte!$E$2:$E$101,A13,Projekte!$F$2:$F$101)</x:f>
        <x:v>0</x:v>
      </x:c>
      <x:c r="D13" s="152" t="n">
        <x:f>SUMIF(Projekte!$E$2:$E$101,A13,Projekte!$Q$2:$Q$101)</x:f>
        <x:v>0</x:v>
      </x:c>
      <x:c r="F13" t="str">
        <x:f>IF(Projekte!A3="","",Projekte!A3)</x:f>
      </x:c>
      <x:c r="G13" t="str">
        <x:f>IF(Projekte!B3="","",Projekte!B3)</x:f>
      </x:c>
      <x:c r="H13" t="str">
        <x:f>IF(Projekte!E3="","",Projekte!E3)</x:f>
      </x:c>
      <x:c r="I13" s="2" t="str">
        <x:f>IF(Projekte!H3="","",Projekte!H3)</x:f>
      </x:c>
      <x:c r="J13" t="str">
        <x:f>IF(Projekte!U3="","",Projekte!U3)</x:f>
        <x:v>Kein Termin</x:v>
      </x:c>
      <x:c r="K13" t="str">
        <x:f>IF(Projekte!K3="","",Projekte!K3)</x:f>
      </x:c>
      <x:c r="L13" t="str">
        <x:f>IF(Projekte!V3="","",Projekte!V3)</x:f>
      </x:c>
    </x:row>
    <x:row r="14">
      <x:c r="A14" s="178" t="s">
        <x:v>21</x:v>
      </x:c>
      <x:c r="B14" t="n">
        <x:f>COUNTIF(Projekte!$E$2:$E$101,A14)</x:f>
        <x:v>0</x:v>
      </x:c>
      <x:c r="C14" s="152" t="n">
        <x:f>SUMIF(Projekte!$E$2:$E$101,A14,Projekte!$F$2:$F$101)</x:f>
        <x:v>0</x:v>
      </x:c>
      <x:c r="D14" s="152" t="n">
        <x:f>SUMIF(Projekte!$E$2:$E$101,A14,Projekte!$Q$2:$Q$101)</x:f>
        <x:v>0</x:v>
      </x:c>
      <x:c r="F14" t="str">
        <x:f>IF(Projekte!A4="","",Projekte!A4)</x:f>
      </x:c>
      <x:c r="G14" t="str">
        <x:f>IF(Projekte!B4="","",Projekte!B4)</x:f>
      </x:c>
      <x:c r="H14" t="str">
        <x:f>IF(Projekte!E4="","",Projekte!E4)</x:f>
      </x:c>
      <x:c r="I14" s="2" t="str">
        <x:f>IF(Projekte!H4="","",Projekte!H4)</x:f>
      </x:c>
      <x:c r="J14" t="str">
        <x:f>IF(Projekte!U4="","",Projekte!U4)</x:f>
        <x:v>Kein Termin</x:v>
      </x:c>
      <x:c r="K14" t="str">
        <x:f>IF(Projekte!K4="","",Projekte!K4)</x:f>
      </x:c>
      <x:c r="L14" t="str">
        <x:f>IF(Projekte!V4="","",Projekte!V4)</x:f>
      </x:c>
    </x:row>
    <x:row r="15">
      <x:c r="A15" s="178" t="s">
        <x:v>24</x:v>
      </x:c>
      <x:c r="B15" t="n">
        <x:f>COUNTIF(Projekte!$E$2:$E$101,A15)</x:f>
        <x:v>0</x:v>
      </x:c>
      <x:c r="C15" s="152" t="n">
        <x:f>SUMIF(Projekte!$E$2:$E$101,A15,Projekte!$F$2:$F$101)</x:f>
        <x:v>0</x:v>
      </x:c>
      <x:c r="D15" s="152" t="n">
        <x:f>SUMIF(Projekte!$E$2:$E$101,A15,Projekte!$Q$2:$Q$101)</x:f>
        <x:v>0</x:v>
      </x:c>
      <x:c r="F15" t="str">
        <x:f>IF(Projekte!A5="","",Projekte!A5)</x:f>
      </x:c>
      <x:c r="G15" t="str">
        <x:f>IF(Projekte!B5="","",Projekte!B5)</x:f>
      </x:c>
      <x:c r="H15" t="str">
        <x:f>IF(Projekte!E5="","",Projekte!E5)</x:f>
      </x:c>
      <x:c r="I15" s="2" t="str">
        <x:f>IF(Projekte!H5="","",Projekte!H5)</x:f>
      </x:c>
      <x:c r="J15" t="str">
        <x:f>IF(Projekte!U5="","",Projekte!U5)</x:f>
        <x:v>Kein Termin</x:v>
      </x:c>
      <x:c r="K15" t="str">
        <x:f>IF(Projekte!K5="","",Projekte!K5)</x:f>
      </x:c>
      <x:c r="L15" t="str">
        <x:f>IF(Projekte!V5="","",Projekte!V5)</x:f>
      </x:c>
    </x:row>
    <x:row r="16">
      <x:c r="A16" s="178" t="s">
        <x:v>27</x:v>
      </x:c>
      <x:c r="B16" t="n">
        <x:f>COUNTIF(Projekte!$E$2:$E$101,A16)</x:f>
        <x:v>0</x:v>
      </x:c>
      <x:c r="C16" s="152" t="n">
        <x:f>SUMIF(Projekte!$E$2:$E$101,A16,Projekte!$F$2:$F$101)</x:f>
        <x:v>0</x:v>
      </x:c>
      <x:c r="D16" s="152" t="n">
        <x:f>SUMIF(Projekte!$E$2:$E$101,A16,Projekte!$Q$2:$Q$101)</x:f>
        <x:v>0</x:v>
      </x:c>
      <x:c r="F16" t="str">
        <x:f>IF(Projekte!A6="","",Projekte!A6)</x:f>
      </x:c>
      <x:c r="G16" t="str">
        <x:f>IF(Projekte!B6="","",Projekte!B6)</x:f>
      </x:c>
      <x:c r="H16" t="str">
        <x:f>IF(Projekte!E6="","",Projekte!E6)</x:f>
      </x:c>
      <x:c r="I16" s="2" t="str">
        <x:f>IF(Projekte!H6="","",Projekte!H6)</x:f>
      </x:c>
      <x:c r="J16" t="str">
        <x:f>IF(Projekte!U6="","",Projekte!U6)</x:f>
        <x:v>Kein Termin</x:v>
      </x:c>
      <x:c r="K16" t="str">
        <x:f>IF(Projekte!K6="","",Projekte!K6)</x:f>
      </x:c>
      <x:c r="L16" t="str">
        <x:f>IF(Projekte!V6="","",Projekte!V6)</x:f>
      </x:c>
    </x:row>
    <x:row r="17">
      <x:c r="A17" s="178" t="s">
        <x:v>29</x:v>
      </x:c>
      <x:c r="B17" t="n">
        <x:f>COUNTIF(Projekte!$E$2:$E$101,A17)</x:f>
        <x:v>0</x:v>
      </x:c>
      <x:c r="C17" s="152" t="n">
        <x:f>SUMIF(Projekte!$E$2:$E$101,A17,Projekte!$F$2:$F$101)</x:f>
        <x:v>0</x:v>
      </x:c>
      <x:c r="D17" s="152" t="n">
        <x:f>SUMIF(Projekte!$E$2:$E$101,A17,Projekte!$Q$2:$Q$101)</x:f>
        <x:v>0</x:v>
      </x:c>
      <x:c r="F17" t="str">
        <x:f>IF(Projekte!A7="","",Projekte!A7)</x:f>
      </x:c>
      <x:c r="G17" t="str">
        <x:f>IF(Projekte!B7="","",Projekte!B7)</x:f>
      </x:c>
      <x:c r="H17" t="str">
        <x:f>IF(Projekte!E7="","",Projekte!E7)</x:f>
      </x:c>
      <x:c r="I17" s="2" t="str">
        <x:f>IF(Projekte!H7="","",Projekte!H7)</x:f>
      </x:c>
      <x:c r="J17" t="str">
        <x:f>IF(Projekte!U7="","",Projekte!U7)</x:f>
        <x:v>Kein Termin</x:v>
      </x:c>
      <x:c r="K17" t="str">
        <x:f>IF(Projekte!K7="","",Projekte!K7)</x:f>
      </x:c>
      <x:c r="L17" t="str">
        <x:f>IF(Projekte!V7="","",Projekte!V7)</x:f>
      </x:c>
    </x:row>
    <x:row r="18">
      <x:c r="A18" s="178" t="s">
        <x:v>33</x:v>
      </x:c>
      <x:c r="B18" t="n">
        <x:f>COUNTIF(Projekte!$E$2:$E$101,A18)</x:f>
        <x:v>0</x:v>
      </x:c>
      <x:c r="C18" s="152" t="n">
        <x:f>SUMIF(Projekte!$E$2:$E$101,A18,Projekte!$F$2:$F$101)</x:f>
        <x:v>0</x:v>
      </x:c>
      <x:c r="D18" s="152" t="n">
        <x:f>SUMIF(Projekte!$E$2:$E$101,A18,Projekte!$Q$2:$Q$101)</x:f>
        <x:v>0</x:v>
      </x:c>
      <x:c r="F18" t="str">
        <x:f>IF(Projekte!A8="","",Projekte!A8)</x:f>
      </x:c>
      <x:c r="G18" t="str">
        <x:f>IF(Projekte!B8="","",Projekte!B8)</x:f>
      </x:c>
      <x:c r="H18" t="str">
        <x:f>IF(Projekte!E8="","",Projekte!E8)</x:f>
      </x:c>
      <x:c r="I18" s="2" t="str">
        <x:f>IF(Projekte!H8="","",Projekte!H8)</x:f>
      </x:c>
      <x:c r="J18" t="str">
        <x:f>IF(Projekte!U8="","",Projekte!U8)</x:f>
        <x:v>Kein Termin</x:v>
      </x:c>
      <x:c r="K18" t="str">
        <x:f>IF(Projekte!K8="","",Projekte!K8)</x:f>
      </x:c>
      <x:c r="L18" t="str">
        <x:f>IF(Projekte!V8="","",Projekte!V8)</x:f>
      </x:c>
    </x:row>
    <x:row r="19">
      <x:c r="F19" t="str">
        <x:f>IF(Projekte!A9="","",Projekte!A9)</x:f>
      </x:c>
      <x:c r="G19" t="str">
        <x:f>IF(Projekte!B9="","",Projekte!B9)</x:f>
      </x:c>
      <x:c r="H19" t="str">
        <x:f>IF(Projekte!E9="","",Projekte!E9)</x:f>
      </x:c>
      <x:c r="I19" s="2" t="str">
        <x:f>IF(Projekte!H9="","",Projekte!H9)</x:f>
      </x:c>
      <x:c r="J19" t="str">
        <x:f>IF(Projekte!U9="","",Projekte!U9)</x:f>
        <x:v>Kein Termin</x:v>
      </x:c>
      <x:c r="K19" t="str">
        <x:f>IF(Projekte!K9="","",Projekte!K9)</x:f>
      </x:c>
      <x:c r="L19" t="str">
        <x:f>IF(Projekte!V9="","",Projekte!V9)</x:f>
      </x:c>
    </x:row>
    <x:row r="20">
      <x:c r="F20" t="str">
        <x:f>IF(Projekte!A10="","",Projekte!A10)</x:f>
      </x:c>
      <x:c r="G20" t="str">
        <x:f>IF(Projekte!B10="","",Projekte!B10)</x:f>
      </x:c>
      <x:c r="H20" t="str">
        <x:f>IF(Projekte!E10="","",Projekte!E10)</x:f>
      </x:c>
      <x:c r="I20" s="2" t="str">
        <x:f>IF(Projekte!H10="","",Projekte!H10)</x:f>
      </x:c>
      <x:c r="J20" t="str">
        <x:f>IF(Projekte!U10="","",Projekte!U10)</x:f>
        <x:v>Kein Termin</x:v>
      </x:c>
      <x:c r="K20" t="str">
        <x:f>IF(Projekte!K10="","",Projekte!K10)</x:f>
      </x:c>
      <x:c r="L20" t="str">
        <x:f>IF(Projekte!V10="","",Projekte!V10)</x:f>
      </x:c>
    </x:row>
    <x:row r="21">
      <x:c r="F21" t="str">
        <x:f>IF(Projekte!A11="","",Projekte!A11)</x:f>
      </x:c>
      <x:c r="G21" t="str">
        <x:f>IF(Projekte!B11="","",Projekte!B11)</x:f>
      </x:c>
      <x:c r="H21" t="str">
        <x:f>IF(Projekte!E11="","",Projekte!E11)</x:f>
      </x:c>
      <x:c r="I21" s="2" t="str">
        <x:f>IF(Projekte!H11="","",Projekte!H11)</x:f>
      </x:c>
      <x:c r="J21" t="str">
        <x:f>IF(Projekte!U11="","",Projekte!U11)</x:f>
        <x:v>Kein Termin</x:v>
      </x:c>
      <x:c r="K21" t="str">
        <x:f>IF(Projekte!K11="","",Projekte!K11)</x:f>
      </x:c>
      <x:c r="L21" t="str">
        <x:f>IF(Projekte!V11="","",Projekte!V11)</x:f>
      </x:c>
    </x:row>
    <x:row r="22">
      <x:c r="F22" t="str">
        <x:f>IF(Projekte!A12="","",Projekte!A12)</x:f>
      </x:c>
      <x:c r="G22" t="str">
        <x:f>IF(Projekte!B12="","",Projekte!B12)</x:f>
      </x:c>
      <x:c r="H22" t="str">
        <x:f>IF(Projekte!E12="","",Projekte!E12)</x:f>
      </x:c>
      <x:c r="I22" s="2" t="str">
        <x:f>IF(Projekte!H12="","",Projekte!H12)</x:f>
      </x:c>
      <x:c r="J22" t="str">
        <x:f>IF(Projekte!U12="","",Projekte!U12)</x:f>
        <x:v>Kein Termin</x:v>
      </x:c>
      <x:c r="K22" t="str">
        <x:f>IF(Projekte!K12="","",Projekte!K12)</x:f>
      </x:c>
      <x:c r="L22" t="str">
        <x:f>IF(Projekte!V12="","",Projekte!V12)</x:f>
      </x:c>
    </x:row>
    <x:row r="23">
      <x:c r="F23" t="str">
        <x:f>IF(Projekte!A13="","",Projekte!A13)</x:f>
      </x:c>
      <x:c r="G23" t="str">
        <x:f>IF(Projekte!B13="","",Projekte!B13)</x:f>
      </x:c>
      <x:c r="H23" t="str">
        <x:f>IF(Projekte!E13="","",Projekte!E13)</x:f>
      </x:c>
      <x:c r="I23" s="2" t="str">
        <x:f>IF(Projekte!H13="","",Projekte!H13)</x:f>
      </x:c>
      <x:c r="J23" t="str">
        <x:f>IF(Projekte!U13="","",Projekte!U13)</x:f>
        <x:v>Kein Termin</x:v>
      </x:c>
      <x:c r="K23" t="str">
        <x:f>IF(Projekte!K13="","",Projekte!K13)</x:f>
      </x:c>
      <x:c r="L23" t="str">
        <x:f>IF(Projekte!V13="","",Projekte!V13)</x:f>
      </x:c>
    </x:row>
    <x:row r="24">
      <x:c r="F24" t="str">
        <x:f>IF(Projekte!A14="","",Projekte!A14)</x:f>
      </x:c>
      <x:c r="G24" t="str">
        <x:f>IF(Projekte!B14="","",Projekte!B14)</x:f>
      </x:c>
      <x:c r="H24" t="str">
        <x:f>IF(Projekte!E14="","",Projekte!E14)</x:f>
      </x:c>
      <x:c r="I24" s="2" t="str">
        <x:f>IF(Projekte!H14="","",Projekte!H14)</x:f>
      </x:c>
      <x:c r="J24" t="str">
        <x:f>IF(Projekte!U14="","",Projekte!U14)</x:f>
        <x:v>Kein Termin</x:v>
      </x:c>
      <x:c r="K24" t="str">
        <x:f>IF(Projekte!K14="","",Projekte!K14)</x:f>
      </x:c>
      <x:c r="L24" t="str">
        <x:f>IF(Projekte!V14="","",Projekte!V14)</x:f>
      </x:c>
    </x:row>
    <x:row r="25">
      <x:c r="F25" t="str">
        <x:f>IF(Projekte!A15="","",Projekte!A15)</x:f>
      </x:c>
      <x:c r="G25" t="str">
        <x:f>IF(Projekte!B15="","",Projekte!B15)</x:f>
      </x:c>
      <x:c r="H25" t="str">
        <x:f>IF(Projekte!E15="","",Projekte!E15)</x:f>
      </x:c>
      <x:c r="I25" s="2" t="str">
        <x:f>IF(Projekte!H15="","",Projekte!H15)</x:f>
      </x:c>
      <x:c r="J25" t="str">
        <x:f>IF(Projekte!U15="","",Projekte!U15)</x:f>
        <x:v>Kein Termin</x:v>
      </x:c>
      <x:c r="K25" t="str">
        <x:f>IF(Projekte!K15="","",Projekte!K15)</x:f>
      </x:c>
      <x:c r="L25" t="str">
        <x:f>IF(Projekte!V15="","",Projekte!V15)</x:f>
      </x:c>
    </x:row>
    <x:row r="26">
      <x:c r="F26" t="str">
        <x:f>IF(Projekte!A16="","",Projekte!A16)</x:f>
      </x:c>
      <x:c r="G26" t="str">
        <x:f>IF(Projekte!B16="","",Projekte!B16)</x:f>
      </x:c>
      <x:c r="H26" t="str">
        <x:f>IF(Projekte!E16="","",Projekte!E16)</x:f>
      </x:c>
      <x:c r="I26" s="2" t="str">
        <x:f>IF(Projekte!H16="","",Projekte!H16)</x:f>
      </x:c>
      <x:c r="J26" t="str">
        <x:f>IF(Projekte!U16="","",Projekte!U16)</x:f>
        <x:v>Kein Termin</x:v>
      </x:c>
      <x:c r="K26" t="str">
        <x:f>IF(Projekte!K16="","",Projekte!K16)</x:f>
      </x:c>
      <x:c r="L26" t="str">
        <x:f>IF(Projekte!V16="","",Projekte!V16)</x:f>
      </x:c>
    </x:row>
    <x:row r="27">
      <x:c r="F27" t="str">
        <x:f>IF(Projekte!A17="","",Projekte!A17)</x:f>
      </x:c>
      <x:c r="G27" t="str">
        <x:f>IF(Projekte!B17="","",Projekte!B17)</x:f>
      </x:c>
      <x:c r="H27" t="str">
        <x:f>IF(Projekte!E17="","",Projekte!E17)</x:f>
      </x:c>
      <x:c r="I27" s="2" t="str">
        <x:f>IF(Projekte!H17="","",Projekte!H17)</x:f>
      </x:c>
      <x:c r="J27" t="str">
        <x:f>IF(Projekte!U17="","",Projekte!U17)</x:f>
        <x:v>Kein Termin</x:v>
      </x:c>
      <x:c r="K27" t="str">
        <x:f>IF(Projekte!K17="","",Projekte!K17)</x:f>
      </x:c>
      <x:c r="L27" t="str">
        <x:f>IF(Projekte!V17="","",Projekte!V17)</x:f>
      </x:c>
    </x:row>
    <x:row r="28">
      <x:c r="F28" t="str">
        <x:f>IF(Projekte!A18="","",Projekte!A18)</x:f>
      </x:c>
      <x:c r="G28" t="str">
        <x:f>IF(Projekte!B18="","",Projekte!B18)</x:f>
      </x:c>
      <x:c r="H28" t="str">
        <x:f>IF(Projekte!E18="","",Projekte!E18)</x:f>
      </x:c>
      <x:c r="I28" s="2" t="str">
        <x:f>IF(Projekte!H18="","",Projekte!H18)</x:f>
      </x:c>
      <x:c r="J28" t="str">
        <x:f>IF(Projekte!U18="","",Projekte!U18)</x:f>
        <x:v>Kein Termin</x:v>
      </x:c>
      <x:c r="K28" t="str">
        <x:f>IF(Projekte!K18="","",Projekte!K18)</x:f>
      </x:c>
      <x:c r="L28" t="str">
        <x:f>IF(Projekte!V18="","",Projekte!V18)</x:f>
      </x:c>
    </x:row>
    <x:row r="29">
      <x:c r="F29" t="str">
        <x:f>IF(Projekte!A19="","",Projekte!A19)</x:f>
      </x:c>
      <x:c r="G29" t="str">
        <x:f>IF(Projekte!B19="","",Projekte!B19)</x:f>
      </x:c>
      <x:c r="H29" t="str">
        <x:f>IF(Projekte!E19="","",Projekte!E19)</x:f>
      </x:c>
      <x:c r="I29" s="2" t="str">
        <x:f>IF(Projekte!H19="","",Projekte!H19)</x:f>
      </x:c>
      <x:c r="J29" t="str">
        <x:f>IF(Projekte!U19="","",Projekte!U19)</x:f>
        <x:v>Kein Termin</x:v>
      </x:c>
      <x:c r="K29" t="str">
        <x:f>IF(Projekte!K19="","",Projekte!K19)</x:f>
      </x:c>
      <x:c r="L29" t="str">
        <x:f>IF(Projekte!V19="","",Projekte!V19)</x:f>
      </x:c>
    </x:row>
    <x:row r="30">
      <x:c r="F30" t="str">
        <x:f>IF(Projekte!A20="","",Projekte!A20)</x:f>
      </x:c>
      <x:c r="G30" t="str">
        <x:f>IF(Projekte!B20="","",Projekte!B20)</x:f>
      </x:c>
      <x:c r="H30" t="str">
        <x:f>IF(Projekte!E20="","",Projekte!E20)</x:f>
      </x:c>
      <x:c r="I30" s="2" t="str">
        <x:f>IF(Projekte!H20="","",Projekte!H20)</x:f>
      </x:c>
      <x:c r="J30" t="str">
        <x:f>IF(Projekte!U20="","",Projekte!U20)</x:f>
        <x:v>Kein Termin</x:v>
      </x:c>
      <x:c r="K30" t="str">
        <x:f>IF(Projekte!K20="","",Projekte!K20)</x:f>
      </x:c>
      <x:c r="L30" t="str">
        <x:f>IF(Projekte!V20="","",Projekte!V20)</x:f>
      </x:c>
    </x:row>
    <x:row r="31">
      <x:c r="F31" t="str">
        <x:f>IF(Projekte!A21="","",Projekte!A21)</x:f>
      </x:c>
      <x:c r="G31" t="str">
        <x:f>IF(Projekte!B21="","",Projekte!B21)</x:f>
      </x:c>
      <x:c r="H31" t="str">
        <x:f>IF(Projekte!E21="","",Projekte!E21)</x:f>
      </x:c>
      <x:c r="I31" s="2" t="str">
        <x:f>IF(Projekte!H21="","",Projekte!H21)</x:f>
      </x:c>
      <x:c r="J31" t="str">
        <x:f>IF(Projekte!U21="","",Projekte!U21)</x:f>
        <x:v>Kein Termin</x:v>
      </x:c>
      <x:c r="K31" t="str">
        <x:f>IF(Projekte!K21="","",Projekte!K21)</x:f>
      </x:c>
      <x:c r="L31" t="str">
        <x:f>IF(Projekte!V21="","",Projekte!V21)</x:f>
      </x:c>
    </x:row>
  </x:sheetData>
  <x:mergeCells>
    <x:mergeCell ref="F10:L10"/>
    <x:mergeCell ref="A1:L2"/>
    <x:mergeCell ref="A4:C4"/>
    <x:mergeCell ref="A5:C7"/>
    <x:mergeCell ref="D4:F4"/>
    <x:mergeCell ref="D5:F7"/>
    <x:mergeCell ref="G4:I4"/>
    <x:mergeCell ref="G5:I7"/>
    <x:mergeCell ref="J4:L4"/>
    <x:mergeCell ref="J5:L7"/>
  </x:mergeCells>
  <x:conditionalFormatting sqref="J12:J31">
    <x:cfRule type="expression" dxfId="2" priority="1">
      <x:formula>$J12="ÜBERFÄLLIG"</x:formula>
    </x:cfRule>
    <x:cfRule type="expression" dxfId="1" priority="2">
      <x:formula>$J12="BALD FÄLLIG"</x:formula>
    </x:cfRule>
    <x:cfRule type="expression" dxfId="0" priority="3">
      <x:formula>$J12="Im Plan"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796875" defaultRowHeight="13.800000190734863"/>
  <x:cols>
    <x:col min="1" max="2" width="16" customWidth="1"/>
    <x:col min="3" max="3" width="18" customWidth="1"/>
    <x:col min="4" max="4" width="60" customWidth="1"/>
  </x:cols>
  <x:sheetData>
    <x:row r="1">
      <x:c r="A1" s="299" t="s">
        <x:v>260</x:v>
      </x:c>
      <x:c r="B1" s="299"/>
      <x:c r="C1" s="299"/>
      <x:c r="D1" s="299"/>
    </x:row>
    <x:row r="3">
      <x:c r="A3" s="197" t="s">
        <x:v>39</x:v>
      </x:c>
      <x:c r="B3" s="197" t="s">
        <x:v>261</x:v>
      </x:c>
      <x:c r="C3" s="197" t="s">
        <x:v>42</x:v>
      </x:c>
      <x:c r="D3" s="197" t="s">
        <x:v>262</x:v>
      </x:c>
    </x:row>
    <x:row r="4">
      <x:c r="A4" s="198" t="s">
        <x:v>263</x:v>
      </x:c>
      <x:c r="B4" s="198" t="s">
        <x:v>205</x:v>
      </x:c>
      <x:c r="C4" s="198" t="s">
        <x:v>264</x:v>
      </x:c>
      <x:c r="D4" s="198" t="s">
        <x:v>265</x:v>
      </x:c>
    </x:row>
    <x:row r="5">
      <x:c r="A5" s="198" t="s">
        <x:v>266</x:v>
      </x:c>
      <x:c r="B5" s="198" t="s">
        <x:v>267</x:v>
      </x:c>
      <x:c r="C5" s="198" t="s">
        <x:v>268</x:v>
      </x:c>
      <x:c r="D5" s="198" t="s">
        <x:v>269</x:v>
      </x:c>
    </x:row>
    <x:row r="6">
      <x:c r="A6" s="198" t="s">
        <x:v>270</x:v>
      </x:c>
      <x:c r="B6" s="198" t="s">
        <x:v>267</x:v>
      </x:c>
      <x:c r="C6" s="198" t="s">
        <x:v>268</x:v>
      </x:c>
      <x:c r="D6" s="198" t="s">
        <x:v>271</x:v>
      </x:c>
    </x:row>
    <x:row r="7">
      <x:c r="A7" s="199" t="s">
        <x:v>272</x:v>
      </x:c>
      <x:c r="B7" s="199" t="s">
        <x:v>267</x:v>
      </x:c>
      <x:c r="C7" s="199" t="s">
        <x:v>273</x:v>
      </x:c>
      <x:c r="D7" s="199" t="s">
        <x:v>274</x:v>
      </x:c>
    </x:row>
    <x:row r="8" ht="27.149999618530273" customHeight="1">
      <x:c r="A8" s="213">
        <x:v>46221</x:v>
      </x:c>
      <x:c r="B8" s="214" t="s">
        <x:v>40</x:v>
      </x:c>
      <x:c r="C8" s="214" t="s">
        <x:v>273</x:v>
      </x:c>
      <x:c r="D8" s="214" t="s">
        <x:v>275</x:v>
      </x:c>
    </x:row>
    <x:row r="9" ht="27.600000381469727">
      <x:c r="A9" t="s">
        <x:v>276</x:v>
      </x:c>
      <x:c r="B9" s="2">
        <x:v>46224</x:v>
      </x:c>
      <x:c r="C9" t="s">
        <x:v>277</x:v>
      </x:c>
      <x:c r="D9" s="5" t="s">
        <x:v>278</x:v>
      </x:c>
    </x:row>
  </x:sheetData>
  <x:mergeCells>
    <x:mergeCell ref="A1:D1"/>
  </x:mergeCells>
  <x:pageMargins left="0.7" right="0.7" top="0.75" bottom="0.75" header="0.3" footer="0.3"/>
</x:worksheet>
</file>